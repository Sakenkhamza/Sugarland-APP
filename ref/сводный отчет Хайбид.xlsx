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zo\Desktop\Франшиза\1. Отчет 3 месяца\январь\Сакен\"/>
    </mc:Choice>
  </mc:AlternateContent>
  <xr:revisionPtr revIDLastSave="0" documentId="8_{DF79654E-2CD1-40B2-AD61-C72C358A6589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Overstock Product Liquidation S" sheetId="1" r:id="rId1"/>
  </sheets>
  <definedNames>
    <definedName name="_xlnm.Print_Area" localSheetId="0">'Overstock Product Liquidation S'!$A$1:$N$52</definedName>
  </definedNames>
  <calcPr calcId="181029"/>
</workbook>
</file>

<file path=xl/calcChain.xml><?xml version="1.0" encoding="utf-8"?>
<calcChain xmlns="http://schemas.openxmlformats.org/spreadsheetml/2006/main">
  <c r="J48" i="1" l="1"/>
  <c r="I48" i="1"/>
  <c r="H48" i="1"/>
  <c r="E48" i="1"/>
  <c r="F30" i="1"/>
  <c r="E29" i="1"/>
  <c r="F27" i="1"/>
  <c r="F28" i="1"/>
  <c r="G37" i="1"/>
  <c r="E37" i="1"/>
  <c r="F43" i="1"/>
  <c r="F42" i="1"/>
  <c r="F41" i="1"/>
  <c r="H43" i="1"/>
  <c r="I43" i="1" s="1"/>
  <c r="H42" i="1"/>
  <c r="I42" i="1" s="1"/>
  <c r="H41" i="1"/>
  <c r="I41" i="1" s="1"/>
  <c r="H39" i="1"/>
  <c r="J39" i="1" s="1"/>
  <c r="F38" i="1"/>
  <c r="F39" i="1"/>
  <c r="H38" i="1"/>
  <c r="J38" i="1" s="1"/>
  <c r="H37" i="1"/>
  <c r="C37" i="1"/>
  <c r="D37" i="1"/>
  <c r="F37" i="1" l="1"/>
  <c r="J37" i="1"/>
  <c r="K48" i="1" s="1"/>
  <c r="K38" i="1"/>
  <c r="J43" i="1"/>
  <c r="K43" i="1" s="1"/>
  <c r="I38" i="1"/>
  <c r="J41" i="1"/>
  <c r="K41" i="1" s="1"/>
  <c r="J42" i="1"/>
  <c r="J50" i="1"/>
  <c r="I39" i="1"/>
  <c r="I37" i="1"/>
</calcChain>
</file>

<file path=xl/sharedStrings.xml><?xml version="1.0" encoding="utf-8"?>
<sst xmlns="http://schemas.openxmlformats.org/spreadsheetml/2006/main" count="82" uniqueCount="33">
  <si>
    <t>Best Buy</t>
  </si>
  <si>
    <t>Wayfair</t>
  </si>
  <si>
    <t>Mech (Chris)</t>
  </si>
  <si>
    <t>Medium (Home goods)</t>
  </si>
  <si>
    <t>Medium (PDX 7)</t>
  </si>
  <si>
    <t>Medium Mixed</t>
  </si>
  <si>
    <t>Pallet</t>
  </si>
  <si>
    <t>Кол-во</t>
  </si>
  <si>
    <t>Отчет по продажам товаров на аукционе (24-31 декабря)</t>
  </si>
  <si>
    <t>Категории</t>
  </si>
  <si>
    <t>Всего</t>
  </si>
  <si>
    <t>Выкуплено обратно</t>
  </si>
  <si>
    <t>Не продано</t>
  </si>
  <si>
    <t>Продано</t>
  </si>
  <si>
    <t>ритейл цена</t>
  </si>
  <si>
    <t>себестоимость</t>
  </si>
  <si>
    <t>% себес.</t>
  </si>
  <si>
    <t>Продажи</t>
  </si>
  <si>
    <t>с ком 15%</t>
  </si>
  <si>
    <t>% продажи</t>
  </si>
  <si>
    <t>Продажа наличными</t>
  </si>
  <si>
    <t>кол-во</t>
  </si>
  <si>
    <t>себест.</t>
  </si>
  <si>
    <t>Клейт 10%</t>
  </si>
  <si>
    <t>% продаж</t>
  </si>
  <si>
    <t>прибыль/убыток</t>
  </si>
  <si>
    <t>Общие продажи</t>
  </si>
  <si>
    <t>Дальнейшие действия</t>
  </si>
  <si>
    <t>Проданные на аукционе товары</t>
  </si>
  <si>
    <t>На ФБ М - залистить</t>
  </si>
  <si>
    <t>3-Panel Black Clear Glass Room Dividers $2500 retail</t>
  </si>
  <si>
    <t>Допродать 4 товара ($662 прибыли), проигравшим, 
остальное на ФБ М залистить</t>
  </si>
  <si>
    <t>Отчет по продажам товаров на аукционе (14 января - 21 января)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</si>
</sst>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9" fontId="0" fillId="0" borderId="0" xfId="0" applyNumberFormat="1"/>
    <xf numFmtId="0" fontId="0" fillId="0" borderId="10" xfId="0" applyBorder="1"/>
    <xf numFmtId="0" fontId="18" fillId="0" borderId="10" xfId="0" applyFont="1" applyBorder="1"/>
    <xf numFmtId="0" fontId="18" fillId="0" borderId="0" xfId="0" applyFont="1"/>
    <xf numFmtId="3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9" fontId="18" fillId="0" borderId="10" xfId="0" applyNumberFormat="1" applyFont="1" applyBorder="1" applyAlignment="1">
      <alignment horizontal="center"/>
    </xf>
    <xf numFmtId="9" fontId="0" fillId="0" borderId="0" xfId="42" applyFont="1"/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50"/>
  <sheetViews>
    <sheetView tabSelected="1" topLeftCell="A28" zoomScale="115" zoomScaleNormal="100" zoomScaleSheetLayoutView="115" workbookViewId="0">
      <selection activeCell="D40" sqref="D40"/>
    </sheetView>
  </sheetViews>
  <sheetFormatPr defaultRowHeight="15.05" outlineLevelRow="1" x14ac:dyDescent="0.3"/>
  <cols>
    <col min="1" max="1" width="4.44140625" customWidth="1"/>
    <col min="2" max="2" width="22.44140625" customWidth="1"/>
    <col min="4" max="4" width="11.77734375" bestFit="1" customWidth="1"/>
    <col min="5" max="5" width="14.21875" bestFit="1" customWidth="1"/>
    <col min="8" max="8" width="9.88671875" bestFit="1" customWidth="1"/>
    <col min="9" max="9" width="10.88671875" bestFit="1" customWidth="1"/>
    <col min="10" max="10" width="17.88671875" customWidth="1"/>
    <col min="11" max="11" width="7.21875" customWidth="1"/>
  </cols>
  <sheetData>
    <row r="1" spans="2:11" hidden="1" outlineLevel="1" x14ac:dyDescent="0.3"/>
    <row r="2" spans="2:11" hidden="1" outlineLevel="1" x14ac:dyDescent="0.3">
      <c r="B2" s="4" t="s">
        <v>8</v>
      </c>
    </row>
    <row r="3" spans="2:11" s="4" customFormat="1" hidden="1" outlineLevel="1" x14ac:dyDescent="0.3">
      <c r="B3" s="3" t="s">
        <v>9</v>
      </c>
      <c r="C3" s="3" t="s">
        <v>7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25</v>
      </c>
    </row>
    <row r="4" spans="2:11" s="4" customFormat="1" hidden="1" outlineLevel="1" x14ac:dyDescent="0.3">
      <c r="B4" s="3" t="s">
        <v>10</v>
      </c>
      <c r="C4" s="5">
        <v>703</v>
      </c>
      <c r="D4" s="5">
        <v>122298</v>
      </c>
      <c r="E4" s="5">
        <v>13179</v>
      </c>
      <c r="F4" s="6"/>
      <c r="G4" s="5">
        <v>17138</v>
      </c>
      <c r="H4" s="5">
        <v>19709</v>
      </c>
      <c r="I4" s="6"/>
      <c r="J4" s="5">
        <v>6530</v>
      </c>
    </row>
    <row r="5" spans="2:11" hidden="1" outlineLevel="1" x14ac:dyDescent="0.3">
      <c r="B5" s="2" t="s">
        <v>11</v>
      </c>
      <c r="C5" s="7">
        <v>33</v>
      </c>
      <c r="D5" s="8">
        <v>26035</v>
      </c>
      <c r="E5" s="7"/>
      <c r="F5" s="7"/>
      <c r="G5" s="7"/>
      <c r="H5" s="7"/>
      <c r="I5" s="7"/>
      <c r="J5" s="7"/>
      <c r="K5" s="1"/>
    </row>
    <row r="6" spans="2:11" hidden="1" outlineLevel="1" x14ac:dyDescent="0.3">
      <c r="B6" s="2" t="s">
        <v>12</v>
      </c>
      <c r="C6" s="7">
        <v>20</v>
      </c>
      <c r="D6" s="7">
        <v>999</v>
      </c>
      <c r="E6" s="7"/>
      <c r="F6" s="7"/>
      <c r="G6" s="7"/>
      <c r="H6" s="7"/>
      <c r="I6" s="7"/>
      <c r="J6" s="7"/>
    </row>
    <row r="7" spans="2:11" hidden="1" outlineLevel="1" x14ac:dyDescent="0.3">
      <c r="B7" s="2" t="s">
        <v>13</v>
      </c>
      <c r="C7" s="7">
        <v>650</v>
      </c>
      <c r="D7" s="8">
        <v>95264</v>
      </c>
      <c r="E7" s="8">
        <v>13179</v>
      </c>
      <c r="F7" s="9">
        <v>0.14000000000000001</v>
      </c>
      <c r="G7" s="8">
        <v>17138</v>
      </c>
      <c r="H7" s="8">
        <v>19709</v>
      </c>
      <c r="I7" s="9">
        <v>0.21</v>
      </c>
      <c r="J7" s="7"/>
    </row>
    <row r="8" spans="2:11" hidden="1" outlineLevel="1" x14ac:dyDescent="0.3">
      <c r="B8" s="2" t="s">
        <v>0</v>
      </c>
      <c r="C8" s="7">
        <v>8</v>
      </c>
      <c r="D8" s="8">
        <v>9250</v>
      </c>
      <c r="E8" s="8">
        <v>1110</v>
      </c>
      <c r="F8" s="9">
        <v>0.12</v>
      </c>
      <c r="G8" s="8">
        <v>1606</v>
      </c>
      <c r="H8" s="8">
        <v>1847</v>
      </c>
      <c r="I8" s="9">
        <v>0.17</v>
      </c>
      <c r="J8" s="7">
        <v>737</v>
      </c>
    </row>
    <row r="9" spans="2:11" hidden="1" outlineLevel="1" x14ac:dyDescent="0.3">
      <c r="B9" s="2" t="s">
        <v>1</v>
      </c>
      <c r="C9" s="7">
        <v>7</v>
      </c>
      <c r="D9" s="8">
        <v>9530</v>
      </c>
      <c r="E9" s="7">
        <v>477</v>
      </c>
      <c r="F9" s="9">
        <v>0.05</v>
      </c>
      <c r="G9" s="7">
        <v>620</v>
      </c>
      <c r="H9" s="7">
        <v>713</v>
      </c>
      <c r="I9" s="9">
        <v>7.0000000000000007E-2</v>
      </c>
      <c r="J9" s="7">
        <v>236</v>
      </c>
    </row>
    <row r="10" spans="2:11" hidden="1" outlineLevel="1" x14ac:dyDescent="0.3">
      <c r="B10" s="2" t="s">
        <v>2</v>
      </c>
      <c r="C10" s="7">
        <v>35</v>
      </c>
      <c r="D10" s="8">
        <v>12279</v>
      </c>
      <c r="E10" s="8">
        <v>2456</v>
      </c>
      <c r="F10" s="9">
        <v>0.2</v>
      </c>
      <c r="G10" s="8">
        <v>2627</v>
      </c>
      <c r="H10" s="8">
        <v>3021</v>
      </c>
      <c r="I10" s="9">
        <v>0.21</v>
      </c>
      <c r="J10" s="7">
        <v>565</v>
      </c>
    </row>
    <row r="11" spans="2:11" hidden="1" outlineLevel="1" x14ac:dyDescent="0.3">
      <c r="B11" s="2" t="s">
        <v>3</v>
      </c>
      <c r="C11" s="7">
        <v>90</v>
      </c>
      <c r="D11" s="8">
        <v>15526</v>
      </c>
      <c r="E11" s="8">
        <v>1863</v>
      </c>
      <c r="F11" s="9">
        <v>0.12</v>
      </c>
      <c r="G11" s="8">
        <v>4462</v>
      </c>
      <c r="H11" s="8">
        <v>5131</v>
      </c>
      <c r="I11" s="9">
        <v>0.28999999999999998</v>
      </c>
      <c r="J11" s="8">
        <v>3268</v>
      </c>
    </row>
    <row r="12" spans="2:11" hidden="1" outlineLevel="1" x14ac:dyDescent="0.3">
      <c r="B12" s="2" t="s">
        <v>4</v>
      </c>
      <c r="C12" s="7">
        <v>109</v>
      </c>
      <c r="D12" s="8">
        <v>15657</v>
      </c>
      <c r="E12" s="8">
        <v>3131</v>
      </c>
      <c r="F12" s="9">
        <v>0.2</v>
      </c>
      <c r="G12" s="8">
        <v>3822</v>
      </c>
      <c r="H12" s="8">
        <v>4395</v>
      </c>
      <c r="I12" s="9">
        <v>0.24</v>
      </c>
      <c r="J12" s="8">
        <v>1264</v>
      </c>
    </row>
    <row r="13" spans="2:11" hidden="1" outlineLevel="1" x14ac:dyDescent="0.3">
      <c r="B13" s="2" t="s">
        <v>5</v>
      </c>
      <c r="C13" s="7">
        <v>399</v>
      </c>
      <c r="D13" s="8">
        <v>25325</v>
      </c>
      <c r="E13" s="8">
        <v>4052</v>
      </c>
      <c r="F13" s="9">
        <v>0.16</v>
      </c>
      <c r="G13" s="8">
        <v>3641</v>
      </c>
      <c r="H13" s="8">
        <v>4187</v>
      </c>
      <c r="I13" s="9">
        <v>0.14000000000000001</v>
      </c>
      <c r="J13" s="7">
        <v>135</v>
      </c>
    </row>
    <row r="14" spans="2:11" hidden="1" outlineLevel="1" x14ac:dyDescent="0.3">
      <c r="B14" s="2" t="s">
        <v>6</v>
      </c>
      <c r="C14" s="7">
        <v>2</v>
      </c>
      <c r="D14" s="8">
        <v>7697</v>
      </c>
      <c r="E14" s="7">
        <v>90</v>
      </c>
      <c r="F14" s="9">
        <v>0.01</v>
      </c>
      <c r="G14" s="7">
        <v>360</v>
      </c>
      <c r="H14" s="7">
        <v>414</v>
      </c>
      <c r="I14" s="9">
        <v>0.05</v>
      </c>
      <c r="J14" s="7">
        <v>324</v>
      </c>
    </row>
    <row r="15" spans="2:11" hidden="1" outlineLevel="1" x14ac:dyDescent="0.3"/>
    <row r="16" spans="2:11" hidden="1" outlineLevel="1" x14ac:dyDescent="0.3">
      <c r="B16" s="4" t="s">
        <v>20</v>
      </c>
    </row>
    <row r="17" spans="2:10" hidden="1" outlineLevel="1" x14ac:dyDescent="0.3">
      <c r="B17" s="3" t="s">
        <v>9</v>
      </c>
      <c r="C17" s="3" t="s">
        <v>21</v>
      </c>
      <c r="D17" s="3" t="s">
        <v>14</v>
      </c>
      <c r="E17" s="3" t="s">
        <v>22</v>
      </c>
      <c r="F17" s="3" t="s">
        <v>16</v>
      </c>
      <c r="G17" s="3" t="s">
        <v>17</v>
      </c>
      <c r="H17" s="3" t="s">
        <v>23</v>
      </c>
      <c r="I17" s="3" t="s">
        <v>24</v>
      </c>
      <c r="J17" s="3" t="s">
        <v>25</v>
      </c>
    </row>
    <row r="18" spans="2:10" hidden="1" outlineLevel="1" x14ac:dyDescent="0.3">
      <c r="B18" s="2" t="s">
        <v>1</v>
      </c>
      <c r="C18" s="7">
        <v>12</v>
      </c>
      <c r="D18" s="8">
        <v>6725</v>
      </c>
      <c r="E18" s="7">
        <v>350</v>
      </c>
      <c r="F18" s="9">
        <v>0.05</v>
      </c>
      <c r="G18" s="8">
        <v>2585</v>
      </c>
      <c r="H18" s="8">
        <v>2327</v>
      </c>
      <c r="I18" s="9">
        <v>0.38</v>
      </c>
      <c r="J18" s="8">
        <v>1977</v>
      </c>
    </row>
    <row r="19" spans="2:10" hidden="1" outlineLevel="1" x14ac:dyDescent="0.3">
      <c r="C19" s="10"/>
      <c r="D19" s="10"/>
      <c r="E19" s="10"/>
      <c r="F19" s="10"/>
      <c r="G19" s="10"/>
      <c r="H19" s="10"/>
      <c r="I19" s="10"/>
      <c r="J19" s="10"/>
    </row>
    <row r="20" spans="2:10" hidden="1" outlineLevel="1" x14ac:dyDescent="0.3">
      <c r="B20" s="3" t="s">
        <v>26</v>
      </c>
      <c r="C20" s="5">
        <v>1312</v>
      </c>
      <c r="D20" s="5">
        <v>101989</v>
      </c>
      <c r="E20" s="5">
        <v>13529</v>
      </c>
      <c r="F20" s="11">
        <v>0.13</v>
      </c>
      <c r="G20" s="5">
        <v>19723</v>
      </c>
      <c r="H20" s="5">
        <v>22035</v>
      </c>
      <c r="I20" s="11">
        <v>0.19</v>
      </c>
      <c r="J20" s="5">
        <v>8506</v>
      </c>
    </row>
    <row r="21" spans="2:10" hidden="1" outlineLevel="1" x14ac:dyDescent="0.3"/>
    <row r="22" spans="2:10" collapsed="1" x14ac:dyDescent="0.3"/>
    <row r="23" spans="2:10" x14ac:dyDescent="0.3">
      <c r="B23" s="4" t="s">
        <v>32</v>
      </c>
    </row>
    <row r="24" spans="2:10" x14ac:dyDescent="0.3">
      <c r="B24" s="3" t="s">
        <v>9</v>
      </c>
      <c r="C24" s="3" t="s">
        <v>7</v>
      </c>
      <c r="D24" s="3" t="s">
        <v>14</v>
      </c>
      <c r="E24" s="3" t="s">
        <v>15</v>
      </c>
      <c r="F24" s="3" t="s">
        <v>16</v>
      </c>
      <c r="G24" s="24" t="s">
        <v>27</v>
      </c>
      <c r="H24" s="25"/>
      <c r="I24" s="25"/>
      <c r="J24" s="26"/>
    </row>
    <row r="25" spans="2:10" x14ac:dyDescent="0.3">
      <c r="B25" s="3" t="s">
        <v>10</v>
      </c>
      <c r="C25" s="5">
        <v>362</v>
      </c>
      <c r="D25" s="5">
        <v>118567</v>
      </c>
      <c r="E25" s="5"/>
      <c r="F25" s="6"/>
      <c r="G25" s="18"/>
      <c r="H25" s="19"/>
      <c r="I25" s="19"/>
      <c r="J25" s="20"/>
    </row>
    <row r="26" spans="2:10" x14ac:dyDescent="0.3">
      <c r="B26" s="2" t="s">
        <v>11</v>
      </c>
      <c r="C26" s="7">
        <v>50</v>
      </c>
      <c r="D26" s="8">
        <v>43952</v>
      </c>
      <c r="E26" s="7"/>
      <c r="F26" s="7"/>
      <c r="G26" s="18"/>
      <c r="H26" s="19"/>
      <c r="I26" s="19"/>
      <c r="J26" s="20"/>
    </row>
    <row r="27" spans="2:10" s="17" customFormat="1" ht="32.6" customHeight="1" x14ac:dyDescent="0.3">
      <c r="B27" s="13" t="s">
        <v>0</v>
      </c>
      <c r="C27" s="14">
        <v>34</v>
      </c>
      <c r="D27" s="15">
        <v>33937</v>
      </c>
      <c r="E27" s="15">
        <v>4753</v>
      </c>
      <c r="F27" s="16">
        <f>E27/D27</f>
        <v>0.14005362878274449</v>
      </c>
      <c r="G27" s="21" t="s">
        <v>31</v>
      </c>
      <c r="H27" s="22"/>
      <c r="I27" s="22"/>
      <c r="J27" s="23"/>
    </row>
    <row r="28" spans="2:10" x14ac:dyDescent="0.3">
      <c r="B28" s="2" t="s">
        <v>1</v>
      </c>
      <c r="C28" s="7">
        <v>11</v>
      </c>
      <c r="D28" s="8">
        <v>6278</v>
      </c>
      <c r="E28" s="8">
        <v>438</v>
      </c>
      <c r="F28" s="9">
        <f>E28/D28</f>
        <v>6.9767441860465115E-2</v>
      </c>
      <c r="G28" s="27" t="s">
        <v>29</v>
      </c>
      <c r="H28" s="28"/>
      <c r="I28" s="28"/>
      <c r="J28" s="29"/>
    </row>
    <row r="29" spans="2:10" x14ac:dyDescent="0.3">
      <c r="B29" s="2" t="s">
        <v>2</v>
      </c>
      <c r="C29" s="7">
        <v>2</v>
      </c>
      <c r="D29" s="8">
        <v>3058</v>
      </c>
      <c r="E29" s="8">
        <f>D29*F29</f>
        <v>611.6</v>
      </c>
      <c r="F29" s="9">
        <v>0.2</v>
      </c>
      <c r="G29" s="27" t="s">
        <v>30</v>
      </c>
      <c r="H29" s="28"/>
      <c r="I29" s="28"/>
      <c r="J29" s="29"/>
    </row>
    <row r="30" spans="2:10" x14ac:dyDescent="0.3">
      <c r="B30" s="2" t="s">
        <v>3</v>
      </c>
      <c r="C30" s="7">
        <v>3</v>
      </c>
      <c r="D30" s="8">
        <v>679</v>
      </c>
      <c r="E30" s="8">
        <v>82</v>
      </c>
      <c r="F30" s="9">
        <f>E30/D30</f>
        <v>0.12076583210603829</v>
      </c>
      <c r="G30" s="18"/>
      <c r="H30" s="19"/>
      <c r="I30" s="19"/>
      <c r="J30" s="20"/>
    </row>
    <row r="31" spans="2:10" x14ac:dyDescent="0.3">
      <c r="B31" s="2" t="s">
        <v>4</v>
      </c>
      <c r="C31" s="7"/>
      <c r="D31" s="8"/>
      <c r="E31" s="8"/>
      <c r="F31" s="9"/>
      <c r="G31" s="18"/>
      <c r="H31" s="19"/>
      <c r="I31" s="19"/>
      <c r="J31" s="20"/>
    </row>
    <row r="32" spans="2:10" x14ac:dyDescent="0.3">
      <c r="B32" s="2" t="s">
        <v>5</v>
      </c>
      <c r="C32" s="7"/>
      <c r="D32" s="8"/>
      <c r="E32" s="8"/>
      <c r="F32" s="9"/>
      <c r="G32" s="18"/>
      <c r="H32" s="19"/>
      <c r="I32" s="19"/>
      <c r="J32" s="20"/>
    </row>
    <row r="33" spans="2:11" x14ac:dyDescent="0.3">
      <c r="B33" s="2" t="s">
        <v>12</v>
      </c>
      <c r="C33" s="7">
        <v>34</v>
      </c>
      <c r="D33" s="8">
        <v>2162</v>
      </c>
      <c r="E33" s="7"/>
      <c r="F33" s="7"/>
      <c r="G33" s="18"/>
      <c r="H33" s="19"/>
      <c r="I33" s="19"/>
      <c r="J33" s="20"/>
    </row>
    <row r="35" spans="2:11" x14ac:dyDescent="0.3">
      <c r="B35" t="s">
        <v>28</v>
      </c>
    </row>
    <row r="36" spans="2:11" x14ac:dyDescent="0.3">
      <c r="B36" s="3" t="s">
        <v>9</v>
      </c>
      <c r="C36" s="3" t="s">
        <v>7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  <c r="J36" s="3" t="s">
        <v>25</v>
      </c>
    </row>
    <row r="37" spans="2:11" x14ac:dyDescent="0.3">
      <c r="B37" s="3" t="s">
        <v>13</v>
      </c>
      <c r="C37" s="5">
        <f>C25-C26-C33</f>
        <v>278</v>
      </c>
      <c r="D37" s="5">
        <f>D25-D26-D33</f>
        <v>72453</v>
      </c>
      <c r="E37" s="5">
        <f>SUM(E38:E43)</f>
        <v>9891</v>
      </c>
      <c r="F37" s="11">
        <f t="shared" ref="F37:F43" si="0">E37/D37</f>
        <v>0.13651608629042275</v>
      </c>
      <c r="G37" s="5">
        <f>SUM(G38:G43)</f>
        <v>19673</v>
      </c>
      <c r="H37" s="5">
        <f t="shared" ref="H37:H43" si="1">G37*1.15</f>
        <v>22623.949999999997</v>
      </c>
      <c r="I37" s="11">
        <f t="shared" ref="I37:I43" si="2">H37/D37</f>
        <v>0.3122569113770306</v>
      </c>
      <c r="J37" s="5">
        <f t="shared" ref="J37:J43" si="3">H37-E37</f>
        <v>12732.949999999997</v>
      </c>
    </row>
    <row r="38" spans="2:11" x14ac:dyDescent="0.3">
      <c r="B38" s="2" t="s">
        <v>0</v>
      </c>
      <c r="C38" s="7">
        <v>66</v>
      </c>
      <c r="D38" s="8">
        <v>47943</v>
      </c>
      <c r="E38" s="8">
        <v>6714</v>
      </c>
      <c r="F38" s="9">
        <f t="shared" si="0"/>
        <v>0.14004129904261312</v>
      </c>
      <c r="G38" s="8">
        <v>14219</v>
      </c>
      <c r="H38" s="8">
        <f t="shared" si="1"/>
        <v>16351.849999999999</v>
      </c>
      <c r="I38" s="9">
        <f t="shared" si="2"/>
        <v>0.34106856058235818</v>
      </c>
      <c r="J38" s="8">
        <f t="shared" si="3"/>
        <v>9637.8499999999985</v>
      </c>
      <c r="K38" s="12">
        <f>J38/$J$37</f>
        <v>0.75692200157858158</v>
      </c>
    </row>
    <row r="39" spans="2:11" x14ac:dyDescent="0.3">
      <c r="B39" s="2" t="s">
        <v>1</v>
      </c>
      <c r="C39" s="7">
        <v>34</v>
      </c>
      <c r="D39" s="8">
        <v>5642</v>
      </c>
      <c r="E39" s="7">
        <v>397</v>
      </c>
      <c r="F39" s="9">
        <f t="shared" si="0"/>
        <v>7.036511875221553E-2</v>
      </c>
      <c r="G39" s="7">
        <v>834</v>
      </c>
      <c r="H39" s="8">
        <f t="shared" si="1"/>
        <v>959.09999999999991</v>
      </c>
      <c r="I39" s="9">
        <f t="shared" si="2"/>
        <v>0.16999291031549094</v>
      </c>
      <c r="J39" s="8">
        <f t="shared" si="3"/>
        <v>562.09999999999991</v>
      </c>
    </row>
    <row r="40" spans="2:11" x14ac:dyDescent="0.3">
      <c r="B40" s="2" t="s">
        <v>2</v>
      </c>
      <c r="C40" s="7"/>
      <c r="D40" s="8"/>
      <c r="E40" s="8"/>
      <c r="F40" s="9"/>
      <c r="G40" s="8"/>
      <c r="H40" s="8"/>
      <c r="I40" s="9"/>
      <c r="J40" s="8"/>
    </row>
    <row r="41" spans="2:11" x14ac:dyDescent="0.3">
      <c r="B41" s="2" t="s">
        <v>3</v>
      </c>
      <c r="C41" s="7">
        <v>104</v>
      </c>
      <c r="D41" s="8">
        <v>10769</v>
      </c>
      <c r="E41" s="8">
        <v>1288</v>
      </c>
      <c r="F41" s="9">
        <f t="shared" si="0"/>
        <v>0.11960256291206241</v>
      </c>
      <c r="G41" s="8">
        <v>3125</v>
      </c>
      <c r="H41" s="8">
        <f t="shared" si="1"/>
        <v>3593.7499999999995</v>
      </c>
      <c r="I41" s="9">
        <f t="shared" si="2"/>
        <v>0.33371250812517406</v>
      </c>
      <c r="J41" s="8">
        <f t="shared" si="3"/>
        <v>2305.7499999999995</v>
      </c>
      <c r="K41" s="12">
        <f>J41/$J$37</f>
        <v>0.1810852944525817</v>
      </c>
    </row>
    <row r="42" spans="2:11" x14ac:dyDescent="0.3">
      <c r="B42" s="2" t="s">
        <v>4</v>
      </c>
      <c r="C42" s="7">
        <v>29</v>
      </c>
      <c r="D42" s="8">
        <v>4786</v>
      </c>
      <c r="E42" s="8">
        <v>958</v>
      </c>
      <c r="F42" s="9">
        <f t="shared" si="0"/>
        <v>0.20016715419974926</v>
      </c>
      <c r="G42" s="8">
        <v>756</v>
      </c>
      <c r="H42" s="8">
        <f t="shared" si="1"/>
        <v>869.4</v>
      </c>
      <c r="I42" s="9">
        <f t="shared" si="2"/>
        <v>0.18165482657751775</v>
      </c>
      <c r="J42" s="8">
        <f t="shared" si="3"/>
        <v>-88.600000000000023</v>
      </c>
    </row>
    <row r="43" spans="2:11" x14ac:dyDescent="0.3">
      <c r="B43" s="2" t="s">
        <v>5</v>
      </c>
      <c r="C43" s="7">
        <v>46</v>
      </c>
      <c r="D43" s="8">
        <v>3313</v>
      </c>
      <c r="E43" s="8">
        <v>534</v>
      </c>
      <c r="F43" s="9">
        <f t="shared" si="0"/>
        <v>0.16118321762752791</v>
      </c>
      <c r="G43" s="8">
        <v>739</v>
      </c>
      <c r="H43" s="8">
        <f t="shared" si="1"/>
        <v>849.84999999999991</v>
      </c>
      <c r="I43" s="9">
        <f t="shared" si="2"/>
        <v>0.256519770600664</v>
      </c>
      <c r="J43" s="8">
        <f t="shared" si="3"/>
        <v>315.84999999999991</v>
      </c>
      <c r="K43" s="12">
        <f>J43/$J$37</f>
        <v>2.4805720591064912E-2</v>
      </c>
    </row>
    <row r="44" spans="2:11" x14ac:dyDescent="0.3">
      <c r="B44" s="2" t="s">
        <v>6</v>
      </c>
      <c r="C44" s="7"/>
      <c r="D44" s="8"/>
      <c r="E44" s="7"/>
      <c r="F44" s="9"/>
      <c r="G44" s="7"/>
      <c r="H44" s="8"/>
      <c r="I44" s="9"/>
      <c r="J44" s="8"/>
    </row>
    <row r="46" spans="2:11" x14ac:dyDescent="0.3">
      <c r="B46" s="4" t="s">
        <v>20</v>
      </c>
    </row>
    <row r="47" spans="2:11" x14ac:dyDescent="0.3">
      <c r="B47" s="3" t="s">
        <v>9</v>
      </c>
      <c r="C47" s="3" t="s">
        <v>21</v>
      </c>
      <c r="D47" s="3" t="s">
        <v>14</v>
      </c>
      <c r="E47" s="3" t="s">
        <v>22</v>
      </c>
      <c r="F47" s="3" t="s">
        <v>16</v>
      </c>
      <c r="G47" s="3" t="s">
        <v>17</v>
      </c>
      <c r="H47" s="3" t="s">
        <v>23</v>
      </c>
      <c r="I47" s="3" t="s">
        <v>24</v>
      </c>
      <c r="J47" s="3" t="s">
        <v>25</v>
      </c>
    </row>
    <row r="48" spans="2:11" x14ac:dyDescent="0.3">
      <c r="B48" s="2" t="s">
        <v>0</v>
      </c>
      <c r="C48" s="7">
        <v>2</v>
      </c>
      <c r="D48" s="8">
        <v>2800</v>
      </c>
      <c r="E48" s="7">
        <f>D48*F48</f>
        <v>392.00000000000006</v>
      </c>
      <c r="F48" s="9">
        <v>0.14000000000000001</v>
      </c>
      <c r="G48" s="8">
        <v>1000</v>
      </c>
      <c r="H48" s="8">
        <f>G48*10%</f>
        <v>100</v>
      </c>
      <c r="I48" s="9">
        <f>(G48-H48)/D48</f>
        <v>0.32142857142857145</v>
      </c>
      <c r="J48" s="8">
        <f>G48-H48-E48</f>
        <v>507.99999999999994</v>
      </c>
      <c r="K48" s="12">
        <f>J48/$J$37</f>
        <v>3.989648903042893E-2</v>
      </c>
    </row>
    <row r="49" spans="2:10" x14ac:dyDescent="0.3">
      <c r="C49" s="10"/>
      <c r="D49" s="10"/>
      <c r="E49" s="10"/>
      <c r="F49" s="10"/>
      <c r="G49" s="10"/>
      <c r="H49" s="10"/>
      <c r="I49" s="10"/>
      <c r="J49" s="10"/>
    </row>
    <row r="50" spans="2:10" x14ac:dyDescent="0.3">
      <c r="B50" s="3" t="s">
        <v>26</v>
      </c>
      <c r="C50" s="5"/>
      <c r="D50" s="5"/>
      <c r="E50" s="5"/>
      <c r="F50" s="11"/>
      <c r="G50" s="5"/>
      <c r="H50" s="5"/>
      <c r="I50" s="11"/>
      <c r="J50" s="5">
        <f>J48+J37</f>
        <v>13240.949999999997</v>
      </c>
    </row>
  </sheetData>
  <mergeCells count="10">
    <mergeCell ref="G24:J24"/>
    <mergeCell ref="G25:J25"/>
    <mergeCell ref="G26:J26"/>
    <mergeCell ref="G28:J28"/>
    <mergeCell ref="G29:J29"/>
    <mergeCell ref="G30:J30"/>
    <mergeCell ref="G31:J31"/>
    <mergeCell ref="G32:J32"/>
    <mergeCell ref="G33:J33"/>
    <mergeCell ref="G27:J27"/>
  </mergeCells>
  <pageMargins left="0.7" right="0.7" top="0.75" bottom="0.75" header="0.3" footer="0.3"/>
  <pageSetup paperSize="9" scale="86" fitToHeight="0" orientation="landscape" r:id="rId1"/>
  <rowBreaks count="1" manualBreakCount="1">
    <brk id="53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Overstock Product Liquidation S</vt:lpstr>
      <vt:lpstr>'Overstock Product Liquidation 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Yesset Karayev</dc:creator>
  <cp:lastModifiedBy>Yesset Karayev</cp:lastModifiedBy>
  <cp:lastPrinted>2026-01-22T04:29:53Z</cp:lastPrinted>
  <dcterms:created xsi:type="dcterms:W3CDTF">2026-01-06T12:34:40Z</dcterms:created>
  <dcterms:modified xsi:type="dcterms:W3CDTF">2026-01-26T16:49:05Z</dcterms:modified>
</cp:coreProperties>
</file>