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mazo\Desktop\"/>
    </mc:Choice>
  </mc:AlternateContent>
  <xr:revisionPtr revIDLastSave="0" documentId="13_ncr:1_{7AB6F439-DB33-46AB-BE13-5A4F9F057CD9}" xr6:coauthVersionLast="47" xr6:coauthVersionMax="47" xr10:uidLastSave="{00000000-0000-0000-0000-000000000000}"/>
  <bookViews>
    <workbookView xWindow="-113" yWindow="-113" windowWidth="24267" windowHeight="13023" firstSheet="1" activeTab="3" xr2:uid="{00000000-000D-0000-FFFF-FFFF00000000}"/>
  </bookViews>
  <sheets>
    <sheet name="Sugarland_24" sheetId="1" state="hidden" r:id="rId1"/>
    <sheet name="Hibid stat" sheetId="5" r:id="rId2"/>
    <sheet name="S-24" sheetId="2" r:id="rId3"/>
    <sheet name="Sugarland-25" sheetId="4" r:id="rId4"/>
  </sheets>
  <externalReferences>
    <externalReference r:id="rId5"/>
  </externalReferences>
  <definedNames>
    <definedName name="_xlnm._FilterDatabase" localSheetId="1" hidden="1">'Hibid stat'!$A$1:$Q$1</definedName>
    <definedName name="_xlnm._FilterDatabase" localSheetId="2" hidden="1">'S-24'!$A$1:$U$203</definedName>
    <definedName name="_xlnm._FilterDatabase" localSheetId="3" hidden="1">'Sugarland-25'!$A$1:$X$203</definedName>
    <definedName name="_xlnm.Print_Area" localSheetId="2">'S-24'!$A$1:$U$203</definedName>
    <definedName name="_xlnm.Print_Area" localSheetId="3">'Sugarland-25'!$A$1:$V$203</definedName>
    <definedName name="s20_" localSheetId="1">'Hibid stat'!$A$1:$Q$363</definedName>
    <definedName name="s21_" localSheetId="1">'Hibid stat'!$A$364:$Q$680</definedName>
    <definedName name="s22_" localSheetId="1">'Hibid stat'!$A$681:$Q$998</definedName>
    <definedName name="s23_" localSheetId="1">'Hibid stat'!$A$999:$Q$1202</definedName>
    <definedName name="s24_" localSheetId="1">'Hibid stat'!$A$1203:$Q$1406</definedName>
    <definedName name="Sugarland_24" localSheetId="2">'S-24'!$A$1:$E$203</definedName>
    <definedName name="Sugarland_25" localSheetId="3">'Sugarland-25'!$A$1:$F$203</definedName>
  </definedNames>
  <calcPr calcId="181029"/>
</workbook>
</file>

<file path=xl/calcChain.xml><?xml version="1.0" encoding="utf-8"?>
<calcChain xmlns="http://schemas.openxmlformats.org/spreadsheetml/2006/main">
  <c r="T2" i="2" l="1"/>
  <c r="Q119" i="4"/>
  <c r="Q199" i="4"/>
  <c r="Q179" i="4"/>
  <c r="Q15" i="4"/>
  <c r="Q165" i="4"/>
  <c r="Q24" i="4"/>
  <c r="Q30" i="4"/>
  <c r="Q142" i="4"/>
  <c r="Q169" i="4"/>
  <c r="Q151" i="4"/>
  <c r="Q194" i="4"/>
  <c r="Q10" i="4"/>
  <c r="Q176" i="4"/>
  <c r="Q44" i="4"/>
  <c r="Q167" i="4"/>
  <c r="Q38" i="4"/>
  <c r="Q173" i="4"/>
  <c r="Q97" i="4"/>
  <c r="Q195" i="4"/>
  <c r="Q77" i="4"/>
  <c r="Q171" i="4"/>
  <c r="Q125" i="4"/>
  <c r="Q182" i="4"/>
  <c r="Q111" i="4"/>
  <c r="Q192" i="4"/>
  <c r="Q35" i="4"/>
  <c r="Q188" i="4"/>
  <c r="Q69" i="4"/>
  <c r="Q193" i="4"/>
  <c r="Q158" i="4"/>
  <c r="Q175" i="4"/>
  <c r="Q74" i="4"/>
  <c r="Q190" i="4"/>
  <c r="Q17" i="4"/>
  <c r="Q184" i="4"/>
  <c r="Q106" i="4"/>
  <c r="Q48" i="4"/>
  <c r="Q124" i="4"/>
  <c r="Q96" i="4"/>
  <c r="Q110" i="4"/>
  <c r="Q57" i="4"/>
  <c r="Q73" i="4"/>
  <c r="Q198" i="4"/>
  <c r="Q3" i="4"/>
  <c r="Q47" i="4"/>
  <c r="Q131" i="4"/>
  <c r="Q39" i="4"/>
  <c r="Q187" i="4"/>
  <c r="Q49" i="4"/>
  <c r="Q136" i="4"/>
  <c r="Q62" i="4"/>
  <c r="Q185" i="4"/>
  <c r="Q164" i="4"/>
  <c r="Q177" i="4"/>
  <c r="Q118" i="4"/>
  <c r="Q178" i="4"/>
  <c r="Q26" i="4"/>
  <c r="Q180" i="4"/>
  <c r="Q157" i="4"/>
  <c r="Q183" i="4"/>
  <c r="Q159" i="4"/>
  <c r="Q196" i="4"/>
  <c r="Q186" i="4"/>
  <c r="Q197" i="4"/>
  <c r="Q170" i="4"/>
  <c r="Q181" i="4"/>
  <c r="Q107" i="4"/>
  <c r="Q148" i="4"/>
  <c r="Q102" i="4"/>
  <c r="Q120" i="4"/>
  <c r="Q93" i="4"/>
  <c r="Q191" i="4"/>
  <c r="Q140" i="4"/>
  <c r="Q146" i="4"/>
  <c r="Q66" i="4"/>
  <c r="Q43" i="4"/>
  <c r="Q114" i="4"/>
  <c r="Q64" i="4"/>
  <c r="Q6" i="4"/>
  <c r="Q65" i="4"/>
  <c r="Q135" i="4"/>
  <c r="Q201" i="4"/>
  <c r="Q88" i="4"/>
  <c r="Q123" i="4"/>
  <c r="Q59" i="4"/>
  <c r="Q160" i="4"/>
  <c r="Q50" i="4"/>
  <c r="Q189" i="4"/>
  <c r="Q61" i="4"/>
  <c r="Q121" i="4"/>
  <c r="Q203" i="4"/>
  <c r="Q200" i="4"/>
  <c r="Q33" i="4"/>
  <c r="Q98" i="4"/>
  <c r="Q105" i="4"/>
  <c r="Q134" i="4"/>
  <c r="Q112" i="4"/>
  <c r="Q18" i="4"/>
  <c r="Q129" i="4"/>
  <c r="Q130" i="4"/>
  <c r="Q133" i="4"/>
  <c r="Q23" i="4"/>
  <c r="Q86" i="4"/>
  <c r="Q54" i="4"/>
  <c r="Q149" i="4"/>
  <c r="Q67" i="4"/>
  <c r="Q150" i="4"/>
  <c r="Q78" i="4"/>
  <c r="Q72" i="4"/>
  <c r="Q19" i="4"/>
  <c r="Q104" i="4"/>
  <c r="Q80" i="4"/>
  <c r="Q46" i="4"/>
  <c r="Q202" i="4"/>
  <c r="Q132" i="4"/>
  <c r="Q152" i="4"/>
  <c r="Q139" i="4"/>
  <c r="Q13" i="4"/>
  <c r="Q161" i="4"/>
  <c r="Q63" i="4"/>
  <c r="Q79" i="4"/>
  <c r="Q81" i="4"/>
  <c r="Q116" i="4"/>
  <c r="Q143" i="4"/>
  <c r="Q137" i="4"/>
  <c r="Q144" i="4"/>
  <c r="Q162" i="4"/>
  <c r="Q29" i="4"/>
  <c r="Q40" i="4"/>
  <c r="Q34" i="4"/>
  <c r="Q5" i="4"/>
  <c r="Q113" i="4"/>
  <c r="Q172" i="4"/>
  <c r="Q4" i="4"/>
  <c r="Q7" i="4"/>
  <c r="Q9" i="4"/>
  <c r="Q101" i="4"/>
  <c r="Q70" i="4"/>
  <c r="Q115" i="4"/>
  <c r="Q28" i="4"/>
  <c r="Q126" i="4"/>
  <c r="Q92" i="4"/>
  <c r="Q83" i="4"/>
  <c r="Q127" i="4"/>
  <c r="Q31" i="4"/>
  <c r="Q154" i="4"/>
  <c r="Q76" i="4"/>
  <c r="Q16" i="4"/>
  <c r="Q163" i="4"/>
  <c r="Q14" i="4"/>
  <c r="Q21" i="4"/>
  <c r="Q168" i="4"/>
  <c r="Q141" i="4"/>
  <c r="Q45" i="4"/>
  <c r="Q71" i="4"/>
  <c r="Q138" i="4"/>
  <c r="Q89" i="4"/>
  <c r="Q12" i="4"/>
  <c r="Q156" i="4"/>
  <c r="Q22" i="4"/>
  <c r="Q108" i="4"/>
  <c r="Q20" i="4"/>
  <c r="Q25" i="4"/>
  <c r="Q42" i="4"/>
  <c r="Q60" i="4"/>
  <c r="Q2" i="4"/>
  <c r="Q153" i="4"/>
  <c r="Q37" i="4"/>
  <c r="Q27" i="4"/>
  <c r="Q55" i="4"/>
  <c r="Q155" i="4"/>
  <c r="Q95" i="4"/>
  <c r="Q128" i="4"/>
  <c r="Q8" i="4"/>
  <c r="Q90" i="4"/>
  <c r="Q68" i="4"/>
  <c r="Q94" i="4"/>
  <c r="Q166" i="4"/>
  <c r="Q122" i="4"/>
  <c r="Q58" i="4"/>
  <c r="Q87" i="4"/>
  <c r="Q36" i="4"/>
  <c r="Q75" i="4"/>
  <c r="Q53" i="4"/>
  <c r="Q84" i="4"/>
  <c r="Q100" i="4"/>
  <c r="Q85" i="4"/>
  <c r="Q117" i="4"/>
  <c r="Q145" i="4"/>
  <c r="Q82" i="4"/>
  <c r="Q11" i="4"/>
  <c r="Q51" i="4"/>
  <c r="Q147" i="4"/>
  <c r="Q91" i="4"/>
  <c r="Q99" i="4"/>
  <c r="Q109" i="4"/>
  <c r="Q41" i="4"/>
  <c r="Q52" i="4"/>
  <c r="Q56" i="4"/>
  <c r="Q32" i="4"/>
  <c r="Q103" i="4"/>
  <c r="P119" i="4"/>
  <c r="W119" i="4" s="1"/>
  <c r="P199" i="4"/>
  <c r="W199" i="4" s="1"/>
  <c r="P179" i="4"/>
  <c r="W179" i="4" s="1"/>
  <c r="P15" i="4"/>
  <c r="W15" i="4" s="1"/>
  <c r="P165" i="4"/>
  <c r="W165" i="4" s="1"/>
  <c r="P24" i="4"/>
  <c r="W24" i="4" s="1"/>
  <c r="P30" i="4"/>
  <c r="W30" i="4" s="1"/>
  <c r="P142" i="4"/>
  <c r="W142" i="4" s="1"/>
  <c r="P169" i="4"/>
  <c r="W169" i="4" s="1"/>
  <c r="P151" i="4"/>
  <c r="W151" i="4" s="1"/>
  <c r="P194" i="4"/>
  <c r="W194" i="4" s="1"/>
  <c r="P10" i="4"/>
  <c r="W10" i="4" s="1"/>
  <c r="P176" i="4"/>
  <c r="W176" i="4" s="1"/>
  <c r="P44" i="4"/>
  <c r="W44" i="4" s="1"/>
  <c r="P167" i="4"/>
  <c r="W167" i="4" s="1"/>
  <c r="P38" i="4"/>
  <c r="W38" i="4" s="1"/>
  <c r="P173" i="4"/>
  <c r="W173" i="4" s="1"/>
  <c r="P97" i="4"/>
  <c r="W97" i="4" s="1"/>
  <c r="P195" i="4"/>
  <c r="W195" i="4" s="1"/>
  <c r="P77" i="4"/>
  <c r="W77" i="4" s="1"/>
  <c r="P171" i="4"/>
  <c r="W171" i="4" s="1"/>
  <c r="P125" i="4"/>
  <c r="W125" i="4" s="1"/>
  <c r="P182" i="4"/>
  <c r="W182" i="4" s="1"/>
  <c r="P111" i="4"/>
  <c r="W111" i="4" s="1"/>
  <c r="P192" i="4"/>
  <c r="W192" i="4" s="1"/>
  <c r="P35" i="4"/>
  <c r="W35" i="4" s="1"/>
  <c r="P188" i="4"/>
  <c r="W188" i="4" s="1"/>
  <c r="P69" i="4"/>
  <c r="W69" i="4" s="1"/>
  <c r="P193" i="4"/>
  <c r="W193" i="4" s="1"/>
  <c r="P158" i="4"/>
  <c r="W158" i="4" s="1"/>
  <c r="P175" i="4"/>
  <c r="W175" i="4" s="1"/>
  <c r="P74" i="4"/>
  <c r="W74" i="4" s="1"/>
  <c r="P190" i="4"/>
  <c r="W190" i="4" s="1"/>
  <c r="P17" i="4"/>
  <c r="W17" i="4" s="1"/>
  <c r="P184" i="4"/>
  <c r="W184" i="4" s="1"/>
  <c r="P106" i="4"/>
  <c r="W106" i="4" s="1"/>
  <c r="P48" i="4"/>
  <c r="W48" i="4" s="1"/>
  <c r="P124" i="4"/>
  <c r="W124" i="4" s="1"/>
  <c r="P96" i="4"/>
  <c r="W96" i="4" s="1"/>
  <c r="P110" i="4"/>
  <c r="W110" i="4" s="1"/>
  <c r="P57" i="4"/>
  <c r="W57" i="4" s="1"/>
  <c r="P73" i="4"/>
  <c r="W73" i="4" s="1"/>
  <c r="P198" i="4"/>
  <c r="W198" i="4" s="1"/>
  <c r="P3" i="4"/>
  <c r="P47" i="4"/>
  <c r="W47" i="4" s="1"/>
  <c r="P131" i="4"/>
  <c r="W131" i="4" s="1"/>
  <c r="P39" i="4"/>
  <c r="W39" i="4" s="1"/>
  <c r="P187" i="4"/>
  <c r="W187" i="4" s="1"/>
  <c r="P49" i="4"/>
  <c r="W49" i="4" s="1"/>
  <c r="P136" i="4"/>
  <c r="W136" i="4" s="1"/>
  <c r="P62" i="4"/>
  <c r="W62" i="4" s="1"/>
  <c r="P185" i="4"/>
  <c r="W185" i="4" s="1"/>
  <c r="P164" i="4"/>
  <c r="W164" i="4" s="1"/>
  <c r="P177" i="4"/>
  <c r="W177" i="4" s="1"/>
  <c r="P118" i="4"/>
  <c r="W118" i="4" s="1"/>
  <c r="P178" i="4"/>
  <c r="W178" i="4" s="1"/>
  <c r="P26" i="4"/>
  <c r="W26" i="4" s="1"/>
  <c r="P180" i="4"/>
  <c r="W180" i="4" s="1"/>
  <c r="P157" i="4"/>
  <c r="W157" i="4" s="1"/>
  <c r="P183" i="4"/>
  <c r="W183" i="4" s="1"/>
  <c r="P159" i="4"/>
  <c r="W159" i="4" s="1"/>
  <c r="P196" i="4"/>
  <c r="W196" i="4" s="1"/>
  <c r="P186" i="4"/>
  <c r="W186" i="4" s="1"/>
  <c r="P197" i="4"/>
  <c r="W197" i="4" s="1"/>
  <c r="P170" i="4"/>
  <c r="W170" i="4" s="1"/>
  <c r="P181" i="4"/>
  <c r="W181" i="4" s="1"/>
  <c r="P107" i="4"/>
  <c r="W107" i="4" s="1"/>
  <c r="P148" i="4"/>
  <c r="W148" i="4" s="1"/>
  <c r="P102" i="4"/>
  <c r="W102" i="4" s="1"/>
  <c r="P120" i="4"/>
  <c r="W120" i="4" s="1"/>
  <c r="P93" i="4"/>
  <c r="W93" i="4" s="1"/>
  <c r="P191" i="4"/>
  <c r="W191" i="4" s="1"/>
  <c r="P140" i="4"/>
  <c r="W140" i="4" s="1"/>
  <c r="P146" i="4"/>
  <c r="W146" i="4" s="1"/>
  <c r="P66" i="4"/>
  <c r="W66" i="4" s="1"/>
  <c r="P43" i="4"/>
  <c r="W43" i="4" s="1"/>
  <c r="P114" i="4"/>
  <c r="W114" i="4" s="1"/>
  <c r="P64" i="4"/>
  <c r="W64" i="4" s="1"/>
  <c r="P6" i="4"/>
  <c r="W6" i="4" s="1"/>
  <c r="P65" i="4"/>
  <c r="W65" i="4" s="1"/>
  <c r="P135" i="4"/>
  <c r="W135" i="4" s="1"/>
  <c r="P201" i="4"/>
  <c r="W201" i="4" s="1"/>
  <c r="P88" i="4"/>
  <c r="W88" i="4" s="1"/>
  <c r="P123" i="4"/>
  <c r="W123" i="4" s="1"/>
  <c r="P59" i="4"/>
  <c r="W59" i="4" s="1"/>
  <c r="P160" i="4"/>
  <c r="W160" i="4" s="1"/>
  <c r="P50" i="4"/>
  <c r="W50" i="4" s="1"/>
  <c r="P189" i="4"/>
  <c r="W189" i="4" s="1"/>
  <c r="P61" i="4"/>
  <c r="W61" i="4" s="1"/>
  <c r="P121" i="4"/>
  <c r="W121" i="4" s="1"/>
  <c r="P203" i="4"/>
  <c r="W203" i="4" s="1"/>
  <c r="P200" i="4"/>
  <c r="W200" i="4" s="1"/>
  <c r="P33" i="4"/>
  <c r="W33" i="4" s="1"/>
  <c r="P98" i="4"/>
  <c r="W98" i="4" s="1"/>
  <c r="P105" i="4"/>
  <c r="W105" i="4" s="1"/>
  <c r="P134" i="4"/>
  <c r="W134" i="4" s="1"/>
  <c r="P112" i="4"/>
  <c r="W112" i="4" s="1"/>
  <c r="P18" i="4"/>
  <c r="W18" i="4" s="1"/>
  <c r="P129" i="4"/>
  <c r="W129" i="4" s="1"/>
  <c r="P130" i="4"/>
  <c r="W130" i="4" s="1"/>
  <c r="P133" i="4"/>
  <c r="W133" i="4" s="1"/>
  <c r="P23" i="4"/>
  <c r="W23" i="4" s="1"/>
  <c r="P86" i="4"/>
  <c r="W86" i="4" s="1"/>
  <c r="P54" i="4"/>
  <c r="W54" i="4" s="1"/>
  <c r="P149" i="4"/>
  <c r="W149" i="4" s="1"/>
  <c r="P67" i="4"/>
  <c r="W67" i="4" s="1"/>
  <c r="P150" i="4"/>
  <c r="W150" i="4" s="1"/>
  <c r="P78" i="4"/>
  <c r="W78" i="4" s="1"/>
  <c r="P72" i="4"/>
  <c r="W72" i="4" s="1"/>
  <c r="P19" i="4"/>
  <c r="W19" i="4" s="1"/>
  <c r="P104" i="4"/>
  <c r="W104" i="4" s="1"/>
  <c r="P80" i="4"/>
  <c r="W80" i="4" s="1"/>
  <c r="P46" i="4"/>
  <c r="W46" i="4" s="1"/>
  <c r="P202" i="4"/>
  <c r="W202" i="4" s="1"/>
  <c r="P132" i="4"/>
  <c r="W132" i="4" s="1"/>
  <c r="P152" i="4"/>
  <c r="W152" i="4" s="1"/>
  <c r="P139" i="4"/>
  <c r="W139" i="4" s="1"/>
  <c r="P13" i="4"/>
  <c r="W13" i="4" s="1"/>
  <c r="P161" i="4"/>
  <c r="W161" i="4" s="1"/>
  <c r="P63" i="4"/>
  <c r="W63" i="4" s="1"/>
  <c r="P79" i="4"/>
  <c r="W79" i="4" s="1"/>
  <c r="P81" i="4"/>
  <c r="W81" i="4" s="1"/>
  <c r="P116" i="4"/>
  <c r="W116" i="4" s="1"/>
  <c r="P143" i="4"/>
  <c r="W143" i="4" s="1"/>
  <c r="P137" i="4"/>
  <c r="W137" i="4" s="1"/>
  <c r="P144" i="4"/>
  <c r="W144" i="4" s="1"/>
  <c r="P162" i="4"/>
  <c r="W162" i="4" s="1"/>
  <c r="P29" i="4"/>
  <c r="W29" i="4" s="1"/>
  <c r="P40" i="4"/>
  <c r="W40" i="4" s="1"/>
  <c r="P34" i="4"/>
  <c r="W34" i="4" s="1"/>
  <c r="P5" i="4"/>
  <c r="W5" i="4" s="1"/>
  <c r="P113" i="4"/>
  <c r="W113" i="4" s="1"/>
  <c r="P172" i="4"/>
  <c r="W172" i="4" s="1"/>
  <c r="P4" i="4"/>
  <c r="W4" i="4" s="1"/>
  <c r="P7" i="4"/>
  <c r="W7" i="4" s="1"/>
  <c r="P9" i="4"/>
  <c r="W9" i="4" s="1"/>
  <c r="P101" i="4"/>
  <c r="W101" i="4" s="1"/>
  <c r="P70" i="4"/>
  <c r="W70" i="4" s="1"/>
  <c r="P115" i="4"/>
  <c r="W115" i="4" s="1"/>
  <c r="P28" i="4"/>
  <c r="W28" i="4" s="1"/>
  <c r="P126" i="4"/>
  <c r="W126" i="4" s="1"/>
  <c r="P92" i="4"/>
  <c r="W92" i="4" s="1"/>
  <c r="P83" i="4"/>
  <c r="W83" i="4" s="1"/>
  <c r="P127" i="4"/>
  <c r="W127" i="4" s="1"/>
  <c r="P31" i="4"/>
  <c r="W31" i="4" s="1"/>
  <c r="P154" i="4"/>
  <c r="W154" i="4" s="1"/>
  <c r="P76" i="4"/>
  <c r="W76" i="4" s="1"/>
  <c r="P16" i="4"/>
  <c r="W16" i="4" s="1"/>
  <c r="P163" i="4"/>
  <c r="W163" i="4" s="1"/>
  <c r="P14" i="4"/>
  <c r="W14" i="4" s="1"/>
  <c r="P21" i="4"/>
  <c r="W21" i="4" s="1"/>
  <c r="P168" i="4"/>
  <c r="W168" i="4" s="1"/>
  <c r="P141" i="4"/>
  <c r="W141" i="4" s="1"/>
  <c r="P45" i="4"/>
  <c r="W45" i="4" s="1"/>
  <c r="P71" i="4"/>
  <c r="W71" i="4" s="1"/>
  <c r="P138" i="4"/>
  <c r="W138" i="4" s="1"/>
  <c r="P89" i="4"/>
  <c r="W89" i="4" s="1"/>
  <c r="P12" i="4"/>
  <c r="W12" i="4" s="1"/>
  <c r="P156" i="4"/>
  <c r="W156" i="4" s="1"/>
  <c r="P22" i="4"/>
  <c r="W22" i="4" s="1"/>
  <c r="P108" i="4"/>
  <c r="W108" i="4" s="1"/>
  <c r="P20" i="4"/>
  <c r="W20" i="4" s="1"/>
  <c r="P25" i="4"/>
  <c r="W25" i="4" s="1"/>
  <c r="P42" i="4"/>
  <c r="W42" i="4" s="1"/>
  <c r="P60" i="4"/>
  <c r="W60" i="4" s="1"/>
  <c r="P2" i="4"/>
  <c r="W2" i="4" s="1"/>
  <c r="P153" i="4"/>
  <c r="W153" i="4" s="1"/>
  <c r="P37" i="4"/>
  <c r="W37" i="4" s="1"/>
  <c r="P27" i="4"/>
  <c r="W27" i="4" s="1"/>
  <c r="P55" i="4"/>
  <c r="W55" i="4" s="1"/>
  <c r="P155" i="4"/>
  <c r="W155" i="4" s="1"/>
  <c r="P95" i="4"/>
  <c r="W95" i="4" s="1"/>
  <c r="P128" i="4"/>
  <c r="W128" i="4" s="1"/>
  <c r="P8" i="4"/>
  <c r="W8" i="4" s="1"/>
  <c r="P90" i="4"/>
  <c r="W90" i="4" s="1"/>
  <c r="P68" i="4"/>
  <c r="W68" i="4" s="1"/>
  <c r="P94" i="4"/>
  <c r="W94" i="4" s="1"/>
  <c r="P166" i="4"/>
  <c r="W166" i="4" s="1"/>
  <c r="P122" i="4"/>
  <c r="W122" i="4" s="1"/>
  <c r="P58" i="4"/>
  <c r="W58" i="4" s="1"/>
  <c r="P87" i="4"/>
  <c r="W87" i="4" s="1"/>
  <c r="P36" i="4"/>
  <c r="W36" i="4" s="1"/>
  <c r="P75" i="4"/>
  <c r="W75" i="4" s="1"/>
  <c r="P53" i="4"/>
  <c r="W53" i="4" s="1"/>
  <c r="P84" i="4"/>
  <c r="W84" i="4" s="1"/>
  <c r="P100" i="4"/>
  <c r="W100" i="4" s="1"/>
  <c r="P85" i="4"/>
  <c r="W85" i="4" s="1"/>
  <c r="P117" i="4"/>
  <c r="W117" i="4" s="1"/>
  <c r="P145" i="4"/>
  <c r="W145" i="4" s="1"/>
  <c r="P82" i="4"/>
  <c r="W82" i="4" s="1"/>
  <c r="P11" i="4"/>
  <c r="W11" i="4" s="1"/>
  <c r="P51" i="4"/>
  <c r="W51" i="4" s="1"/>
  <c r="P147" i="4"/>
  <c r="W147" i="4" s="1"/>
  <c r="P91" i="4"/>
  <c r="W91" i="4" s="1"/>
  <c r="P99" i="4"/>
  <c r="W99" i="4" s="1"/>
  <c r="P109" i="4"/>
  <c r="W109" i="4" s="1"/>
  <c r="P41" i="4"/>
  <c r="W41" i="4" s="1"/>
  <c r="P52" i="4"/>
  <c r="W52" i="4" s="1"/>
  <c r="P56" i="4"/>
  <c r="W56" i="4" s="1"/>
  <c r="P32" i="4"/>
  <c r="W32" i="4" s="1"/>
  <c r="P103" i="4"/>
  <c r="W103" i="4" s="1"/>
  <c r="O119" i="4"/>
  <c r="O199" i="4"/>
  <c r="O179" i="4"/>
  <c r="O15" i="4"/>
  <c r="O165" i="4"/>
  <c r="O24" i="4"/>
  <c r="O30" i="4"/>
  <c r="O142" i="4"/>
  <c r="O169" i="4"/>
  <c r="O151" i="4"/>
  <c r="O194" i="4"/>
  <c r="O10" i="4"/>
  <c r="O176" i="4"/>
  <c r="O44" i="4"/>
  <c r="O167" i="4"/>
  <c r="O38" i="4"/>
  <c r="O173" i="4"/>
  <c r="O97" i="4"/>
  <c r="O195" i="4"/>
  <c r="O77" i="4"/>
  <c r="O171" i="4"/>
  <c r="O125" i="4"/>
  <c r="O182" i="4"/>
  <c r="O111" i="4"/>
  <c r="O192" i="4"/>
  <c r="O35" i="4"/>
  <c r="O188" i="4"/>
  <c r="O69" i="4"/>
  <c r="O193" i="4"/>
  <c r="O158" i="4"/>
  <c r="O175" i="4"/>
  <c r="O74" i="4"/>
  <c r="O190" i="4"/>
  <c r="O17" i="4"/>
  <c r="O184" i="4"/>
  <c r="O106" i="4"/>
  <c r="O48" i="4"/>
  <c r="O124" i="4"/>
  <c r="O96" i="4"/>
  <c r="O110" i="4"/>
  <c r="O57" i="4"/>
  <c r="O73" i="4"/>
  <c r="O198" i="4"/>
  <c r="O3" i="4"/>
  <c r="O47" i="4"/>
  <c r="O131" i="4"/>
  <c r="O39" i="4"/>
  <c r="O187" i="4"/>
  <c r="O49" i="4"/>
  <c r="O136" i="4"/>
  <c r="O62" i="4"/>
  <c r="O185" i="4"/>
  <c r="O164" i="4"/>
  <c r="O177" i="4"/>
  <c r="O118" i="4"/>
  <c r="O178" i="4"/>
  <c r="O26" i="4"/>
  <c r="O180" i="4"/>
  <c r="O157" i="4"/>
  <c r="O183" i="4"/>
  <c r="O159" i="4"/>
  <c r="O196" i="4"/>
  <c r="O186" i="4"/>
  <c r="O197" i="4"/>
  <c r="O170" i="4"/>
  <c r="O181" i="4"/>
  <c r="O107" i="4"/>
  <c r="O148" i="4"/>
  <c r="O102" i="4"/>
  <c r="O120" i="4"/>
  <c r="O93" i="4"/>
  <c r="O191" i="4"/>
  <c r="O140" i="4"/>
  <c r="O146" i="4"/>
  <c r="O66" i="4"/>
  <c r="O43" i="4"/>
  <c r="O114" i="4"/>
  <c r="O64" i="4"/>
  <c r="O6" i="4"/>
  <c r="O65" i="4"/>
  <c r="O135" i="4"/>
  <c r="O201" i="4"/>
  <c r="O88" i="4"/>
  <c r="O123" i="4"/>
  <c r="O59" i="4"/>
  <c r="O160" i="4"/>
  <c r="O50" i="4"/>
  <c r="O189" i="4"/>
  <c r="O61" i="4"/>
  <c r="O121" i="4"/>
  <c r="O203" i="4"/>
  <c r="O200" i="4"/>
  <c r="O33" i="4"/>
  <c r="O98" i="4"/>
  <c r="O105" i="4"/>
  <c r="O134" i="4"/>
  <c r="O112" i="4"/>
  <c r="O18" i="4"/>
  <c r="O129" i="4"/>
  <c r="O130" i="4"/>
  <c r="O133" i="4"/>
  <c r="O23" i="4"/>
  <c r="O86" i="4"/>
  <c r="O54" i="4"/>
  <c r="O149" i="4"/>
  <c r="O67" i="4"/>
  <c r="O150" i="4"/>
  <c r="O78" i="4"/>
  <c r="O72" i="4"/>
  <c r="O19" i="4"/>
  <c r="O104" i="4"/>
  <c r="O80" i="4"/>
  <c r="O46" i="4"/>
  <c r="O202" i="4"/>
  <c r="O132" i="4"/>
  <c r="O152" i="4"/>
  <c r="O139" i="4"/>
  <c r="O13" i="4"/>
  <c r="O161" i="4"/>
  <c r="O63" i="4"/>
  <c r="O79" i="4"/>
  <c r="O81" i="4"/>
  <c r="O116" i="4"/>
  <c r="O143" i="4"/>
  <c r="O137" i="4"/>
  <c r="O144" i="4"/>
  <c r="O162" i="4"/>
  <c r="O29" i="4"/>
  <c r="O40" i="4"/>
  <c r="O34" i="4"/>
  <c r="O5" i="4"/>
  <c r="O113" i="4"/>
  <c r="O172" i="4"/>
  <c r="O4" i="4"/>
  <c r="O7" i="4"/>
  <c r="O9" i="4"/>
  <c r="O101" i="4"/>
  <c r="O70" i="4"/>
  <c r="O115" i="4"/>
  <c r="O28" i="4"/>
  <c r="O126" i="4"/>
  <c r="O92" i="4"/>
  <c r="O83" i="4"/>
  <c r="O127" i="4"/>
  <c r="O31" i="4"/>
  <c r="O154" i="4"/>
  <c r="O76" i="4"/>
  <c r="O16" i="4"/>
  <c r="O163" i="4"/>
  <c r="O14" i="4"/>
  <c r="O21" i="4"/>
  <c r="O168" i="4"/>
  <c r="O141" i="4"/>
  <c r="O45" i="4"/>
  <c r="O71" i="4"/>
  <c r="O138" i="4"/>
  <c r="O89" i="4"/>
  <c r="O12" i="4"/>
  <c r="O156" i="4"/>
  <c r="O22" i="4"/>
  <c r="O108" i="4"/>
  <c r="O20" i="4"/>
  <c r="O25" i="4"/>
  <c r="O42" i="4"/>
  <c r="O60" i="4"/>
  <c r="O2" i="4"/>
  <c r="O153" i="4"/>
  <c r="O37" i="4"/>
  <c r="O27" i="4"/>
  <c r="O55" i="4"/>
  <c r="O155" i="4"/>
  <c r="O95" i="4"/>
  <c r="O128" i="4"/>
  <c r="O8" i="4"/>
  <c r="O90" i="4"/>
  <c r="O68" i="4"/>
  <c r="O94" i="4"/>
  <c r="O166" i="4"/>
  <c r="O122" i="4"/>
  <c r="O58" i="4"/>
  <c r="O87" i="4"/>
  <c r="O36" i="4"/>
  <c r="O75" i="4"/>
  <c r="O53" i="4"/>
  <c r="O84" i="4"/>
  <c r="O100" i="4"/>
  <c r="O85" i="4"/>
  <c r="O117" i="4"/>
  <c r="O145" i="4"/>
  <c r="O82" i="4"/>
  <c r="O11" i="4"/>
  <c r="O51" i="4"/>
  <c r="O147" i="4"/>
  <c r="O91" i="4"/>
  <c r="O99" i="4"/>
  <c r="O109" i="4"/>
  <c r="O41" i="4"/>
  <c r="O52" i="4"/>
  <c r="O56" i="4"/>
  <c r="O32" i="4"/>
  <c r="O103" i="4"/>
  <c r="Q174" i="4"/>
  <c r="P174" i="4"/>
  <c r="W174" i="4" s="1"/>
  <c r="O174" i="4"/>
  <c r="N3" i="4"/>
  <c r="N114" i="4"/>
  <c r="N38" i="4"/>
  <c r="N88" i="4"/>
  <c r="N138" i="4"/>
  <c r="N82" i="4"/>
  <c r="N189" i="4"/>
  <c r="N152" i="4"/>
  <c r="N8" i="4"/>
  <c r="N7" i="4"/>
  <c r="N89" i="4"/>
  <c r="N203" i="4"/>
  <c r="N68" i="4"/>
  <c r="N139" i="4"/>
  <c r="N113" i="4"/>
  <c r="N155" i="4"/>
  <c r="N5" i="4"/>
  <c r="N97" i="4"/>
  <c r="N156" i="4"/>
  <c r="N10" i="4"/>
  <c r="N151" i="4"/>
  <c r="N69" i="4"/>
  <c r="N20" i="4"/>
  <c r="N153" i="4"/>
  <c r="N123" i="4"/>
  <c r="N121" i="4"/>
  <c r="N71" i="4"/>
  <c r="N49" i="4"/>
  <c r="N55" i="4"/>
  <c r="N108" i="4"/>
  <c r="N25" i="4"/>
  <c r="N77" i="4"/>
  <c r="N106" i="4"/>
  <c r="N159" i="4"/>
  <c r="N160" i="4"/>
  <c r="N126" i="4"/>
  <c r="N74" i="4"/>
  <c r="N6" i="4"/>
  <c r="N125" i="4"/>
  <c r="N157" i="4"/>
  <c r="N45" i="4"/>
  <c r="N35" i="4"/>
  <c r="N112" i="4"/>
  <c r="N202" i="4"/>
  <c r="N39" i="4"/>
  <c r="N64" i="4"/>
  <c r="N142" i="4"/>
  <c r="N33" i="4"/>
  <c r="N23" i="4"/>
  <c r="N52" i="4"/>
  <c r="N2" i="4"/>
  <c r="N164" i="4"/>
  <c r="N118" i="4"/>
  <c r="N18" i="4"/>
  <c r="N145" i="4"/>
  <c r="N26" i="4"/>
  <c r="N117" i="4"/>
  <c r="N140" i="4"/>
  <c r="N135" i="4"/>
  <c r="N84" i="4"/>
  <c r="N11" i="4"/>
  <c r="N141" i="4"/>
  <c r="N150" i="4"/>
  <c r="N133" i="4"/>
  <c r="N101" i="4"/>
  <c r="N158" i="4"/>
  <c r="N17" i="4"/>
  <c r="N124" i="4"/>
  <c r="N119" i="4"/>
  <c r="N16" i="4"/>
  <c r="N12" i="4"/>
  <c r="N59" i="4"/>
  <c r="N130" i="4"/>
  <c r="N34" i="4"/>
  <c r="N111" i="4"/>
  <c r="N47" i="4"/>
  <c r="N50" i="4"/>
  <c r="N87" i="4"/>
  <c r="N43" i="4"/>
  <c r="N14" i="4"/>
  <c r="N60" i="4"/>
  <c r="N63" i="4"/>
  <c r="N115" i="4"/>
  <c r="N162" i="4"/>
  <c r="N100" i="4"/>
  <c r="N91" i="4"/>
  <c r="N98" i="4"/>
  <c r="N146" i="4"/>
  <c r="N161" i="4"/>
  <c r="N143" i="4"/>
  <c r="N144" i="4"/>
  <c r="N104" i="4"/>
  <c r="N73" i="4"/>
  <c r="N201" i="4"/>
  <c r="N80" i="4"/>
  <c r="N127" i="4"/>
  <c r="N132" i="4"/>
  <c r="N29" i="4"/>
  <c r="N40" i="4"/>
  <c r="N31" i="4"/>
  <c r="N154" i="4"/>
  <c r="N21" i="4"/>
  <c r="N147" i="4"/>
  <c r="N15" i="4"/>
  <c r="N19" i="4"/>
  <c r="N90" i="4"/>
  <c r="N99" i="4"/>
  <c r="N79" i="4"/>
  <c r="N168" i="4"/>
  <c r="N116" i="4"/>
  <c r="N137" i="4"/>
  <c r="N122" i="4"/>
  <c r="N92" i="4"/>
  <c r="N44" i="4"/>
  <c r="N83" i="4"/>
  <c r="N110" i="4"/>
  <c r="N54" i="4"/>
  <c r="N76" i="4"/>
  <c r="N94" i="4"/>
  <c r="N56" i="4"/>
  <c r="N9" i="4"/>
  <c r="N46" i="4"/>
  <c r="N28" i="4"/>
  <c r="N163" i="4"/>
  <c r="N66" i="4"/>
  <c r="N81" i="4"/>
  <c r="N37" i="4"/>
  <c r="N109" i="4"/>
  <c r="N128" i="4"/>
  <c r="N58" i="4"/>
  <c r="N51" i="4"/>
  <c r="N70" i="4"/>
  <c r="N75" i="4"/>
  <c r="N200" i="4"/>
  <c r="N134" i="4"/>
  <c r="N95" i="4"/>
  <c r="N24" i="4"/>
  <c r="N53" i="4"/>
  <c r="N129" i="4"/>
  <c r="N27" i="4"/>
  <c r="N86" i="4"/>
  <c r="N166" i="4"/>
  <c r="N41" i="4"/>
  <c r="N13" i="4"/>
  <c r="N105" i="4"/>
  <c r="N172" i="4"/>
  <c r="N85" i="4"/>
  <c r="N32" i="4"/>
  <c r="N42" i="4"/>
  <c r="N78" i="4"/>
  <c r="N36" i="4"/>
  <c r="N72" i="4"/>
  <c r="N65" i="4"/>
  <c r="N57" i="4"/>
  <c r="N61" i="4"/>
  <c r="N96" i="4"/>
  <c r="N4" i="4"/>
  <c r="N103" i="4"/>
  <c r="N191" i="4"/>
  <c r="N149" i="4"/>
  <c r="N102" i="4"/>
  <c r="N62" i="4"/>
  <c r="N199" i="4"/>
  <c r="N67" i="4"/>
  <c r="N48" i="4"/>
  <c r="N181" i="4"/>
  <c r="N198" i="4"/>
  <c r="N136" i="4"/>
  <c r="N93" i="4"/>
  <c r="N131" i="4"/>
  <c r="N197" i="4"/>
  <c r="N196" i="4"/>
  <c r="N120" i="4"/>
  <c r="N194" i="4"/>
  <c r="N195" i="4"/>
  <c r="N173" i="4"/>
  <c r="N174" i="4"/>
  <c r="N192" i="4"/>
  <c r="N193" i="4"/>
  <c r="N188" i="4"/>
  <c r="N190" i="4"/>
  <c r="N187" i="4"/>
  <c r="N148" i="4"/>
  <c r="N185" i="4"/>
  <c r="N186" i="4"/>
  <c r="N184" i="4"/>
  <c r="N30" i="4"/>
  <c r="N169" i="4"/>
  <c r="N171" i="4"/>
  <c r="N107" i="4"/>
  <c r="N183" i="4"/>
  <c r="N170" i="4"/>
  <c r="N182" i="4"/>
  <c r="N167" i="4"/>
  <c r="N180" i="4"/>
  <c r="N179" i="4"/>
  <c r="N178" i="4"/>
  <c r="N177" i="4"/>
  <c r="N165" i="4"/>
  <c r="N176" i="4"/>
  <c r="N175" i="4"/>
  <c r="N22" i="4"/>
  <c r="K119" i="4"/>
  <c r="J119" i="4" s="1"/>
  <c r="L119" i="4"/>
  <c r="M119" i="4"/>
  <c r="K199" i="4"/>
  <c r="J199" i="4" s="1"/>
  <c r="L199" i="4"/>
  <c r="M199" i="4"/>
  <c r="K179" i="4"/>
  <c r="L179" i="4"/>
  <c r="M179" i="4"/>
  <c r="K15" i="4"/>
  <c r="L15" i="4"/>
  <c r="M15" i="4"/>
  <c r="K165" i="4"/>
  <c r="L165" i="4"/>
  <c r="M165" i="4"/>
  <c r="K24" i="4"/>
  <c r="L24" i="4"/>
  <c r="M24" i="4"/>
  <c r="K30" i="4"/>
  <c r="L30" i="4"/>
  <c r="M30" i="4"/>
  <c r="K142" i="4"/>
  <c r="L142" i="4"/>
  <c r="M142" i="4"/>
  <c r="K169" i="4"/>
  <c r="J169" i="4" s="1"/>
  <c r="L169" i="4"/>
  <c r="M169" i="4"/>
  <c r="K151" i="4"/>
  <c r="J151" i="4" s="1"/>
  <c r="L151" i="4"/>
  <c r="M151" i="4"/>
  <c r="K194" i="4"/>
  <c r="L194" i="4"/>
  <c r="M194" i="4"/>
  <c r="K10" i="4"/>
  <c r="L10" i="4"/>
  <c r="M10" i="4"/>
  <c r="K176" i="4"/>
  <c r="L176" i="4"/>
  <c r="M176" i="4"/>
  <c r="K44" i="4"/>
  <c r="L44" i="4"/>
  <c r="M44" i="4"/>
  <c r="K167" i="4"/>
  <c r="L167" i="4"/>
  <c r="M167" i="4"/>
  <c r="K38" i="4"/>
  <c r="L38" i="4"/>
  <c r="M38" i="4"/>
  <c r="K173" i="4"/>
  <c r="J173" i="4" s="1"/>
  <c r="L173" i="4"/>
  <c r="M173" i="4"/>
  <c r="K97" i="4"/>
  <c r="J97" i="4" s="1"/>
  <c r="L97" i="4"/>
  <c r="M97" i="4"/>
  <c r="K195" i="4"/>
  <c r="L195" i="4"/>
  <c r="M195" i="4"/>
  <c r="K77" i="4"/>
  <c r="L77" i="4"/>
  <c r="M77" i="4"/>
  <c r="K171" i="4"/>
  <c r="L171" i="4"/>
  <c r="M171" i="4"/>
  <c r="K125" i="4"/>
  <c r="L125" i="4"/>
  <c r="M125" i="4"/>
  <c r="K182" i="4"/>
  <c r="L182" i="4"/>
  <c r="M182" i="4"/>
  <c r="K111" i="4"/>
  <c r="L111" i="4"/>
  <c r="M111" i="4"/>
  <c r="K192" i="4"/>
  <c r="J192" i="4" s="1"/>
  <c r="L192" i="4"/>
  <c r="M192" i="4"/>
  <c r="K35" i="4"/>
  <c r="J35" i="4" s="1"/>
  <c r="L35" i="4"/>
  <c r="M35" i="4"/>
  <c r="K188" i="4"/>
  <c r="L188" i="4"/>
  <c r="M188" i="4"/>
  <c r="K69" i="4"/>
  <c r="L69" i="4"/>
  <c r="M69" i="4"/>
  <c r="K193" i="4"/>
  <c r="L193" i="4"/>
  <c r="M193" i="4"/>
  <c r="K158" i="4"/>
  <c r="L158" i="4"/>
  <c r="M158" i="4"/>
  <c r="K175" i="4"/>
  <c r="L175" i="4"/>
  <c r="M175" i="4"/>
  <c r="K74" i="4"/>
  <c r="L74" i="4"/>
  <c r="M74" i="4"/>
  <c r="K190" i="4"/>
  <c r="J190" i="4" s="1"/>
  <c r="L190" i="4"/>
  <c r="M190" i="4"/>
  <c r="K17" i="4"/>
  <c r="J17" i="4" s="1"/>
  <c r="L17" i="4"/>
  <c r="M17" i="4"/>
  <c r="K184" i="4"/>
  <c r="L184" i="4"/>
  <c r="M184" i="4"/>
  <c r="K106" i="4"/>
  <c r="L106" i="4"/>
  <c r="M106" i="4"/>
  <c r="K48" i="4"/>
  <c r="L48" i="4"/>
  <c r="M48" i="4"/>
  <c r="K124" i="4"/>
  <c r="L124" i="4"/>
  <c r="M124" i="4"/>
  <c r="K96" i="4"/>
  <c r="L96" i="4"/>
  <c r="M96" i="4"/>
  <c r="K110" i="4"/>
  <c r="L110" i="4"/>
  <c r="M110" i="4"/>
  <c r="K57" i="4"/>
  <c r="J57" i="4" s="1"/>
  <c r="L57" i="4"/>
  <c r="M57" i="4"/>
  <c r="K73" i="4"/>
  <c r="J73" i="4" s="1"/>
  <c r="L73" i="4"/>
  <c r="M73" i="4"/>
  <c r="K198" i="4"/>
  <c r="L198" i="4"/>
  <c r="M198" i="4"/>
  <c r="K3" i="4"/>
  <c r="L3" i="4"/>
  <c r="M3" i="4"/>
  <c r="K47" i="4"/>
  <c r="L47" i="4"/>
  <c r="M47" i="4"/>
  <c r="K131" i="4"/>
  <c r="L131" i="4"/>
  <c r="M131" i="4"/>
  <c r="K39" i="4"/>
  <c r="L39" i="4"/>
  <c r="M39" i="4"/>
  <c r="K187" i="4"/>
  <c r="L187" i="4"/>
  <c r="M187" i="4"/>
  <c r="K49" i="4"/>
  <c r="J49" i="4" s="1"/>
  <c r="L49" i="4"/>
  <c r="M49" i="4"/>
  <c r="K136" i="4"/>
  <c r="J136" i="4" s="1"/>
  <c r="L136" i="4"/>
  <c r="M136" i="4"/>
  <c r="K62" i="4"/>
  <c r="L62" i="4"/>
  <c r="M62" i="4"/>
  <c r="K185" i="4"/>
  <c r="L185" i="4"/>
  <c r="M185" i="4"/>
  <c r="K164" i="4"/>
  <c r="L164" i="4"/>
  <c r="M164" i="4"/>
  <c r="K177" i="4"/>
  <c r="L177" i="4"/>
  <c r="M177" i="4"/>
  <c r="K118" i="4"/>
  <c r="L118" i="4"/>
  <c r="M118" i="4"/>
  <c r="K178" i="4"/>
  <c r="L178" i="4"/>
  <c r="M178" i="4"/>
  <c r="K26" i="4"/>
  <c r="J26" i="4" s="1"/>
  <c r="L26" i="4"/>
  <c r="M26" i="4"/>
  <c r="K180" i="4"/>
  <c r="L180" i="4"/>
  <c r="M180" i="4"/>
  <c r="K157" i="4"/>
  <c r="L157" i="4"/>
  <c r="M157" i="4"/>
  <c r="K183" i="4"/>
  <c r="L183" i="4"/>
  <c r="M183" i="4"/>
  <c r="K159" i="4"/>
  <c r="L159" i="4"/>
  <c r="M159" i="4"/>
  <c r="K196" i="4"/>
  <c r="L196" i="4"/>
  <c r="M196" i="4"/>
  <c r="K186" i="4"/>
  <c r="L186" i="4"/>
  <c r="M186" i="4"/>
  <c r="K197" i="4"/>
  <c r="L197" i="4"/>
  <c r="M197" i="4"/>
  <c r="K170" i="4"/>
  <c r="J170" i="4" s="1"/>
  <c r="L170" i="4"/>
  <c r="M170" i="4"/>
  <c r="K181" i="4"/>
  <c r="L181" i="4"/>
  <c r="M181" i="4"/>
  <c r="K107" i="4"/>
  <c r="L107" i="4"/>
  <c r="M107" i="4"/>
  <c r="K148" i="4"/>
  <c r="L148" i="4"/>
  <c r="M148" i="4"/>
  <c r="K102" i="4"/>
  <c r="L102" i="4"/>
  <c r="M102" i="4"/>
  <c r="K120" i="4"/>
  <c r="L120" i="4"/>
  <c r="M120" i="4"/>
  <c r="K93" i="4"/>
  <c r="L93" i="4"/>
  <c r="M93" i="4"/>
  <c r="K191" i="4"/>
  <c r="L191" i="4"/>
  <c r="M191" i="4"/>
  <c r="K140" i="4"/>
  <c r="J140" i="4" s="1"/>
  <c r="L140" i="4"/>
  <c r="M140" i="4"/>
  <c r="K146" i="4"/>
  <c r="L146" i="4"/>
  <c r="M146" i="4"/>
  <c r="K66" i="4"/>
  <c r="L66" i="4"/>
  <c r="M66" i="4"/>
  <c r="K43" i="4"/>
  <c r="L43" i="4"/>
  <c r="M43" i="4"/>
  <c r="K114" i="4"/>
  <c r="L114" i="4"/>
  <c r="M114" i="4"/>
  <c r="K64" i="4"/>
  <c r="L64" i="4"/>
  <c r="M64" i="4"/>
  <c r="K6" i="4"/>
  <c r="L6" i="4"/>
  <c r="M6" i="4"/>
  <c r="K65" i="4"/>
  <c r="L65" i="4"/>
  <c r="M65" i="4"/>
  <c r="K135" i="4"/>
  <c r="J135" i="4" s="1"/>
  <c r="L135" i="4"/>
  <c r="M135" i="4"/>
  <c r="K201" i="4"/>
  <c r="L201" i="4"/>
  <c r="M201" i="4"/>
  <c r="K88" i="4"/>
  <c r="L88" i="4"/>
  <c r="M88" i="4"/>
  <c r="K123" i="4"/>
  <c r="L123" i="4"/>
  <c r="M123" i="4"/>
  <c r="K59" i="4"/>
  <c r="L59" i="4"/>
  <c r="M59" i="4"/>
  <c r="K160" i="4"/>
  <c r="L160" i="4"/>
  <c r="M160" i="4"/>
  <c r="K50" i="4"/>
  <c r="L50" i="4"/>
  <c r="M50" i="4"/>
  <c r="K189" i="4"/>
  <c r="L189" i="4"/>
  <c r="M189" i="4"/>
  <c r="K61" i="4"/>
  <c r="J61" i="4" s="1"/>
  <c r="L61" i="4"/>
  <c r="M61" i="4"/>
  <c r="K121" i="4"/>
  <c r="L121" i="4"/>
  <c r="M121" i="4"/>
  <c r="K203" i="4"/>
  <c r="L203" i="4"/>
  <c r="M203" i="4"/>
  <c r="K200" i="4"/>
  <c r="L200" i="4"/>
  <c r="M200" i="4"/>
  <c r="K33" i="4"/>
  <c r="L33" i="4"/>
  <c r="M33" i="4"/>
  <c r="K98" i="4"/>
  <c r="L98" i="4"/>
  <c r="M98" i="4"/>
  <c r="K105" i="4"/>
  <c r="L105" i="4"/>
  <c r="M105" i="4"/>
  <c r="K134" i="4"/>
  <c r="L134" i="4"/>
  <c r="M134" i="4"/>
  <c r="K112" i="4"/>
  <c r="J112" i="4" s="1"/>
  <c r="L112" i="4"/>
  <c r="M112" i="4"/>
  <c r="K18" i="4"/>
  <c r="L18" i="4"/>
  <c r="M18" i="4"/>
  <c r="K129" i="4"/>
  <c r="L129" i="4"/>
  <c r="M129" i="4"/>
  <c r="K130" i="4"/>
  <c r="L130" i="4"/>
  <c r="M130" i="4"/>
  <c r="K133" i="4"/>
  <c r="L133" i="4"/>
  <c r="M133" i="4"/>
  <c r="K23" i="4"/>
  <c r="L23" i="4"/>
  <c r="M23" i="4"/>
  <c r="K86" i="4"/>
  <c r="L86" i="4"/>
  <c r="M86" i="4"/>
  <c r="K54" i="4"/>
  <c r="L54" i="4"/>
  <c r="M54" i="4"/>
  <c r="K149" i="4"/>
  <c r="J149" i="4" s="1"/>
  <c r="L149" i="4"/>
  <c r="M149" i="4"/>
  <c r="K67" i="4"/>
  <c r="L67" i="4"/>
  <c r="M67" i="4"/>
  <c r="K150" i="4"/>
  <c r="L150" i="4"/>
  <c r="M150" i="4"/>
  <c r="K78" i="4"/>
  <c r="L78" i="4"/>
  <c r="M78" i="4"/>
  <c r="K72" i="4"/>
  <c r="L72" i="4"/>
  <c r="M72" i="4"/>
  <c r="K19" i="4"/>
  <c r="L19" i="4"/>
  <c r="M19" i="4"/>
  <c r="K104" i="4"/>
  <c r="L104" i="4"/>
  <c r="M104" i="4"/>
  <c r="K80" i="4"/>
  <c r="L80" i="4"/>
  <c r="M80" i="4"/>
  <c r="K46" i="4"/>
  <c r="J46" i="4" s="1"/>
  <c r="L46" i="4"/>
  <c r="M46" i="4"/>
  <c r="K202" i="4"/>
  <c r="L202" i="4"/>
  <c r="M202" i="4"/>
  <c r="K132" i="4"/>
  <c r="L132" i="4"/>
  <c r="M132" i="4"/>
  <c r="K152" i="4"/>
  <c r="L152" i="4"/>
  <c r="M152" i="4"/>
  <c r="K139" i="4"/>
  <c r="L139" i="4"/>
  <c r="M139" i="4"/>
  <c r="K13" i="4"/>
  <c r="L13" i="4"/>
  <c r="M13" i="4"/>
  <c r="K161" i="4"/>
  <c r="L161" i="4"/>
  <c r="M161" i="4"/>
  <c r="K63" i="4"/>
  <c r="L63" i="4"/>
  <c r="M63" i="4"/>
  <c r="K79" i="4"/>
  <c r="J79" i="4" s="1"/>
  <c r="L79" i="4"/>
  <c r="M79" i="4"/>
  <c r="K81" i="4"/>
  <c r="L81" i="4"/>
  <c r="M81" i="4"/>
  <c r="K116" i="4"/>
  <c r="L116" i="4"/>
  <c r="M116" i="4"/>
  <c r="K143" i="4"/>
  <c r="L143" i="4"/>
  <c r="M143" i="4"/>
  <c r="K137" i="4"/>
  <c r="L137" i="4"/>
  <c r="M137" i="4"/>
  <c r="K144" i="4"/>
  <c r="L144" i="4"/>
  <c r="M144" i="4"/>
  <c r="K162" i="4"/>
  <c r="L162" i="4"/>
  <c r="M162" i="4"/>
  <c r="K29" i="4"/>
  <c r="L29" i="4"/>
  <c r="M29" i="4"/>
  <c r="K40" i="4"/>
  <c r="J40" i="4" s="1"/>
  <c r="L40" i="4"/>
  <c r="M40" i="4"/>
  <c r="K34" i="4"/>
  <c r="L34" i="4"/>
  <c r="M34" i="4"/>
  <c r="K5" i="4"/>
  <c r="L5" i="4"/>
  <c r="M5" i="4"/>
  <c r="K113" i="4"/>
  <c r="L113" i="4"/>
  <c r="M113" i="4"/>
  <c r="K172" i="4"/>
  <c r="L172" i="4"/>
  <c r="M172" i="4"/>
  <c r="K4" i="4"/>
  <c r="L4" i="4"/>
  <c r="M4" i="4"/>
  <c r="K7" i="4"/>
  <c r="L7" i="4"/>
  <c r="M7" i="4"/>
  <c r="K9" i="4"/>
  <c r="L9" i="4"/>
  <c r="M9" i="4"/>
  <c r="K101" i="4"/>
  <c r="J101" i="4" s="1"/>
  <c r="L101" i="4"/>
  <c r="M101" i="4"/>
  <c r="K70" i="4"/>
  <c r="L70" i="4"/>
  <c r="M70" i="4"/>
  <c r="K115" i="4"/>
  <c r="L115" i="4"/>
  <c r="M115" i="4"/>
  <c r="K28" i="4"/>
  <c r="L28" i="4"/>
  <c r="M28" i="4"/>
  <c r="K126" i="4"/>
  <c r="L126" i="4"/>
  <c r="M126" i="4"/>
  <c r="K92" i="4"/>
  <c r="L92" i="4"/>
  <c r="M92" i="4"/>
  <c r="K83" i="4"/>
  <c r="L83" i="4"/>
  <c r="M83" i="4"/>
  <c r="K127" i="4"/>
  <c r="L127" i="4"/>
  <c r="M127" i="4"/>
  <c r="K31" i="4"/>
  <c r="J31" i="4" s="1"/>
  <c r="L31" i="4"/>
  <c r="M31" i="4"/>
  <c r="K154" i="4"/>
  <c r="L154" i="4"/>
  <c r="M154" i="4"/>
  <c r="K76" i="4"/>
  <c r="L76" i="4"/>
  <c r="M76" i="4"/>
  <c r="K16" i="4"/>
  <c r="L16" i="4"/>
  <c r="M16" i="4"/>
  <c r="K163" i="4"/>
  <c r="L163" i="4"/>
  <c r="M163" i="4"/>
  <c r="K14" i="4"/>
  <c r="L14" i="4"/>
  <c r="M14" i="4"/>
  <c r="K21" i="4"/>
  <c r="L21" i="4"/>
  <c r="M21" i="4"/>
  <c r="K168" i="4"/>
  <c r="L168" i="4"/>
  <c r="M168" i="4"/>
  <c r="K141" i="4"/>
  <c r="J141" i="4" s="1"/>
  <c r="L141" i="4"/>
  <c r="M141" i="4"/>
  <c r="K45" i="4"/>
  <c r="L45" i="4"/>
  <c r="M45" i="4"/>
  <c r="K71" i="4"/>
  <c r="L71" i="4"/>
  <c r="M71" i="4"/>
  <c r="K138" i="4"/>
  <c r="L138" i="4"/>
  <c r="M138" i="4"/>
  <c r="K89" i="4"/>
  <c r="L89" i="4"/>
  <c r="M89" i="4"/>
  <c r="K12" i="4"/>
  <c r="L12" i="4"/>
  <c r="M12" i="4"/>
  <c r="K156" i="4"/>
  <c r="L156" i="4"/>
  <c r="M156" i="4"/>
  <c r="K22" i="4"/>
  <c r="L22" i="4"/>
  <c r="M22" i="4"/>
  <c r="K108" i="4"/>
  <c r="J108" i="4" s="1"/>
  <c r="L108" i="4"/>
  <c r="M108" i="4"/>
  <c r="K20" i="4"/>
  <c r="L20" i="4"/>
  <c r="M20" i="4"/>
  <c r="K25" i="4"/>
  <c r="L25" i="4"/>
  <c r="M25" i="4"/>
  <c r="K42" i="4"/>
  <c r="L42" i="4"/>
  <c r="M42" i="4"/>
  <c r="K60" i="4"/>
  <c r="L60" i="4"/>
  <c r="M60" i="4"/>
  <c r="K2" i="4"/>
  <c r="L2" i="4"/>
  <c r="M2" i="4"/>
  <c r="K153" i="4"/>
  <c r="L153" i="4"/>
  <c r="M153" i="4"/>
  <c r="K37" i="4"/>
  <c r="L37" i="4"/>
  <c r="M37" i="4"/>
  <c r="K27" i="4"/>
  <c r="J27" i="4" s="1"/>
  <c r="L27" i="4"/>
  <c r="M27" i="4"/>
  <c r="K55" i="4"/>
  <c r="L55" i="4"/>
  <c r="M55" i="4"/>
  <c r="K155" i="4"/>
  <c r="L155" i="4"/>
  <c r="M155" i="4"/>
  <c r="K95" i="4"/>
  <c r="L95" i="4"/>
  <c r="M95" i="4"/>
  <c r="K128" i="4"/>
  <c r="L128" i="4"/>
  <c r="M128" i="4"/>
  <c r="K8" i="4"/>
  <c r="L8" i="4"/>
  <c r="M8" i="4"/>
  <c r="K90" i="4"/>
  <c r="L90" i="4"/>
  <c r="M90" i="4"/>
  <c r="K68" i="4"/>
  <c r="L68" i="4"/>
  <c r="M68" i="4"/>
  <c r="K94" i="4"/>
  <c r="J94" i="4" s="1"/>
  <c r="L94" i="4"/>
  <c r="M94" i="4"/>
  <c r="K166" i="4"/>
  <c r="L166" i="4"/>
  <c r="M166" i="4"/>
  <c r="K122" i="4"/>
  <c r="L122" i="4"/>
  <c r="M122" i="4"/>
  <c r="K58" i="4"/>
  <c r="L58" i="4"/>
  <c r="M58" i="4"/>
  <c r="K87" i="4"/>
  <c r="L87" i="4"/>
  <c r="M87" i="4"/>
  <c r="K36" i="4"/>
  <c r="L36" i="4"/>
  <c r="M36" i="4"/>
  <c r="K75" i="4"/>
  <c r="L75" i="4"/>
  <c r="M75" i="4"/>
  <c r="K53" i="4"/>
  <c r="L53" i="4"/>
  <c r="M53" i="4"/>
  <c r="K84" i="4"/>
  <c r="J84" i="4" s="1"/>
  <c r="L84" i="4"/>
  <c r="M84" i="4"/>
  <c r="K100" i="4"/>
  <c r="L100" i="4"/>
  <c r="M100" i="4"/>
  <c r="K85" i="4"/>
  <c r="L85" i="4"/>
  <c r="M85" i="4"/>
  <c r="K117" i="4"/>
  <c r="L117" i="4"/>
  <c r="M117" i="4"/>
  <c r="K145" i="4"/>
  <c r="L145" i="4"/>
  <c r="M145" i="4"/>
  <c r="K82" i="4"/>
  <c r="L82" i="4"/>
  <c r="M82" i="4"/>
  <c r="K11" i="4"/>
  <c r="L11" i="4"/>
  <c r="M11" i="4"/>
  <c r="K51" i="4"/>
  <c r="L51" i="4"/>
  <c r="M51" i="4"/>
  <c r="K147" i="4"/>
  <c r="J147" i="4" s="1"/>
  <c r="L147" i="4"/>
  <c r="M147" i="4"/>
  <c r="K91" i="4"/>
  <c r="L91" i="4"/>
  <c r="M91" i="4"/>
  <c r="K99" i="4"/>
  <c r="L99" i="4"/>
  <c r="M99" i="4"/>
  <c r="K109" i="4"/>
  <c r="L109" i="4"/>
  <c r="M109" i="4"/>
  <c r="K41" i="4"/>
  <c r="L41" i="4"/>
  <c r="M41" i="4"/>
  <c r="K52" i="4"/>
  <c r="L52" i="4"/>
  <c r="M52" i="4"/>
  <c r="K56" i="4"/>
  <c r="L56" i="4"/>
  <c r="M56" i="4"/>
  <c r="K32" i="4"/>
  <c r="L32" i="4"/>
  <c r="M32" i="4"/>
  <c r="K103" i="4"/>
  <c r="J103" i="4" s="1"/>
  <c r="L103" i="4"/>
  <c r="M103" i="4"/>
  <c r="K174" i="4"/>
  <c r="M174" i="4"/>
  <c r="L174" i="4"/>
  <c r="X8" i="4" l="1"/>
  <c r="X20" i="4"/>
  <c r="X37" i="4"/>
  <c r="X50" i="4"/>
  <c r="X68" i="4"/>
  <c r="X79" i="4"/>
  <c r="X88" i="4"/>
  <c r="X101" i="4"/>
  <c r="X112" i="4"/>
  <c r="X126" i="4"/>
  <c r="X139" i="4"/>
  <c r="X158" i="4"/>
  <c r="X167" i="4"/>
  <c r="X175" i="4"/>
  <c r="X183" i="4"/>
  <c r="X192" i="4"/>
  <c r="X200" i="4"/>
  <c r="X11" i="4"/>
  <c r="X24" i="4"/>
  <c r="X38" i="4"/>
  <c r="X52" i="4"/>
  <c r="X69" i="4"/>
  <c r="X80" i="4"/>
  <c r="X91" i="4"/>
  <c r="X102" i="4"/>
  <c r="X113" i="4"/>
  <c r="X128" i="4"/>
  <c r="X141" i="4"/>
  <c r="X160" i="4"/>
  <c r="X168" i="4"/>
  <c r="X176" i="4"/>
  <c r="X184" i="4"/>
  <c r="X193" i="4"/>
  <c r="X201" i="4"/>
  <c r="X12" i="4"/>
  <c r="X25" i="4"/>
  <c r="X40" i="4"/>
  <c r="X54" i="4"/>
  <c r="X70" i="4"/>
  <c r="X81" i="4"/>
  <c r="X92" i="4"/>
  <c r="X103" i="4"/>
  <c r="X115" i="4"/>
  <c r="X129" i="4"/>
  <c r="X143" i="4"/>
  <c r="X161" i="4"/>
  <c r="X169" i="4"/>
  <c r="X177" i="4"/>
  <c r="X185" i="4"/>
  <c r="X194" i="4"/>
  <c r="X202" i="4"/>
  <c r="X14" i="4"/>
  <c r="X29" i="4"/>
  <c r="X43" i="4"/>
  <c r="X55" i="4"/>
  <c r="X71" i="4"/>
  <c r="X82" i="4"/>
  <c r="X93" i="4"/>
  <c r="X105" i="4"/>
  <c r="X116" i="4"/>
  <c r="X131" i="4"/>
  <c r="X144" i="4"/>
  <c r="X162" i="4"/>
  <c r="X170" i="4"/>
  <c r="X178" i="4"/>
  <c r="X186" i="4"/>
  <c r="X195" i="4"/>
  <c r="X203" i="4"/>
  <c r="X15" i="4"/>
  <c r="X31" i="4"/>
  <c r="X44" i="4"/>
  <c r="X62" i="4"/>
  <c r="X72" i="4"/>
  <c r="X84" i="4"/>
  <c r="X95" i="4"/>
  <c r="X106" i="4"/>
  <c r="X118" i="4"/>
  <c r="X134" i="4"/>
  <c r="X147" i="4"/>
  <c r="X163" i="4"/>
  <c r="X171" i="4"/>
  <c r="X179" i="4"/>
  <c r="X187" i="4"/>
  <c r="X196" i="4"/>
  <c r="W3" i="4"/>
  <c r="X3" i="4" s="1"/>
  <c r="J99" i="4"/>
  <c r="J85" i="4"/>
  <c r="J122" i="4"/>
  <c r="J155" i="4"/>
  <c r="J25" i="4"/>
  <c r="J71" i="4"/>
  <c r="J76" i="4"/>
  <c r="J115" i="4"/>
  <c r="J5" i="4"/>
  <c r="J116" i="4"/>
  <c r="J132" i="4"/>
  <c r="J150" i="4"/>
  <c r="J129" i="4"/>
  <c r="J203" i="4"/>
  <c r="J88" i="4"/>
  <c r="J66" i="4"/>
  <c r="J107" i="4"/>
  <c r="J157" i="4"/>
  <c r="J62" i="4"/>
  <c r="J198" i="4"/>
  <c r="J184" i="4"/>
  <c r="J188" i="4"/>
  <c r="J195" i="4"/>
  <c r="J194" i="4"/>
  <c r="J179" i="4"/>
  <c r="X5" i="4"/>
  <c r="X16" i="4"/>
  <c r="X33" i="4"/>
  <c r="X45" i="4"/>
  <c r="X63" i="4"/>
  <c r="X73" i="4"/>
  <c r="X85" i="4"/>
  <c r="X96" i="4"/>
  <c r="X107" i="4"/>
  <c r="X119" i="4"/>
  <c r="X136" i="4"/>
  <c r="X148" i="4"/>
  <c r="X164" i="4"/>
  <c r="X172" i="4"/>
  <c r="X180" i="4"/>
  <c r="X188" i="4"/>
  <c r="X197" i="4"/>
  <c r="X6" i="4"/>
  <c r="X17" i="4"/>
  <c r="X34" i="4"/>
  <c r="X46" i="4"/>
  <c r="X64" i="4"/>
  <c r="X76" i="4"/>
  <c r="X86" i="4"/>
  <c r="X97" i="4"/>
  <c r="X110" i="4"/>
  <c r="X120" i="4"/>
  <c r="X137" i="4"/>
  <c r="X149" i="4"/>
  <c r="X165" i="4"/>
  <c r="X173" i="4"/>
  <c r="X181" i="4"/>
  <c r="X190" i="4"/>
  <c r="X198" i="4"/>
  <c r="X7" i="4"/>
  <c r="X19" i="4"/>
  <c r="X35" i="4"/>
  <c r="X48" i="4"/>
  <c r="X67" i="4"/>
  <c r="X77" i="4"/>
  <c r="X87" i="4"/>
  <c r="X100" i="4"/>
  <c r="X111" i="4"/>
  <c r="X124" i="4"/>
  <c r="X138" i="4"/>
  <c r="X154" i="4"/>
  <c r="X166" i="4"/>
  <c r="X174" i="4"/>
  <c r="X182" i="4"/>
  <c r="X191" i="4"/>
  <c r="X199" i="4"/>
  <c r="J91" i="4"/>
  <c r="J100" i="4"/>
  <c r="J166" i="4"/>
  <c r="J55" i="4"/>
  <c r="J20" i="4"/>
  <c r="J45" i="4"/>
  <c r="J154" i="4"/>
  <c r="J70" i="4"/>
  <c r="J34" i="4"/>
  <c r="J81" i="4"/>
  <c r="J202" i="4"/>
  <c r="J67" i="4"/>
  <c r="J18" i="4"/>
  <c r="J121" i="4"/>
  <c r="J201" i="4"/>
  <c r="J146" i="4"/>
  <c r="J181" i="4"/>
  <c r="J180" i="4"/>
  <c r="J41" i="4"/>
  <c r="J145" i="4"/>
  <c r="J87" i="4"/>
  <c r="J128" i="4"/>
  <c r="J60" i="4"/>
  <c r="J89" i="4"/>
  <c r="J163" i="4"/>
  <c r="J126" i="4"/>
  <c r="J172" i="4"/>
  <c r="J137" i="4"/>
  <c r="J139" i="4"/>
  <c r="J72" i="4"/>
  <c r="J133" i="4"/>
  <c r="J33" i="4"/>
  <c r="J59" i="4"/>
  <c r="J114" i="4"/>
  <c r="J102" i="4"/>
  <c r="J159" i="4"/>
  <c r="J164" i="4"/>
  <c r="J47" i="4"/>
  <c r="J48" i="4"/>
  <c r="J193" i="4"/>
  <c r="J171" i="4"/>
  <c r="J176" i="4"/>
  <c r="J165" i="4"/>
  <c r="J174" i="4"/>
  <c r="J82" i="4"/>
  <c r="J36" i="4"/>
  <c r="J8" i="4"/>
  <c r="J2" i="4"/>
  <c r="J12" i="4"/>
  <c r="J14" i="4"/>
  <c r="J92" i="4"/>
  <c r="J4" i="4"/>
  <c r="J144" i="4"/>
  <c r="J13" i="4"/>
  <c r="J19" i="4"/>
  <c r="J23" i="4"/>
  <c r="J98" i="4"/>
  <c r="J160" i="4"/>
  <c r="J64" i="4"/>
  <c r="J120" i="4"/>
  <c r="J196" i="4"/>
  <c r="J177" i="4"/>
  <c r="J131" i="4"/>
  <c r="J124" i="4"/>
  <c r="J158" i="4"/>
  <c r="J125" i="4"/>
  <c r="J44" i="4"/>
  <c r="J24" i="4"/>
  <c r="J127" i="4"/>
  <c r="J51" i="4"/>
  <c r="J68" i="4"/>
  <c r="J168" i="4"/>
  <c r="J9" i="4"/>
  <c r="J63" i="4"/>
  <c r="J80" i="4"/>
  <c r="J134" i="4"/>
  <c r="J189" i="4"/>
  <c r="J191" i="4"/>
  <c r="J178" i="4"/>
  <c r="J111" i="4"/>
  <c r="J38" i="4"/>
  <c r="J11" i="4"/>
  <c r="J75" i="4"/>
  <c r="J83" i="4"/>
  <c r="J162" i="4"/>
  <c r="J86" i="4"/>
  <c r="J93" i="4"/>
  <c r="J186" i="4"/>
  <c r="J175" i="4"/>
  <c r="J167" i="4"/>
  <c r="J109" i="4"/>
  <c r="J117" i="4"/>
  <c r="J58" i="4"/>
  <c r="J95" i="4"/>
  <c r="J42" i="4"/>
  <c r="J138" i="4"/>
  <c r="J16" i="4"/>
  <c r="J28" i="4"/>
  <c r="J113" i="4"/>
  <c r="J143" i="4"/>
  <c r="J152" i="4"/>
  <c r="J78" i="4"/>
  <c r="J130" i="4"/>
  <c r="J200" i="4"/>
  <c r="J123" i="4"/>
  <c r="J43" i="4"/>
  <c r="J148" i="4"/>
  <c r="J183" i="4"/>
  <c r="J185" i="4"/>
  <c r="J3" i="4"/>
  <c r="J106" i="4"/>
  <c r="J69" i="4"/>
  <c r="J77" i="4"/>
  <c r="J10" i="4"/>
  <c r="J15" i="4"/>
  <c r="J32" i="4"/>
  <c r="J37" i="4"/>
  <c r="J90" i="4"/>
  <c r="J156" i="4"/>
  <c r="J161" i="4"/>
  <c r="J105" i="4"/>
  <c r="J96" i="4"/>
  <c r="J30" i="4"/>
  <c r="J53" i="4"/>
  <c r="J22" i="4"/>
  <c r="J29" i="4"/>
  <c r="J54" i="4"/>
  <c r="J65" i="4"/>
  <c r="J197" i="4"/>
  <c r="J187" i="4"/>
  <c r="J110" i="4"/>
  <c r="J74" i="4"/>
  <c r="J142" i="4"/>
  <c r="J56" i="4"/>
  <c r="J153" i="4"/>
  <c r="J21" i="4"/>
  <c r="J104" i="4"/>
  <c r="J50" i="4"/>
  <c r="J6" i="4"/>
  <c r="J118" i="4"/>
  <c r="J39" i="4"/>
  <c r="J182" i="4"/>
  <c r="J52" i="4"/>
  <c r="T175" i="2"/>
  <c r="T71" i="2"/>
  <c r="T193" i="2"/>
  <c r="T144" i="2"/>
  <c r="T158" i="2"/>
  <c r="T164" i="2"/>
  <c r="T129" i="2"/>
  <c r="T124" i="2"/>
  <c r="T188" i="2"/>
  <c r="T7" i="2"/>
  <c r="T12" i="2"/>
  <c r="T27" i="2"/>
  <c r="T105" i="2"/>
  <c r="T80" i="2"/>
  <c r="T185" i="2"/>
  <c r="T180" i="2"/>
  <c r="T104" i="2"/>
  <c r="T100" i="2"/>
  <c r="T69" i="2"/>
  <c r="T66" i="2"/>
  <c r="T121" i="2"/>
  <c r="T87" i="2"/>
  <c r="T43" i="2"/>
  <c r="T118" i="2"/>
  <c r="T151" i="2"/>
  <c r="T102" i="2"/>
  <c r="T174" i="2"/>
  <c r="T103" i="2"/>
  <c r="T123" i="2"/>
  <c r="T189" i="2"/>
  <c r="T117" i="2"/>
  <c r="T149" i="2"/>
  <c r="T178" i="2"/>
  <c r="T83" i="2"/>
  <c r="T130" i="2"/>
  <c r="T41" i="2"/>
  <c r="T172" i="2"/>
  <c r="T181" i="2"/>
  <c r="T128" i="2"/>
  <c r="T176" i="2"/>
  <c r="T150" i="2"/>
  <c r="T45" i="2"/>
  <c r="T72" i="2"/>
  <c r="T54" i="2"/>
  <c r="T74" i="2"/>
  <c r="T48" i="2"/>
  <c r="T177" i="2"/>
  <c r="T126" i="2"/>
  <c r="T111" i="2"/>
  <c r="T173" i="2"/>
  <c r="T115" i="2"/>
  <c r="T202" i="2"/>
  <c r="T182" i="2"/>
  <c r="T97" i="2"/>
  <c r="T183" i="2"/>
  <c r="T94" i="2"/>
  <c r="T24" i="2"/>
  <c r="T101" i="2"/>
  <c r="T168" i="2"/>
  <c r="T92" i="2"/>
  <c r="T90" i="2"/>
  <c r="T134" i="2"/>
  <c r="T81" i="2"/>
  <c r="T166" i="2"/>
  <c r="T201" i="2"/>
  <c r="T141" i="2"/>
  <c r="T99" i="2"/>
  <c r="T106" i="2"/>
  <c r="T127" i="2"/>
  <c r="T200" i="2"/>
  <c r="T139" i="2"/>
  <c r="T184" i="2"/>
  <c r="T133" i="2"/>
  <c r="T77" i="2"/>
  <c r="T122" i="2"/>
  <c r="T143" i="2"/>
  <c r="T125" i="2"/>
  <c r="T192" i="2"/>
  <c r="T161" i="2"/>
  <c r="T137" i="2"/>
  <c r="T138" i="2"/>
  <c r="T146" i="2"/>
  <c r="T132" i="2"/>
  <c r="T159" i="2"/>
  <c r="T140" i="2"/>
  <c r="T165" i="2"/>
  <c r="T14" i="2"/>
  <c r="T145" i="2"/>
  <c r="T153" i="2"/>
  <c r="T119" i="2"/>
  <c r="T142" i="2"/>
  <c r="T16" i="2"/>
  <c r="T93" i="2"/>
  <c r="T171" i="2"/>
  <c r="T26" i="2"/>
  <c r="T70" i="2"/>
  <c r="T64" i="2"/>
  <c r="T17" i="2"/>
  <c r="T25" i="2"/>
  <c r="T19" i="2"/>
  <c r="T152" i="2"/>
  <c r="T18" i="2"/>
  <c r="T35" i="2"/>
  <c r="T8" i="2"/>
  <c r="T167" i="2"/>
  <c r="T169" i="2"/>
  <c r="T160" i="2"/>
  <c r="T187" i="2"/>
  <c r="T135" i="2"/>
  <c r="T186" i="2"/>
  <c r="T49" i="2"/>
  <c r="T156" i="2"/>
  <c r="T40" i="2"/>
  <c r="T114" i="2"/>
  <c r="T162" i="2"/>
  <c r="T42" i="2"/>
  <c r="T58" i="2"/>
  <c r="T136" i="2"/>
  <c r="T91" i="2"/>
  <c r="T199" i="2"/>
  <c r="T79" i="2"/>
  <c r="T9" i="2"/>
  <c r="T59" i="2"/>
  <c r="T32" i="2"/>
  <c r="T78" i="2"/>
  <c r="T85" i="2"/>
  <c r="T73" i="2"/>
  <c r="T84" i="2"/>
  <c r="T82" i="2"/>
  <c r="T11" i="2"/>
  <c r="T4" i="2"/>
  <c r="T28" i="2"/>
  <c r="T23" i="2"/>
  <c r="T148" i="2"/>
  <c r="T112" i="2"/>
  <c r="T62" i="2"/>
  <c r="T29" i="2"/>
  <c r="T191" i="2"/>
  <c r="T154" i="2"/>
  <c r="T5" i="2"/>
  <c r="T190" i="2"/>
  <c r="T51" i="2"/>
  <c r="T196" i="2"/>
  <c r="T38" i="2"/>
  <c r="T3" i="2"/>
  <c r="T163" i="2"/>
  <c r="T113" i="2"/>
  <c r="T194" i="2"/>
  <c r="T170" i="2"/>
  <c r="T10" i="2"/>
  <c r="T13" i="2"/>
  <c r="T157" i="2"/>
  <c r="T36" i="2"/>
  <c r="T131" i="2"/>
  <c r="T50" i="2"/>
  <c r="T75" i="2"/>
  <c r="T30" i="2"/>
  <c r="T61" i="2"/>
  <c r="T155" i="2"/>
  <c r="T147" i="2"/>
  <c r="T195" i="2"/>
  <c r="T89" i="2"/>
  <c r="T95" i="2"/>
  <c r="T21" i="2"/>
  <c r="T31" i="2"/>
  <c r="T67" i="2"/>
  <c r="T107" i="2"/>
  <c r="T34" i="2"/>
  <c r="T47" i="2"/>
  <c r="T37" i="2"/>
  <c r="T6" i="2"/>
  <c r="T22" i="2"/>
  <c r="T109" i="2"/>
  <c r="T108" i="2"/>
  <c r="T88" i="2"/>
  <c r="T96" i="2"/>
  <c r="T120" i="2"/>
  <c r="T33" i="2"/>
  <c r="T179" i="2"/>
  <c r="T86" i="2"/>
  <c r="T60" i="2"/>
  <c r="T52" i="2"/>
  <c r="T44" i="2"/>
  <c r="T116" i="2"/>
  <c r="T63" i="2"/>
  <c r="T65" i="2"/>
  <c r="T203" i="2"/>
  <c r="T56" i="2"/>
  <c r="T110" i="2"/>
  <c r="T53" i="2"/>
  <c r="T46" i="2"/>
  <c r="T76" i="2"/>
  <c r="T55" i="2"/>
  <c r="T68" i="2"/>
  <c r="T39" i="2"/>
  <c r="T57" i="2"/>
  <c r="T197" i="2"/>
  <c r="T15" i="2"/>
  <c r="T198" i="2"/>
  <c r="T20" i="2"/>
  <c r="T98" i="2"/>
  <c r="H174" i="2"/>
  <c r="H123" i="2"/>
  <c r="H189" i="2"/>
  <c r="K189" i="2" s="1"/>
  <c r="H149" i="2"/>
  <c r="H178" i="2"/>
  <c r="H130" i="2"/>
  <c r="H41" i="2"/>
  <c r="K41" i="2" s="1"/>
  <c r="H172" i="2"/>
  <c r="H181" i="2"/>
  <c r="K181" i="2" s="1"/>
  <c r="H128" i="2"/>
  <c r="H176" i="2"/>
  <c r="K176" i="2" s="1"/>
  <c r="H45" i="2"/>
  <c r="K45" i="2" s="1"/>
  <c r="H54" i="2"/>
  <c r="K54" i="2" s="1"/>
  <c r="H48" i="2"/>
  <c r="K48" i="2" s="1"/>
  <c r="H193" i="2"/>
  <c r="K193" i="2" s="1"/>
  <c r="H177" i="2"/>
  <c r="H126" i="2"/>
  <c r="H173" i="2"/>
  <c r="H115" i="2"/>
  <c r="J115" i="2" s="1"/>
  <c r="H182" i="2"/>
  <c r="H24" i="2"/>
  <c r="H168" i="2"/>
  <c r="H158" i="2"/>
  <c r="H134" i="2"/>
  <c r="H166" i="2"/>
  <c r="H141" i="2"/>
  <c r="J141" i="2" s="1"/>
  <c r="H164" i="2"/>
  <c r="H127" i="2"/>
  <c r="H139" i="2"/>
  <c r="H133" i="2"/>
  <c r="H129" i="2"/>
  <c r="H122" i="2"/>
  <c r="H125" i="2"/>
  <c r="H161" i="2"/>
  <c r="H137" i="2"/>
  <c r="K137" i="2" s="1"/>
  <c r="H138" i="2"/>
  <c r="H146" i="2"/>
  <c r="H159" i="2"/>
  <c r="H140" i="2"/>
  <c r="H165" i="2"/>
  <c r="H145" i="2"/>
  <c r="H188" i="2"/>
  <c r="K188" i="2" s="1"/>
  <c r="H153" i="2"/>
  <c r="H142" i="2"/>
  <c r="H16" i="2"/>
  <c r="H25" i="2"/>
  <c r="H167" i="2"/>
  <c r="H186" i="2"/>
  <c r="K186" i="2" s="1"/>
  <c r="H156" i="2"/>
  <c r="H82" i="2"/>
  <c r="K82" i="2" s="1"/>
  <c r="H185" i="2"/>
  <c r="K185" i="2" s="1"/>
  <c r="H10" i="2"/>
  <c r="K10" i="2" s="1"/>
  <c r="H110" i="2"/>
  <c r="H197" i="2"/>
  <c r="K197" i="2" s="1"/>
  <c r="H71" i="2"/>
  <c r="K71" i="2" s="1"/>
  <c r="H72" i="2"/>
  <c r="K72" i="2" s="1"/>
  <c r="H74" i="2"/>
  <c r="K74" i="2" s="1"/>
  <c r="H111" i="2"/>
  <c r="K111" i="2" s="1"/>
  <c r="H202" i="2"/>
  <c r="K202" i="2" s="1"/>
  <c r="H97" i="2"/>
  <c r="K97" i="2" s="1"/>
  <c r="H94" i="2"/>
  <c r="K94" i="2" s="1"/>
  <c r="H101" i="2"/>
  <c r="K101" i="2" s="1"/>
  <c r="H90" i="2"/>
  <c r="K90" i="2" s="1"/>
  <c r="H81" i="2"/>
  <c r="K81" i="2" s="1"/>
  <c r="H201" i="2"/>
  <c r="K201" i="2" s="1"/>
  <c r="H200" i="2"/>
  <c r="K200" i="2" s="1"/>
  <c r="H77" i="2"/>
  <c r="K77" i="2" s="1"/>
  <c r="H143" i="2"/>
  <c r="K143" i="2" s="1"/>
  <c r="H192" i="2"/>
  <c r="K192" i="2" s="1"/>
  <c r="H124" i="2"/>
  <c r="K124" i="2" s="1"/>
  <c r="H132" i="2"/>
  <c r="K132" i="2" s="1"/>
  <c r="H119" i="2"/>
  <c r="K119" i="2" s="1"/>
  <c r="H93" i="2"/>
  <c r="K93" i="2" s="1"/>
  <c r="H26" i="2"/>
  <c r="H7" i="2"/>
  <c r="K7" i="2" s="1"/>
  <c r="H70" i="2"/>
  <c r="K70" i="2" s="1"/>
  <c r="H64" i="2"/>
  <c r="K64" i="2" s="1"/>
  <c r="H17" i="2"/>
  <c r="K17" i="2" s="1"/>
  <c r="H19" i="2"/>
  <c r="K19" i="2" s="1"/>
  <c r="H18" i="2"/>
  <c r="K18" i="2" s="1"/>
  <c r="H12" i="2"/>
  <c r="K12" i="2" s="1"/>
  <c r="H35" i="2"/>
  <c r="K35" i="2" s="1"/>
  <c r="H187" i="2"/>
  <c r="K187" i="2" s="1"/>
  <c r="H27" i="2"/>
  <c r="K27" i="2" s="1"/>
  <c r="H49" i="2"/>
  <c r="H114" i="2"/>
  <c r="K114" i="2" s="1"/>
  <c r="H162" i="2"/>
  <c r="K162" i="2" s="1"/>
  <c r="H105" i="2"/>
  <c r="K105" i="2" s="1"/>
  <c r="H58" i="2"/>
  <c r="K58" i="2" s="1"/>
  <c r="H136" i="2"/>
  <c r="K136" i="2" s="1"/>
  <c r="H91" i="2"/>
  <c r="K91" i="2" s="1"/>
  <c r="H199" i="2"/>
  <c r="K199" i="2" s="1"/>
  <c r="H79" i="2"/>
  <c r="K79" i="2" s="1"/>
  <c r="H9" i="2"/>
  <c r="K9" i="2" s="1"/>
  <c r="H59" i="2"/>
  <c r="K59" i="2" s="1"/>
  <c r="H80" i="2"/>
  <c r="K80" i="2" s="1"/>
  <c r="H78" i="2"/>
  <c r="K78" i="2" s="1"/>
  <c r="H85" i="2"/>
  <c r="K85" i="2" s="1"/>
  <c r="H73" i="2"/>
  <c r="K73" i="2" s="1"/>
  <c r="H84" i="2"/>
  <c r="K84" i="2" s="1"/>
  <c r="H11" i="2"/>
  <c r="H4" i="2"/>
  <c r="K4" i="2" s="1"/>
  <c r="H28" i="2"/>
  <c r="K28" i="2" s="1"/>
  <c r="H23" i="2"/>
  <c r="K23" i="2" s="1"/>
  <c r="H148" i="2"/>
  <c r="K148" i="2" s="1"/>
  <c r="H112" i="2"/>
  <c r="K112" i="2" s="1"/>
  <c r="H62" i="2"/>
  <c r="K62" i="2" s="1"/>
  <c r="H29" i="2"/>
  <c r="K29" i="2" s="1"/>
  <c r="H180" i="2"/>
  <c r="K180" i="2" s="1"/>
  <c r="H5" i="2"/>
  <c r="K5" i="2" s="1"/>
  <c r="H190" i="2"/>
  <c r="K190" i="2" s="1"/>
  <c r="H51" i="2"/>
  <c r="K51" i="2" s="1"/>
  <c r="H196" i="2"/>
  <c r="K196" i="2" s="1"/>
  <c r="H38" i="2"/>
  <c r="K38" i="2" s="1"/>
  <c r="H163" i="2"/>
  <c r="K163" i="2" s="1"/>
  <c r="H194" i="2"/>
  <c r="K194" i="2" s="1"/>
  <c r="H170" i="2"/>
  <c r="K170" i="2" s="1"/>
  <c r="H13" i="2"/>
  <c r="K13" i="2" s="1"/>
  <c r="H157" i="2"/>
  <c r="K157" i="2" s="1"/>
  <c r="H131" i="2"/>
  <c r="K131" i="2" s="1"/>
  <c r="H50" i="2"/>
  <c r="K50" i="2" s="1"/>
  <c r="H30" i="2"/>
  <c r="K30" i="2" s="1"/>
  <c r="H61" i="2"/>
  <c r="K61" i="2" s="1"/>
  <c r="H155" i="2"/>
  <c r="K155" i="2" s="1"/>
  <c r="H147" i="2"/>
  <c r="K147" i="2" s="1"/>
  <c r="H195" i="2"/>
  <c r="K195" i="2" s="1"/>
  <c r="H89" i="2"/>
  <c r="K89" i="2" s="1"/>
  <c r="H95" i="2"/>
  <c r="K95" i="2" s="1"/>
  <c r="H21" i="2"/>
  <c r="K21" i="2" s="1"/>
  <c r="H31" i="2"/>
  <c r="K31" i="2" s="1"/>
  <c r="H69" i="2"/>
  <c r="K69" i="2" s="1"/>
  <c r="H67" i="2"/>
  <c r="K67" i="2" s="1"/>
  <c r="H107" i="2"/>
  <c r="K107" i="2" s="1"/>
  <c r="H34" i="2"/>
  <c r="K34" i="2" s="1"/>
  <c r="H47" i="2"/>
  <c r="K47" i="2" s="1"/>
  <c r="H37" i="2"/>
  <c r="K37" i="2" s="1"/>
  <c r="H6" i="2"/>
  <c r="H22" i="2"/>
  <c r="K22" i="2" s="1"/>
  <c r="H66" i="2"/>
  <c r="K66" i="2" s="1"/>
  <c r="H109" i="2"/>
  <c r="K109" i="2" s="1"/>
  <c r="H88" i="2"/>
  <c r="K88" i="2" s="1"/>
  <c r="H96" i="2"/>
  <c r="K96" i="2" s="1"/>
  <c r="H33" i="2"/>
  <c r="K33" i="2" s="1"/>
  <c r="H121" i="2"/>
  <c r="K121" i="2" s="1"/>
  <c r="H86" i="2"/>
  <c r="K86" i="2" s="1"/>
  <c r="H60" i="2"/>
  <c r="K60" i="2" s="1"/>
  <c r="H52" i="2"/>
  <c r="K52" i="2" s="1"/>
  <c r="H44" i="2"/>
  <c r="K44" i="2" s="1"/>
  <c r="H63" i="2"/>
  <c r="K63" i="2" s="1"/>
  <c r="H65" i="2"/>
  <c r="K65" i="2" s="1"/>
  <c r="H87" i="2"/>
  <c r="K87" i="2" s="1"/>
  <c r="H56" i="2"/>
  <c r="K56" i="2" s="1"/>
  <c r="H53" i="2"/>
  <c r="K53" i="2" s="1"/>
  <c r="H76" i="2"/>
  <c r="K76" i="2" s="1"/>
  <c r="H55" i="2"/>
  <c r="K55" i="2" s="1"/>
  <c r="H43" i="2"/>
  <c r="K43" i="2" s="1"/>
  <c r="H68" i="2"/>
  <c r="K68" i="2" s="1"/>
  <c r="H57" i="2"/>
  <c r="K57" i="2" s="1"/>
  <c r="H198" i="2"/>
  <c r="K198" i="2" s="1"/>
  <c r="H118" i="2"/>
  <c r="K118" i="2" s="1"/>
  <c r="H183" i="2"/>
  <c r="H169" i="2"/>
  <c r="H154" i="2"/>
  <c r="H102" i="2"/>
  <c r="K102" i="2" s="1"/>
  <c r="H103" i="2"/>
  <c r="K103" i="2" s="1"/>
  <c r="H117" i="2"/>
  <c r="K117" i="2" s="1"/>
  <c r="H175" i="2"/>
  <c r="K175" i="2" s="1"/>
  <c r="H83" i="2"/>
  <c r="K83" i="2" s="1"/>
  <c r="H150" i="2"/>
  <c r="K150" i="2" s="1"/>
  <c r="H144" i="2"/>
  <c r="K144" i="2" s="1"/>
  <c r="H92" i="2"/>
  <c r="K92" i="2" s="1"/>
  <c r="H99" i="2"/>
  <c r="K99" i="2" s="1"/>
  <c r="H106" i="2"/>
  <c r="K106" i="2" s="1"/>
  <c r="H184" i="2"/>
  <c r="K184" i="2" s="1"/>
  <c r="H14" i="2"/>
  <c r="K14" i="2" s="1"/>
  <c r="H171" i="2"/>
  <c r="H152" i="2"/>
  <c r="H8" i="2"/>
  <c r="K8" i="2" s="1"/>
  <c r="H160" i="2"/>
  <c r="H135" i="2"/>
  <c r="K135" i="2" s="1"/>
  <c r="H40" i="2"/>
  <c r="K40" i="2" s="1"/>
  <c r="H42" i="2"/>
  <c r="K42" i="2" s="1"/>
  <c r="H32" i="2"/>
  <c r="K32" i="2" s="1"/>
  <c r="H191" i="2"/>
  <c r="K191" i="2" s="1"/>
  <c r="H2" i="2"/>
  <c r="K2" i="2" s="1"/>
  <c r="H3" i="2"/>
  <c r="K3" i="2" s="1"/>
  <c r="H113" i="2"/>
  <c r="K113" i="2" s="1"/>
  <c r="H104" i="2"/>
  <c r="K104" i="2" s="1"/>
  <c r="H36" i="2"/>
  <c r="K36" i="2" s="1"/>
  <c r="H75" i="2"/>
  <c r="K75" i="2" s="1"/>
  <c r="H100" i="2"/>
  <c r="K100" i="2" s="1"/>
  <c r="H108" i="2"/>
  <c r="K108" i="2" s="1"/>
  <c r="H120" i="2"/>
  <c r="K120" i="2" s="1"/>
  <c r="H179" i="2"/>
  <c r="K179" i="2" s="1"/>
  <c r="H116" i="2"/>
  <c r="K116" i="2" s="1"/>
  <c r="H203" i="2"/>
  <c r="H46" i="2"/>
  <c r="K46" i="2" s="1"/>
  <c r="H39" i="2"/>
  <c r="K39" i="2" s="1"/>
  <c r="H15" i="2"/>
  <c r="K15" i="2" s="1"/>
  <c r="H20" i="2"/>
  <c r="K20" i="2" s="1"/>
  <c r="H98" i="2"/>
  <c r="K98" i="2" s="1"/>
  <c r="H151" i="2"/>
  <c r="U151" i="2" l="1"/>
  <c r="V151" i="2" s="1"/>
  <c r="U49" i="2"/>
  <c r="U82" i="2"/>
  <c r="U198" i="2"/>
  <c r="V198" i="2" s="1"/>
  <c r="U33" i="2"/>
  <c r="U162" i="2"/>
  <c r="V162" i="2" s="1"/>
  <c r="U171" i="2"/>
  <c r="V171" i="2" s="1"/>
  <c r="U137" i="2"/>
  <c r="V137" i="2" s="1"/>
  <c r="U202" i="2"/>
  <c r="V202" i="2" s="1"/>
  <c r="U133" i="2"/>
  <c r="V133" i="2" s="1"/>
  <c r="U197" i="2"/>
  <c r="V197" i="2" s="1"/>
  <c r="U159" i="2"/>
  <c r="V159" i="2" s="1"/>
  <c r="U130" i="2"/>
  <c r="V130" i="2" s="1"/>
  <c r="U168" i="2"/>
  <c r="V168" i="2" s="1"/>
  <c r="U10" i="2"/>
  <c r="U57" i="2"/>
  <c r="U34" i="2"/>
  <c r="U195" i="2"/>
  <c r="V195" i="2" s="1"/>
  <c r="U131" i="2"/>
  <c r="V131" i="2" s="1"/>
  <c r="U5" i="2"/>
  <c r="U23" i="2"/>
  <c r="U17" i="2"/>
  <c r="U60" i="2"/>
  <c r="U28" i="2"/>
  <c r="U26" i="2"/>
  <c r="U141" i="2"/>
  <c r="V141" i="2" s="1"/>
  <c r="U145" i="2"/>
  <c r="V145" i="2" s="1"/>
  <c r="U53" i="2"/>
  <c r="U44" i="2"/>
  <c r="U96" i="2"/>
  <c r="U47" i="2"/>
  <c r="U89" i="2"/>
  <c r="U50" i="2"/>
  <c r="U194" i="2"/>
  <c r="V194" i="2" s="1"/>
  <c r="U190" i="2"/>
  <c r="V190" i="2" s="1"/>
  <c r="U148" i="2"/>
  <c r="V148" i="2" s="1"/>
  <c r="U73" i="2"/>
  <c r="U199" i="2"/>
  <c r="V199" i="2" s="1"/>
  <c r="U169" i="2"/>
  <c r="V169" i="2" s="1"/>
  <c r="U25" i="2"/>
  <c r="U140" i="2"/>
  <c r="V140" i="2" s="1"/>
  <c r="U166" i="2"/>
  <c r="V166" i="2" s="1"/>
  <c r="U173" i="2"/>
  <c r="V173" i="2" s="1"/>
  <c r="U72" i="2"/>
  <c r="U41" i="2"/>
  <c r="U123" i="2"/>
  <c r="V123" i="2" s="1"/>
  <c r="U113" i="2"/>
  <c r="V113" i="2" s="1"/>
  <c r="U91" i="2"/>
  <c r="U167" i="2"/>
  <c r="V167" i="2" s="1"/>
  <c r="U125" i="2"/>
  <c r="V125" i="2" s="1"/>
  <c r="U200" i="2"/>
  <c r="V200" i="2" s="1"/>
  <c r="U81" i="2"/>
  <c r="U111" i="2"/>
  <c r="V111" i="2" s="1"/>
  <c r="U132" i="2"/>
  <c r="V132" i="2" s="1"/>
  <c r="U128" i="2"/>
  <c r="V128" i="2" s="1"/>
  <c r="U62" i="2"/>
  <c r="U152" i="2"/>
  <c r="V152" i="2" s="1"/>
  <c r="U52" i="2"/>
  <c r="U156" i="2"/>
  <c r="V156" i="2" s="1"/>
  <c r="U56" i="2"/>
  <c r="U108" i="2"/>
  <c r="V108" i="2" s="1"/>
  <c r="U163" i="2"/>
  <c r="V163" i="2" s="1"/>
  <c r="U154" i="2"/>
  <c r="V154" i="2" s="1"/>
  <c r="U136" i="2"/>
  <c r="V136" i="2" s="1"/>
  <c r="U8" i="2"/>
  <c r="U119" i="2"/>
  <c r="V119" i="2" s="1"/>
  <c r="U143" i="2"/>
  <c r="V143" i="2" s="1"/>
  <c r="U127" i="2"/>
  <c r="V127" i="2" s="1"/>
  <c r="U134" i="2"/>
  <c r="V134" i="2" s="1"/>
  <c r="U187" i="2"/>
  <c r="V187" i="2" s="1"/>
  <c r="U11" i="2"/>
  <c r="U98" i="2"/>
  <c r="V98" i="2" s="1"/>
  <c r="U86" i="2"/>
  <c r="U157" i="2"/>
  <c r="V157" i="2" s="1"/>
  <c r="U191" i="2"/>
  <c r="V191" i="2" s="1"/>
  <c r="U58" i="2"/>
  <c r="U186" i="2"/>
  <c r="V186" i="2" s="1"/>
  <c r="U122" i="2"/>
  <c r="V122" i="2" s="1"/>
  <c r="U90" i="2"/>
  <c r="U177" i="2"/>
  <c r="V177" i="2" s="1"/>
  <c r="U76" i="2"/>
  <c r="U6" i="2"/>
  <c r="U85" i="2"/>
  <c r="U138" i="2"/>
  <c r="V138" i="2" s="1"/>
  <c r="U182" i="2"/>
  <c r="V182" i="2" s="1"/>
  <c r="U149" i="2"/>
  <c r="V149" i="2" s="1"/>
  <c r="U24" i="2"/>
  <c r="U45" i="2"/>
  <c r="U103" i="2"/>
  <c r="V103" i="2" s="1"/>
  <c r="U68" i="2"/>
  <c r="U109" i="2"/>
  <c r="V109" i="2" s="1"/>
  <c r="U155" i="2"/>
  <c r="V155" i="2" s="1"/>
  <c r="U4" i="2"/>
  <c r="U35" i="2"/>
  <c r="U153" i="2"/>
  <c r="V153" i="2" s="1"/>
  <c r="U146" i="2"/>
  <c r="V146" i="2" s="1"/>
  <c r="U178" i="2"/>
  <c r="V178" i="2" s="1"/>
  <c r="U30" i="2"/>
  <c r="U183" i="2"/>
  <c r="V183" i="2" s="1"/>
  <c r="U78" i="2"/>
  <c r="U126" i="2"/>
  <c r="V126" i="2" s="1"/>
  <c r="U174" i="2"/>
  <c r="V174" i="2" s="1"/>
  <c r="U118" i="2"/>
  <c r="V118" i="2" s="1"/>
  <c r="U43" i="2"/>
  <c r="U87" i="2"/>
  <c r="U121" i="2"/>
  <c r="V121" i="2" s="1"/>
  <c r="U66" i="2"/>
  <c r="U69" i="2"/>
  <c r="U100" i="2"/>
  <c r="V100" i="2" s="1"/>
  <c r="U104" i="2"/>
  <c r="V104" i="2" s="1"/>
  <c r="U2" i="2"/>
  <c r="U180" i="2"/>
  <c r="V180" i="2" s="1"/>
  <c r="U185" i="2"/>
  <c r="V185" i="2" s="1"/>
  <c r="U80" i="2"/>
  <c r="U105" i="2"/>
  <c r="V105" i="2" s="1"/>
  <c r="U27" i="2"/>
  <c r="U12" i="2"/>
  <c r="U7" i="2"/>
  <c r="U188" i="2"/>
  <c r="V188" i="2" s="1"/>
  <c r="U124" i="2"/>
  <c r="V124" i="2" s="1"/>
  <c r="U129" i="2"/>
  <c r="V129" i="2" s="1"/>
  <c r="U164" i="2"/>
  <c r="V164" i="2" s="1"/>
  <c r="U158" i="2"/>
  <c r="V158" i="2" s="1"/>
  <c r="U144" i="2"/>
  <c r="V144" i="2" s="1"/>
  <c r="U193" i="2"/>
  <c r="V193" i="2" s="1"/>
  <c r="U71" i="2"/>
  <c r="U175" i="2"/>
  <c r="V175" i="2" s="1"/>
  <c r="U139" i="2"/>
  <c r="V139" i="2" s="1"/>
  <c r="U203" i="2"/>
  <c r="V203" i="2" s="1"/>
  <c r="U67" i="2"/>
  <c r="U3" i="2"/>
  <c r="U32" i="2"/>
  <c r="U70" i="2"/>
  <c r="U106" i="2"/>
  <c r="V106" i="2" s="1"/>
  <c r="U97" i="2"/>
  <c r="V97" i="2" s="1"/>
  <c r="U176" i="2"/>
  <c r="V176" i="2" s="1"/>
  <c r="U102" i="2"/>
  <c r="V102" i="2" s="1"/>
  <c r="U40" i="2"/>
  <c r="U16" i="2"/>
  <c r="U192" i="2"/>
  <c r="V192" i="2" s="1"/>
  <c r="U88" i="2"/>
  <c r="U142" i="2"/>
  <c r="V142" i="2" s="1"/>
  <c r="U110" i="2"/>
  <c r="V110" i="2" s="1"/>
  <c r="U94" i="2"/>
  <c r="K26" i="2"/>
  <c r="U15" i="2"/>
  <c r="U46" i="2"/>
  <c r="U116" i="2"/>
  <c r="V116" i="2" s="1"/>
  <c r="U120" i="2"/>
  <c r="V120" i="2" s="1"/>
  <c r="U37" i="2"/>
  <c r="U95" i="2"/>
  <c r="U75" i="2"/>
  <c r="U170" i="2"/>
  <c r="V170" i="2" s="1"/>
  <c r="U51" i="2"/>
  <c r="U112" i="2"/>
  <c r="V112" i="2" s="1"/>
  <c r="U84" i="2"/>
  <c r="U79" i="2"/>
  <c r="U114" i="2"/>
  <c r="V114" i="2" s="1"/>
  <c r="U160" i="2"/>
  <c r="V160" i="2" s="1"/>
  <c r="U19" i="2"/>
  <c r="U93" i="2"/>
  <c r="U165" i="2"/>
  <c r="V165" i="2" s="1"/>
  <c r="U161" i="2"/>
  <c r="V161" i="2" s="1"/>
  <c r="U184" i="2"/>
  <c r="V184" i="2" s="1"/>
  <c r="U201" i="2"/>
  <c r="V201" i="2" s="1"/>
  <c r="U101" i="2"/>
  <c r="V101" i="2" s="1"/>
  <c r="U115" i="2"/>
  <c r="V115" i="2" s="1"/>
  <c r="U54" i="2"/>
  <c r="U172" i="2"/>
  <c r="V172" i="2" s="1"/>
  <c r="U189" i="2"/>
  <c r="V189" i="2" s="1"/>
  <c r="K11" i="2"/>
  <c r="K49" i="2"/>
  <c r="U20" i="2"/>
  <c r="U55" i="2"/>
  <c r="U65" i="2"/>
  <c r="U179" i="2"/>
  <c r="V179" i="2" s="1"/>
  <c r="U22" i="2"/>
  <c r="U31" i="2"/>
  <c r="U61" i="2"/>
  <c r="U13" i="2"/>
  <c r="U38" i="2"/>
  <c r="U29" i="2"/>
  <c r="U59" i="2"/>
  <c r="U42" i="2"/>
  <c r="U135" i="2"/>
  <c r="V135" i="2" s="1"/>
  <c r="U18" i="2"/>
  <c r="U77" i="2"/>
  <c r="U99" i="2"/>
  <c r="V99" i="2" s="1"/>
  <c r="U92" i="2"/>
  <c r="U48" i="2"/>
  <c r="K6" i="2"/>
  <c r="U63" i="2"/>
  <c r="U21" i="2"/>
  <c r="U196" i="2"/>
  <c r="V196" i="2" s="1"/>
  <c r="U9" i="2"/>
  <c r="U14" i="2"/>
  <c r="U74" i="2"/>
  <c r="U181" i="2"/>
  <c r="V181" i="2" s="1"/>
  <c r="U117" i="2"/>
  <c r="V117" i="2" s="1"/>
  <c r="K126" i="2"/>
  <c r="U39" i="2"/>
  <c r="U107" i="2"/>
  <c r="V107" i="2" s="1"/>
  <c r="U147" i="2"/>
  <c r="V147" i="2" s="1"/>
  <c r="U36" i="2"/>
  <c r="U64" i="2"/>
  <c r="U150" i="2"/>
  <c r="V150" i="2" s="1"/>
  <c r="U83" i="2"/>
  <c r="J68" i="2"/>
  <c r="J64" i="2"/>
  <c r="J192" i="2"/>
  <c r="J94" i="2"/>
  <c r="J75" i="2"/>
  <c r="J44" i="2"/>
  <c r="J194" i="2"/>
  <c r="J84" i="2"/>
  <c r="J199" i="2"/>
  <c r="J70" i="2"/>
  <c r="J143" i="2"/>
  <c r="J190" i="2"/>
  <c r="J71" i="2"/>
  <c r="J193" i="2"/>
  <c r="J52" i="2"/>
  <c r="J91" i="2"/>
  <c r="J187" i="2"/>
  <c r="J77" i="2"/>
  <c r="J202" i="2"/>
  <c r="J33" i="2"/>
  <c r="J9" i="2"/>
  <c r="J92" i="2"/>
  <c r="J61" i="2"/>
  <c r="J76" i="2"/>
  <c r="J38" i="2"/>
  <c r="J85" i="2"/>
  <c r="J200" i="2"/>
  <c r="J82" i="2"/>
  <c r="J87" i="2"/>
  <c r="J90" i="2"/>
  <c r="J195" i="2"/>
  <c r="J69" i="2"/>
  <c r="J120" i="2"/>
  <c r="J86" i="2"/>
  <c r="J196" i="2"/>
  <c r="J78" i="2"/>
  <c r="J93" i="2"/>
  <c r="J201" i="2"/>
  <c r="J198" i="2"/>
  <c r="J184" i="2"/>
  <c r="J96" i="2"/>
  <c r="J191" i="2"/>
  <c r="J118" i="2"/>
  <c r="J95" i="2"/>
  <c r="J80" i="2"/>
  <c r="J105" i="2"/>
  <c r="J119" i="2"/>
  <c r="J72" i="2"/>
  <c r="J108" i="2"/>
  <c r="J18" i="2"/>
  <c r="J177" i="2"/>
  <c r="K177" i="2"/>
  <c r="J14" i="2"/>
  <c r="J89" i="2"/>
  <c r="J59" i="2"/>
  <c r="J167" i="2"/>
  <c r="K167" i="2"/>
  <c r="J39" i="2"/>
  <c r="J117" i="2"/>
  <c r="J57" i="2"/>
  <c r="J65" i="2"/>
  <c r="J34" i="2"/>
  <c r="J13" i="2"/>
  <c r="J5" i="2"/>
  <c r="J4" i="2"/>
  <c r="J114" i="2"/>
  <c r="J17" i="2"/>
  <c r="J124" i="2"/>
  <c r="J101" i="2"/>
  <c r="J197" i="2"/>
  <c r="J25" i="2"/>
  <c r="K25" i="2"/>
  <c r="J159" i="2"/>
  <c r="K159" i="2"/>
  <c r="J133" i="2"/>
  <c r="K133" i="2"/>
  <c r="J168" i="2"/>
  <c r="K168" i="2"/>
  <c r="J48" i="2"/>
  <c r="J130" i="2"/>
  <c r="K130" i="2"/>
  <c r="J83" i="2"/>
  <c r="J131" i="2"/>
  <c r="J122" i="2"/>
  <c r="K122" i="2"/>
  <c r="J175" i="2"/>
  <c r="J162" i="2"/>
  <c r="J41" i="2"/>
  <c r="J46" i="2"/>
  <c r="J103" i="2"/>
  <c r="J63" i="2"/>
  <c r="J88" i="2"/>
  <c r="J107" i="2"/>
  <c r="J147" i="2"/>
  <c r="J170" i="2"/>
  <c r="J180" i="2"/>
  <c r="J11" i="2"/>
  <c r="J79" i="2"/>
  <c r="J49" i="2"/>
  <c r="J110" i="2"/>
  <c r="K110" i="2"/>
  <c r="J16" i="2"/>
  <c r="K16" i="2"/>
  <c r="J146" i="2"/>
  <c r="K146" i="2"/>
  <c r="J139" i="2"/>
  <c r="K139" i="2"/>
  <c r="J24" i="2"/>
  <c r="K24" i="2"/>
  <c r="J54" i="2"/>
  <c r="J178" i="2"/>
  <c r="K178" i="2"/>
  <c r="J51" i="2"/>
  <c r="J134" i="2"/>
  <c r="K134" i="2"/>
  <c r="J28" i="2"/>
  <c r="J42" i="2"/>
  <c r="J36" i="2"/>
  <c r="J135" i="2"/>
  <c r="J102" i="2"/>
  <c r="J43" i="2"/>
  <c r="J109" i="2"/>
  <c r="J67" i="2"/>
  <c r="J155" i="2"/>
  <c r="J29" i="2"/>
  <c r="J27" i="2"/>
  <c r="J97" i="2"/>
  <c r="J10" i="2"/>
  <c r="J142" i="2"/>
  <c r="K142" i="2"/>
  <c r="J138" i="2"/>
  <c r="K138" i="2"/>
  <c r="J127" i="2"/>
  <c r="K127" i="2"/>
  <c r="J182" i="2"/>
  <c r="K182" i="2"/>
  <c r="J45" i="2"/>
  <c r="J149" i="2"/>
  <c r="K149" i="2"/>
  <c r="J171" i="2"/>
  <c r="K171" i="2"/>
  <c r="J37" i="2"/>
  <c r="J23" i="2"/>
  <c r="J81" i="2"/>
  <c r="J172" i="2"/>
  <c r="K172" i="2"/>
  <c r="J32" i="2"/>
  <c r="J132" i="2"/>
  <c r="J140" i="2"/>
  <c r="K140" i="2"/>
  <c r="J106" i="2"/>
  <c r="J104" i="2"/>
  <c r="J116" i="2"/>
  <c r="J160" i="2"/>
  <c r="K160" i="2"/>
  <c r="J154" i="2"/>
  <c r="K154" i="2"/>
  <c r="J55" i="2"/>
  <c r="J66" i="2"/>
  <c r="J163" i="2"/>
  <c r="J62" i="2"/>
  <c r="J73" i="2"/>
  <c r="J7" i="2"/>
  <c r="J185" i="2"/>
  <c r="J153" i="2"/>
  <c r="K153" i="2"/>
  <c r="J137" i="2"/>
  <c r="J164" i="2"/>
  <c r="K164" i="2"/>
  <c r="J176" i="2"/>
  <c r="J189" i="2"/>
  <c r="J121" i="2"/>
  <c r="J165" i="2"/>
  <c r="K165" i="2"/>
  <c r="J15" i="2"/>
  <c r="J47" i="2"/>
  <c r="J129" i="2"/>
  <c r="K129" i="2"/>
  <c r="J113" i="2"/>
  <c r="J151" i="2"/>
  <c r="K151" i="2"/>
  <c r="J179" i="2"/>
  <c r="J3" i="2"/>
  <c r="J8" i="2"/>
  <c r="J144" i="2"/>
  <c r="J169" i="2"/>
  <c r="K169" i="2"/>
  <c r="J60" i="2"/>
  <c r="J22" i="2"/>
  <c r="J31" i="2"/>
  <c r="J30" i="2"/>
  <c r="J112" i="2"/>
  <c r="J136" i="2"/>
  <c r="J35" i="2"/>
  <c r="J26" i="2"/>
  <c r="J111" i="2"/>
  <c r="J188" i="2"/>
  <c r="J161" i="2"/>
  <c r="K161" i="2"/>
  <c r="J173" i="2"/>
  <c r="K173" i="2"/>
  <c r="J128" i="2"/>
  <c r="K128" i="2"/>
  <c r="J123" i="2"/>
  <c r="K123" i="2"/>
  <c r="J20" i="2"/>
  <c r="J56" i="2"/>
  <c r="J186" i="2"/>
  <c r="J100" i="2"/>
  <c r="J157" i="2"/>
  <c r="J19" i="2"/>
  <c r="J158" i="2"/>
  <c r="K158" i="2"/>
  <c r="J40" i="2"/>
  <c r="J203" i="2"/>
  <c r="J99" i="2"/>
  <c r="J98" i="2"/>
  <c r="J2" i="2"/>
  <c r="J152" i="2"/>
  <c r="K152" i="2"/>
  <c r="J150" i="2"/>
  <c r="J183" i="2"/>
  <c r="K183" i="2"/>
  <c r="J53" i="2"/>
  <c r="J6" i="2"/>
  <c r="J21" i="2"/>
  <c r="J50" i="2"/>
  <c r="J148" i="2"/>
  <c r="J58" i="2"/>
  <c r="J12" i="2"/>
  <c r="J74" i="2"/>
  <c r="J156" i="2"/>
  <c r="K156" i="2"/>
  <c r="J145" i="2"/>
  <c r="K145" i="2"/>
  <c r="J125" i="2"/>
  <c r="K125" i="2"/>
  <c r="J166" i="2"/>
  <c r="K166" i="2"/>
  <c r="J126" i="2"/>
  <c r="J181" i="2"/>
  <c r="J174" i="2"/>
  <c r="K17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E56270-7EE9-405D-9697-26DF39EAC3E3}" name="s20" type="6" refreshedVersion="7" background="1" saveData="1">
    <textPr codePage="437" sourceFile="C:\Users\amazo\Downloads\s20.csv" decimal="," thousands=" " comma="1">
      <textFields count="17">
        <textField/>
        <textField/>
        <textField/>
        <textField/>
        <textField/>
        <textField/>
        <textField/>
        <textField/>
        <textField/>
        <textField/>
        <textField/>
        <textField/>
        <textField/>
        <textField/>
        <textField/>
        <textField/>
        <textField/>
      </textFields>
    </textPr>
  </connection>
  <connection id="2" xr16:uid="{ACB64C7C-AE0B-48DB-A7D5-F34266610760}" name="s21" type="6" refreshedVersion="7" background="1" saveData="1">
    <textPr codePage="437" sourceFile="C:\Users\amazo\Downloads\s21.csv" decimal="," thousands=" " comma="1">
      <textFields count="17">
        <textField/>
        <textField/>
        <textField/>
        <textField/>
        <textField/>
        <textField/>
        <textField/>
        <textField/>
        <textField/>
        <textField/>
        <textField/>
        <textField/>
        <textField/>
        <textField/>
        <textField/>
        <textField/>
        <textField/>
      </textFields>
    </textPr>
  </connection>
  <connection id="3" xr16:uid="{10F38B58-BF1D-43C1-8A9C-5C83A5A0A168}" name="s22" type="6" refreshedVersion="7" background="1" saveData="1">
    <textPr sourceFile="C:\Users\amazo\Downloads\s22.csv" decimal="," thousands=" " comma="1">
      <textFields count="17">
        <textField/>
        <textField/>
        <textField/>
        <textField/>
        <textField/>
        <textField/>
        <textField/>
        <textField/>
        <textField/>
        <textField/>
        <textField/>
        <textField/>
        <textField/>
        <textField/>
        <textField/>
        <textField/>
        <textField/>
      </textFields>
    </textPr>
  </connection>
  <connection id="4" xr16:uid="{774B7CD6-F73B-4AC0-9BD5-987F679C8851}" name="s23" type="6" refreshedVersion="7" background="1" saveData="1">
    <textPr codePage="437" sourceFile="C:\Users\amazo\Downloads\s23.csv" decimal="," thousands=" " comma="1">
      <textFields count="17">
        <textField/>
        <textField/>
        <textField/>
        <textField/>
        <textField/>
        <textField/>
        <textField/>
        <textField/>
        <textField/>
        <textField/>
        <textField/>
        <textField/>
        <textField/>
        <textField/>
        <textField/>
        <textField/>
        <textField/>
      </textFields>
    </textPr>
  </connection>
  <connection id="5" xr16:uid="{A4C8ABE2-6FFA-4F1A-9351-768F6AFED575}" name="s24" type="6" refreshedVersion="7" background="1" saveData="1">
    <textPr codePage="437" sourceFile="C:\Users\amazo\Downloads\s24.csv" decimal="," thousands=" " comma="1">
      <textFields count="17">
        <textField/>
        <textField/>
        <textField/>
        <textField/>
        <textField/>
        <textField/>
        <textField/>
        <textField/>
        <textField/>
        <textField/>
        <textField/>
        <textField/>
        <textField/>
        <textField/>
        <textField/>
        <textField/>
        <textField/>
      </textFields>
    </textPr>
  </connection>
  <connection id="6" xr16:uid="{00000000-0015-0000-FFFF-FFFF00000000}" name="Sugarland_24" type="6" refreshedVersion="7" background="1" saveData="1">
    <textPr codePage="437" sourceFile="C:\Users\amazo\Desktop\Sugarland_24.csv" decimal="," thousands=" " comma="1">
      <textFields count="8">
        <textField/>
        <textField/>
        <textField/>
        <textField/>
        <textField/>
        <textField/>
        <textField/>
        <textField/>
      </textFields>
    </textPr>
  </connection>
  <connection id="7" xr16:uid="{2814FEDE-EF41-404B-A43C-137C1644B826}" name="Sugarland_251" type="6" refreshedVersion="7" background="1" saveData="1">
    <textPr codePage="437" sourceFile="C:\Users\amazo\Desktop\Sugarland_25.csv" decimal="," thousands=" " comma="1">
      <textFields count="6">
        <textField/>
        <textField/>
        <textField/>
        <textField/>
        <textField/>
        <textField/>
      </textFields>
    </textPr>
  </connection>
</connections>
</file>

<file path=xl/sharedStrings.xml><?xml version="1.0" encoding="utf-8"?>
<sst xmlns="http://schemas.openxmlformats.org/spreadsheetml/2006/main" count="11259" uniqueCount="2948">
  <si>
    <t>LotNumber,Title,Description,Quantity,StartBidEach,SellerCode,Source,Retail Price</t>
  </si>
  <si>
    <t>3m,Liberty Furniture 7-Drawer Dresser 244-BR31,Category Bedroom Collection Magnolia Manor Description 7 Drawer Dresser Item Features Full Extension Metal Side Drawer Guides (45mm) Felt-Lined Top Drawers Cedar-Lined Bottom Drawers Fully Stained Interior Drawers Canted Corners Softly Rounded Chamfered Pilasters Bead Molding Antique Pewter Knob and Bail Hardware.,1,5.00,ATXSUGAR,Wayfair,1265</t>
  </si>
  <si>
    <t>5m,Childcraft Mobile Cubby Unit -(W3),"Brand:Childcraft Childcraft Mobile Cubby Unit, 24 Tray Capacity, 50 x 16-3/4 x 42 Inches Cubical storage unit keeps items organized and easy to access in trays or baskets (sold separately) All-birch veneer panels ensure this cube storage unit offer an attractive, quality beautiful appearance in any environment Removable dividers offer flexible cubby storage options and easy cleaning Cubby unit is an aesthetic and functional addition in the classroom or home for keeping areas neat and clean GREENGUARD Gold Certification ensures safety approved and quality use in early childhood environments, schools, and healthcare facilities ItemNumber#2020866",1,,ATXSUGAR,,1509</t>
  </si>
  <si>
    <t>7m,Pallet of Polynesian Sunbleached Tiles 16 x16 Pall,Polynesia tiles lend rustic flair to both indoor and outdoor spaces. The look of beautifully braided rattan has been captured in two shades and sun bleached. Tile Type: Singular Tile Material: Ceramic Floor Use: Yes Square Feet Included: Yes Sold In Carton: Yes Water Performance Level: Water Resistant Submersible: Yes Outdoor Installation: Not Suitable for Outdoor Use Shade Variation: V1 Uniform Appearance Overall Shape: Square Tile Design: Patterned</t>
  </si>
  <si>
    <t xml:space="preserve"> Vintage Glazed: Yes Gloss Level: Satin Edge Type: Pressed Edge Style: Straight Edge Product Care: Soap or All-Purpose Floor Cleaner &amp; Water / No Harsh Chemicals Durability: Freeze Resistant</t>
  </si>
  <si>
    <t xml:space="preserve"> Heat Resistant Pieces per Carton: 4 Color: Natural/Tan Recommended Grout Joint Size: 1/8 inches PEI Rating: 4 - Heavy traffic.,1,,ATXSUGAR,"Wayfair, Wayfair",1510</t>
  </si>
  <si>
    <t>8m,"50T 6"" Stroke Porta Power Cylinder Hydraulic Jack",,1,5.00,ATXSUGAR,"Amazon Bstock, Amazon Bstock",200</t>
  </si>
  <si>
    <t>9m,Mynt Shiatsu Neck &amp; Back Massager Chair Pad - (D),"Full Featured Neck and Back Massager: This is a fully featured household massage pads for chairs that provides heating, back massage and neck massage. It has so many settings to choose from, for instance, three timer settings, a neck massager with slow and fast settings, a heat setting, a spot feature, upper back-upper back and lower back-lower back settings as well as a demo mode that briefly goes through all massage options, so you have basic idea of where it can massage for you. It is very easy to use with the attached remote which lets you control all settings straightforwardly and effectively FSA HSA Eligible Back and Neck Massager: It s made of high quality materials and has a very strong and thick back construction. It s simple and fast to be set up onto an office chair, a dining chair, an armchair, a bed and a couch. This massager is ideal for anyone dealing with back or neck tension, whether after a workout, a sedentary day at work, or just daily stress. It s a thoughtful gift for anyone in need of relaxation or neck and back relief, making it a versatile addition to any home or office setup Demo Mode - User Friendly Guide: If you hate a really confusing or very restrictive settings on simple things, this neck back massager with ""DEMO"" mode would be a nice try.",1,5.00,ATXSUGAR,"Amazon Bstock, Amazon Bstock",230</t>
  </si>
  <si>
    <t>10m,ZLine 28 in. 400 CFM Outdoor Hood Insert-(B),"The ZLINE 695-304-28 is a 28 in. Outdoor approved stainless steel range hood insert with a modern design and built-to-last quality, making it a great addition to any kitchen. This hood's high-performance, 400 CFM 4-speed motor will provide all the power you need to quietly and efficiently ventilate your stove while cooking. With its classic 304 outdoor grade stainless steel, this range hood contains rust, temperature, and corrosion-resistant properties to ensure a durable vent hood that will last for years to come. Enjoy modern features, including built-in LED lighting for an illuminated culinary experience and dishwasher-safe stainless steel baffle filters for easy clean-up. This range hood insert has a ducted vent with easy, simple installation.",1,,ATXSUGAR,,661</t>
  </si>
  <si>
    <t>12m,ZLine 28 in. 400 CFM Outdoor Hood Insert (B),"The ZLINE 695-304-28 is a 28 in. Outdoor approved stainless steel range hood insert with a modern design and built-to-last quality, making it a great addition to any kitchen. This hood's high-performance, 400 CFM 4-speed motor will provide all the power you need to quietly and efficiently ventilate your stove while cooking. With its classic 304 outdoor grade stainless steel, this range hood contains rust, temperature, and corrosion-resistant properties to ensure a durable vent hood that will last for years to come. Enjoy modern features, including built-in LED lighting for an illuminated culinary experience and dishwasher-safe stainless steel baffle filters for easy clean-up. This range hood insert has a ducted vent with easy, simple installation.",1,,ATXSUGAR,,661</t>
  </si>
  <si>
    <t>13m,LG SideKick 1.0Cu ft Pedestal Washer 3-Motion (B),"Meet your newest laundry ally LG's ingenious SideKick washer. Disguised as an everyday pedestal, this mini LG washer pairs with almost any LG front load unit so you can wash two loads at the same time. The main tub is the workhorse taking on your biggest, bulkiest family-size loads like towels and bedding, while the SideKick gives delicates, hand washables and workout wear the special care they deserve. With this LG pedestal washer on your side, you can divide and conquer your laundry and the rest of your day like never before 1.0 cu. Ft. D.O.E.",1,,ATXSUGAR,Best Buy,830</t>
  </si>
  <si>
    <t>14m,OEDRO FRP Hard Tri-fold Tonneau Cover 5ft Bed,"GREAT FITMENT &amp; ADDED FEATURES: Designed specifically for 2016 2017 2018 2019 2020 2021 2022 2023 Toyota Tacoma (Excl. Trail Edition) with Tacoma bed rail | 5ft / 60.5in bed, this tonneau cover offers a precise and secure installation</t>
  </si>
  <si>
    <t xml:space="preserve"> Includes additional features, a Nylon Strap to secure, Embedded Clamps for fit, Bulletproof Wrench Clamp for safety, and complimentary LED Light for visibility BETTER PROTECTION: Constructed with high-strength fiberglass panels, our fold hardtop provides exceptional protection</t>
  </si>
  <si>
    <t xml:space="preserve"> It withstands heavy loads and safeguards against rain, snow, and potential damage from sharp objects, ensuring the safety and security of your cargo EFFORTLESS INSTALLATION: Our hard frp tri-fold tonneau cover comes with detailed instructions, making the installation process quick and easy</t>
  </si>
  <si>
    <t xml:space="preserve"> There is no need for drilling, providing a easy setup experience (Note: If your vehicle has cargo racks, they need to be removed before installation) UNMATCHED DURABILITY: The robust fiberglass panels ensure long-lasting durability</t>
  </si>
  <si>
    <t xml:space="preserve"> the Hard Tri-fold tonneau cover can handle substantial weight, and the reinforced locking mechanism keeps the cover securely closed even during travel, providing peace of mind SAFE USAGE: Follow the provided instructions carefully to install the cover, ensuring all bolts are tightened before driving</t>
  </si>
  <si>
    <t xml:space="preserve"> Avoid driving with the hard tri-fold tonneau cover partially opened for a safe and secure driving experience.",1,5.00,ATXSUGAR,"Amazon Bstock, Amazon Bstock",480</t>
  </si>
  <si>
    <t>15m,""" Thicket Wildflowers "" by Timothy O' Toole Painti","This wall art piece, titled Thicket Wildflowers, brings a touch of nature into your home with its floral design. The landscape orientation showcases a vibrant meadow of wildflowers in an abstract style. Printed on a wrapped canvas, this painting is framed with a combination of solid and engineered wood, adding a polished finish. Ideal for adding a splash of color to your living room or bedroom, this artwork is ready to hang and enhance your space with its serene botanical theme.",1,,ATXSUGAR,,575</t>
  </si>
  <si>
    <t>17m,"GE Profile 30"" Electric Double Wall Oven - (MD)",Built on the belief that modern life needs modern solutions. GE Profile Appliances are designed to make daily life simpler by incorporating Smart Home technology and cutting-edge features in every appliance. GE Profile's sleek design and quality engineering will give your kitchen the most up-to-date look and the best innovative performance you've been looking for.. Amperage (A): 40 A. Appliance Category: Wall Oven. Appliance Series: GE Profile.,1,5.00,ATXSUGAR,"Best Buy, Best Buy, Best Buy, Best Buy",3898</t>
  </si>
  <si>
    <t>18m,Eshell 17.5' H Solid Wood Side Chair - (C),"The ultimate compliment to your dining ensemble, your dining chairs lend you the perfect perch to enjoy a meal while they reinforce the style set by your dinner table. Take this chair, for example: perfect for an understated country look, it's crafted from solid rubberwood with distressed details and a solid-hued finish. A double-cross back rounds this piece out with an additional touch of style that makes it perfect for a modern farmhouse. Number of Chairs Included: 2 Product Type: Side Chair Chair Frame Material: Solid Wood Leg Material: Solid Wood Purposeful Distressing Type: Wood Scoring &amp; Rub Through Natural Variation Type: Natural Wood Grain Color Variation Back Style: Cross back Swivel: No Wheels / Casters Included: No Durability: Fire Resistant Imported: Yes Weight Capacity: 250 Product Care: Wipe clean with a dry cloth</t>
  </si>
  <si>
    <t xml:space="preserve"> Do not use harsh chemicals or cleaners Wood Species: Rubberwood Leg Wood Species: Rubberwood California Proposition 65 Warning Required: Yes.",1,5.00,ATXSUGAR,Wayfair,310</t>
  </si>
  <si>
    <t>20m,27 in. Double Wall Oven w/Microwave SS-(w2),"At GE Appliances, we bring good things to life, by designing and building the world's best appliances. Our goal is to help people improve their lives at home by providing quality appliances that were made for real life. Whether it's enjoying the tradition of making meals from scratch or tackling a mountain of muddy jeans and soccer jerseys, GE Appliances are crafted to support any and every task in the home.. Amperage (A): 30 A. Appliance Series: Not Applicable. Appliance Type: Double Wall Electric Oven.",1,5.00,ATXSUGAR,Best Buy,2798</t>
  </si>
  <si>
    <t>22m,Hooker Beaumont Coffee Table &amp; End Table -(D),"When it comes to innovative, classy yet traditional style of home furnishing, the name of Hooker Furniture tops the list. Designing both casual and accent furniture styles has been the forte of Hooker Furnishings for long, and their modern finish yet old-worldly charm appeals to both traditional and contemporary home decor with impeccable class and originality. Established in 1925, Hooker Furniture has grown to become the nation's premium manufacturer and importer of high-quality furniture that appeals to versatile themes and distinguished furnishing styles with equal grace. The brand's motto of responsibility, integrity and honesty is clearly evident in its pristine design and intricate craftsmanship. Each and every component of Hooker Furniture undergoes strict quality check processes to deliver a final product that is unmatched in value and design. Offering exceptional value for money and delivering quality and excellence in every collection sets them apart in the market.",1,5.00,ATXSUGAR,"Wayfair, Wayfair",4787</t>
  </si>
  <si>
    <t>23m,30 in. Electric Wall Oven with Convection-(W3),"Crisp and brown with less oil and less hassle. KitchenAid Single Wall Ovens with Air Fry Mode include a dishwasher-safe air fry basket with plenty of capacity for large batches. A built-in thermometer takes the guesswork out of cooking meat, fish, poultry, casseroles and more to the perfect degree of doneness every time. When compared to deep frying.. Amperage (A): 20 A. Appliance Category: Wall Oven.",1,5.00,ATXSUGAR,,2298</t>
  </si>
  <si>
    <t>24m,30 in. Smart Convection Wall Oven-(3W),"At GE Appliances, we bring good things to life, by designing and building the world's best appliances. Our goal is to help people improve their lives at home by providing quality appliances that were made for real life. Whether it's enjoying the tradition of making meals from scratch or tackling a mountain of muddy jeans and soccer jerseys, GE Appliances are crafted to support any and every task in the home.. Amperage (A): 20 A. Appliance Category: Wall Oven. Appliance Series: Not Applicable.",1,5.00,ATXSUGAR,Best Buy,2649</t>
  </si>
  <si>
    <t>25m,"GE Smart Appliances Smart Built-in 27"" Self-Cleani","At GE Appliances, we bring good things to life, by designing and building the world's best appliances. Our goal is to help people improve their lives at home by providing quality appliances that were made for real life. Whether it's enjoying the tradition of making meals from scratch or tackling a mountain of muddy jeans and soccer jerseys, GE Appliances is crafted to support any and every task in the home. Product Type: Single Oven Fuel Type: Electric Total Capacity: 4.3 Cleaning Type: Self Clean Broiler: Yes Sabbath Mode: Yes Interior Light Included: Yes Safety Lock: Yes Control Lock Option: Yes Timer: Yes Handle(s) Included: Yes Heatproof Handles: Yes Hidden Bake Element: Yes Oven Settings: Delay Start</t>
  </si>
  <si>
    <t xml:space="preserve"> Keep Warm</t>
  </si>
  <si>
    <t xml:space="preserve"> Proofing Mode</t>
  </si>
  <si>
    <t xml:space="preserve"> Broil Control Type: Electronic Trim Kit Included: Yes Non-Stick: Yes Cooling Fan System: Yes Digital Display: Yes Smart Enabled: Yes Connection Compatibility: WiFi Drawers Included: Yes Door Orientation: Front Removable Door: Yes Number of Racks: 2 Plug-In: Yes Bake Element Wattage: 2,600 Amperage: 20 Fire Resistant: Yes Hardware Finish: Stainless Steel Material: Glass</t>
  </si>
  <si>
    <t xml:space="preserve"> Metal Voltage: 208 Power Cord Included: Yes.",1,5.00,ATXSUGAR,"Wayfair, Amazon Bstock, Wayfair, Amazon Bstock",2199</t>
  </si>
  <si>
    <t>27m,Ashley Furniture Fortman White Dresser-(W3),Customer return. Top has been repainted. Scratches and dents throughout the unit. Made with hardwood solids and MDF substrate White painted finish Tapered feet Framed drawer fronts 7 smooth-gliding drawers with dovetail construction and ball-bearing side glides Round metal knobs with satin nickel-tone finish.,1,,ATXSUGAR,,1128</t>
  </si>
  <si>
    <t>28m,KitchenAid - 30 inches Wall Range Hood-(MD),"This KitchenAid 30-inch Wall Range Hood combines elegance and functionality, designed to elevate any kitchen space. Featuring a sleek, modern design with a stainless steel finish, it effectively removes smoke, steam, and odors while you cook. The powerful ventilation system ensures optimal air circulation with multiple speed settings for customized performance. Easy-to-use controls and integrated lighting enhance visibility for convenient cooking. This range hood is a perfect blend of style and practicality, making it an essential addition to your culinary experience.",1,,ATXSUGAR,,1399</t>
  </si>
  <si>
    <t>29m,HERCULES Series Finished School House Back Wooden,"Offer a classic, elegant look when furnishing your establishment with this richly hued dining chair. This chair will make an attractive addition to your restaurant, lounge, bar or other high traffic venues. This chair is easy to clean, which is an important aspect when it comes to a business. This chair was designed to withstand the daily rigors in the hospitality industry, but will also provide a warm and inviting quality to your home. The durable frame is stabilized with mortise and tenon construction. The floor glides help protect your floors and ensure smooth gliding.",1,5.00,ATXSUGAR,"Wayfair, Wayfair",420</t>
  </si>
  <si>
    <t>30m,ZLine 46 in. 700 CFM Range Hood Insert SS-(A),"The ZLINE 721-304-46 is a 46 in. Outdoor approved stainless steel range hood insert with a modern design and built-to-last quality, making it a great addition to any kitchen. This hood's high-performance, 700 CFM 4-speed motor will provide all the power you need to quietly and efficiently ventilate your stove while cooking. With its classic 304 outdoor grade stainless steel, this range hood contains rust, temperature, and corrosion-resistant properties to ensure a durable vent hood that will last for years to come. Enjoy modern features, including built-in LED lighting for an illuminated culinary experience and dishwasher-safe stainless steel baffle filters for easy clean-up. This range hood insert has a ducted vent with easy, simple installation.",1,,ATXSUGAR,,990</t>
  </si>
  <si>
    <t>32m,Insignia 3.0 Cu. Ft Mini Fridge NS-CF30SS9 - (W3),3.0 cu. Ft. Storage capacity Provides optimal space to store your items. Mechanical thermostat controls Allows you to quickly and easily set the internal temperature between 32  and 50 . 2 shelves Adjustable shelf and half-depth shelf will ensure you have enough storage space. Freestanding design Allows flexible placement.,1,5.00,ATXSUGAR,"Best Buy, Best Buy",423</t>
  </si>
  <si>
    <t>33m,7.0 cu.ft. vented Top Load Dryer White-(MD),"Choose how you handle each hamper with the Whirlpool Electric Dryer with AutoSensing. This dryer has a built in sensor that measures temperature levels to help prevent over drying and automatically stop the cycle when the load done. Wrinkle Assist option minimizes wrinkles with continued tumbling after the cycle ends, and Quick Dry allows you to complete small loads in less time.. Amperage (A): 30 A. Appliance Category: Dryer. Appliance Series: Not Applicable.",1,5.00,ATXSUGAR,"Best Buy, Best Buy",699</t>
  </si>
  <si>
    <t>12,Hamilton Hills 20x30 Gold Framed Mirror,"Elevate your decor to new heights with the elegant arch design of our opulent piece, exuding timeless sophistication and capturing the essence of classic architecture. Whether adorning your living room, bedroom, or entryway, this exquisite design adds a touch of vintage charm, transforming any space into a luxurious haven. Embrace the beauty of bygone eras while infusing your home with a sense of grandeur and refinement. With its graceful curves and intricate detailing, our elegant arch design creates a focal point that commands attention and admiration. Indulge in the luxury of vintage-inspired decor and create a space that resonates with timeless elegance and allure. Highlights: PREMIUM GOLD FRAME - Embrace the allure of the meticulously crafted gold frame, exuding a sense of grandeur and refinement that enhances your bathroom, bedroom, or living room aesthetics.",1,5.00,ATXSUGAR,"Amazon Bstock, Amazon Bstock",292</t>
  </si>
  <si>
    <t>13,"Vero 3-Setting Shower Handle Diverter Trim Kit, Di","Enhance your private sanctuary with the Delta Vero 3 Setting Diverter Valve Trim. This faucet trim has clean lines and a design inspired by a ribbon. It keeps water at a constant temperature and allows uniform flow ensuring a comfortable shower experience for you and your family. Made using a premium quality material, this valve trim stays sturdy and lasts for years to come. It is available in a variety of finishes to choose from. This valve trim can be easily mounted on your bathroom wall.",1,5.00,ATXSUGAR,,519</t>
  </si>
  <si>
    <t>14,BougeRV 2025 Hitch Ski/Snowboard Rack,"Material &amp; Accessories Upgrade: The base is made of high-quality steel, which is stable, safe, and has strong support. Other parts are upgraded to aluminum alloy material, which is rust-proof and lighter, making installation easier. Add 4 webbing buckles for double securing or protecting ski boards to prevent them from colliding with each other. Protecting Your Boards: BougeRV uses rubber strips on the upper rack to securely clamp the boards, ensuring they remain firmly in place during travel. The bottom rack supports the ski bindings on the boards and is cushioned with soft, thick padding to prevent scratches. Anti-Rattle Mechanism: This ski rack is equipped with an integrated hitch pin and connects the rack with the vehicle's 2' hitch receiver to reduce wobble during the trip.",1,5.00,ATXSUGAR,"Amazon Bstock, Amazon Bstock",290</t>
  </si>
  <si>
    <t>15,MR Portable Lacrosse Goal with Ball Return,"UNIQUE BUILT-IN BALL RETURNER - Our practice net with unique ball return system and is a one-of-a-kind in-goal ball return system that makes ball retrieval a breeze. No more going into the goal to get the ball yourself. The ball rolls back out, so you can take more shots in less time. PREMIUN MATERIAL - For better strength and durability, our lacrosse goal features long lasting 5ply 1.5in knotless polyester net which can bear a stronger hitting impact. Engineered using fiberglass poles make the structure even more durable and longer service life. EASY SET UP &amp; TAKE DOWN  Designed by innovative fold-up system, which offer users an easy assemble experience, build the net system in just minutes.",1,5.00,ATXSUGAR,"Amazon Bstock, Amazon Bstock",110</t>
  </si>
  <si>
    <t>16,InSinkErator Badger 5XP 3/4 HP Disposal Cord,"Our Badger 5XP garbage disposal offers a heavy duty motor and space-saving compact design. The InSinkErator Badger Series garbage disposals are a reliable and functional choice when affordability is the prime concern. Choose from three Badger Series garbage disposal models, each with a space-saving compact design.",1,5.00,ATXSUGAR,Best Buy,180</t>
  </si>
  <si>
    <t>44m,Samsung 27 in Laundry Pedestal with Storage Drawer,"The 14.2 in. Samsung laundry pedestal with Quick Install and a storage drawer provides easy access to your laundry and can hold up to 26 lbs. The Quick Install saves time by securing the washer/dryer to the pedestal in less than 10 minutes. At 14.2 in. Tall, it provides easy, ergonomic access to your washer/dryer and in addition to extra storage. It includes a convenient divider to help organize the space.",1,5.00,ATXSUGAR,Best Buy,278</t>
  </si>
  <si>
    <t>52m,Samsung Bespoke Laundry Pedestal - C,"Beautiful, flat panel design creates a seamless, integrated look with any Bespoke laundry set. 27-in Bespoke front load washer pedestal for 89/87/6700 series laundry in black stainless (89/87/6700). Elevates your washer and dryer by more than a foot, for easier loading and unloading   no more bending. Providing an easily accessible storage drawer for your laundry cleaning supplies. Appliance Color/Finish: Black. Manufacturer Color/Finish: Brushed Black.",1,5.00,ATXSUGAR,Best Buy,279</t>
  </si>
  <si>
    <t>57m,Samsung Bespoke Laundry Pedestal - C,"Beautiful, flat panel design creates a seamless, integrated look with any Bespoke laundry set. 27-in Bespoke front load washer pedestal for 89/87/6700 series laundry in black stainless (89/87/6700). Elevates your washer and dryer by more than a foot, for easier loading and unloading   no more bending. Providing an easily accessible storage drawer for your laundry cleaning supplies. Appliance Color/Finish: Black. Manufacturer Color/Finish: Brushed Black.",1,5.00,ATXSUGAR,Best Buy,279</t>
  </si>
  <si>
    <t>62m,"LG 27"" W 1 cu ft Pedestal Washer Black - B","Meet your newest laundry ally LG's ingenious SideKick washer. Disguised as an everyday pedestal, this 27 in. W mini LG washer pairs with almost any LG front load unit so you can wash two loads at the same time. The main tub is the workhorse, taking on your biggest, bulkiest family-size loads like towels and bedding, while the SideKick gives delicates, hand washables and workout wear the special care they deserve. With this LG pedestal washer on your side, you can divide and conquer your laundry and the rest of your day like never before. Compatible with select 27  Front Load Washers.",1,5.00,ATXSUGAR,Best Buy,398</t>
  </si>
  <si>
    <t>67m,LG 6.4 cu. ft. Smart Combi Wall Oven - W3,"When time isn't on your side, the upper convection microwave oven delivers fast, even cooking with oven-quality results, plus an air fry setting for crispy and crunchy results. For larger family meals, the versatile lower oven kicks things up a notch. Fan convection offers fast preheating and even cooking, while air fry lets you make enough crunchy favorites like wings, fries, and more to feed a crowd. Enjoy smart features like scan-to-cook technology that lets you prep ready-made meals with just a scan of the barcode via the LG ThinQ app. Add in sleek, built-in style and you'll see why it's the perfect combination for all your cooking needs.. Amperage (A): 40 A.",1,5.00,ATXSUGAR,Best Buy,2599</t>
  </si>
  <si>
    <t>72m,KitchenAid 5 cu ft Wall Oven &amp; Microwave - AS/IS P,"Get the crisp you crave, right from your oven. KitchenAid Single Wall Ovens with Air Fry Mode circulate hot air to cook with less oil.* Even-Heat True Convection for consistent baking and roasting. Temperature Probe provides internal temperature updates on oven screen or your mobile device without opening the door. SatinGlide Roll-Out Extension Rack makes it easy to cook with large or heavy bakeware. PrintShield Finish coating resists fingerprints and smudges. *When compared to deep frying.",1,5.00,ATXSUGAR,Best Buy,3099</t>
  </si>
  <si>
    <t>77m,"Samsung 30 in. Electric Wall Oven, Wi-Fi - W3","The Samsung Wall Oven is stunningly bold with a timeless design for the perfect blend of form and function. It allows you to bake and roast with even and consistent cooking results. The 5.1 cu. Ft. Of capacity accommodates a roast, multiple casserole dishes, or two full racks of cookies. Digital Touch Controls offer an integrated and premium design that is easy to clean.",1,5.00,ATXSUGAR,Best Buy,1298</t>
  </si>
  <si>
    <t>87m,Insignia 350 Sq. Ft. Portable A/C - White - W3,"Cool up to 350 sq. Ft. With this Insignia portable air conditioner. The 8000 BTU of cooling power helps keep your room at a comfortable temperature, while the three modes provide flexible functionality. This white Insignia portable air conditioner has a built-in sleep mode for energy savings, and the included remote control ensures easy operation. Up to 350 sq.",1,5.00,ATXSUGAR,Best Buy,370</t>
  </si>
  <si>
    <t>92m,Thermador Masterpiece 36 in. Convertible Range Hoo,"Say goodbye to lingering cooking odors and smoke with luxury kitchen ventilation. Choose from a variety of styles, including range hoods, downdraft, and beyond, to remove smoke, grease, and heat quietly and efficiently. Unbeatable power meets sophisticated design in our Masterpiece Series Collections.. Cooktop Hood Sync enables hood activation once Freedom cooktop is on. Automatic mode detects temperatures to adjust fan speed automatically. Opt to receive mobile notifications as a reminder to clean filters.",1,5.00,ATXSUGAR,Best Buy,2199</t>
  </si>
  <si>
    <t>93m,28 in. Laundry Pedestal in Blue with Pedestal,"At GE Appliances, we bring good things to life, by designing and building the world's best appliances. Our goal is to help people improve their lives at home by providing quality appliances that were made for real life. Whether it's enjoying the tradition of making meals from scratch or tackling a mountain of muddy jeans and soccer jerseys, GE Appliances are crafted to support any and every task in the home. 16 in. Pedestal raises the dryer and washer to a comfortable working level. Storage drawer provides storage for laundry additives or accessories.",1,5.00,ATXSUGAR,Best Buy,299</t>
  </si>
  <si>
    <t>97m,Urevo Spacewalk 1 Lite Treadmill,"FEATURES &amp; DESIGN: The walking treadmill provides a 15.7"" * 41.3"" large track for free movement Equipped with 5 layers of anti-slip belt, 8 silicone shock absorbers, and 2 soft rubber pads Provides a comfortable exercise experience and effectively reduces joint impact to protect your knees Equipped with a powerful 2.25HP motor with a maximum load of 265 pounds Stable and high weight capacity Very quiet operation allows you to exercise anywhere without disturbance Lightweight with two front wheels for easy movement Installation-free design, ready to use right out of the box Compact size (50"" * 20.4"" * 4.9"") allows for placement under the bed or sofa to save space Speed range from 0.6 to 4 mph, adjustable according to your needs Suitable for both running and use under a desk Remote control with one-key prompt sound elimination function for easy adjustments Magnetic attachment on the back of the remote control prevents loss when not in use.",1,5.00,ATXSUGAR,,250</t>
  </si>
  <si>
    <t>100m,GE 30 in. Gas Cooktop Stainless Steel 5 Burners -,"At GE Appliances, we bring good things to life, by designing and building the world's best appliances. Our goal is to help people improve their lives at home by providing quality appliances that were made for real life. Whether it's enjoying the tradition of making meals from scratch or tackling a mountain of muddy jeans and soccer jerseys, GE Appliances are crafted to support any and every task in the home.. Appliance Category: Cooktop. Appliance Series: Not Applicable. Appliance Type: Gas Cooktop.",1,5.00,ATXSUGAR,Best Buy,798</t>
  </si>
  <si>
    <t>107m,"Samsung WE402NV Laundry Pedestal, Black - C","Compatible with Samsung 27-in wide Front Load washers and dryers. Elevates your washer and dryer by more than a foot, for easier loading. Provides an easily accessible storage drawer for your laundry cleaning supplies.",1,5.00,ATXSUGAR,Best Buy,156</t>
  </si>
  <si>
    <t>117m,Kitchenaid 36 in. Gas Cooktop   5 Burners - W3,"Whether you need to rapidly boil water for pasta, sear a steak, or simmer a delicate sauce, you'll appreciate the versatility of this KitchenAid 36 in., five-burner gas cooktop. The performance is matched by a design that includes robust, metal control knobs and continuous cast-iron grates that give you the ability to move pots from one burner to another. And you can enjoy all these features even more by knowing this cooktop.. Appliance Category: Cooktop. Appliance Series: Not Applicable. Appliance Type: Gas Cooktop.",1,5.00,ATXSUGAR,Best Buy,1599</t>
  </si>
  <si>
    <t>122m,"$6700 Retail - JennAir JOEDC730RL 30"" Electric Ove","JennAir JOEDC730RL Rise 30 Inch Wide Electric Double Oven with V2 Vertical Dual-Fan True Convection and Advanced Temperature Precision This Smart Oven's V2  Vertical Dual-Fan True Convection with Advanced Temperature Precision system precisely directs heat to caress each ingredient transforming prepped food into date-night-worthy dishes. With curated recipes and full-color doneness images on the Culinary Center, the oven delivers a chef-inspired experience that's quieter than the leading luxury wall oven brand. Features: - Easy to use controls - Oven includes air fry - 10 cu. Ft. Oven capacity fits the needs of today's busy homes - 2,800 watt hidden bake element - 3,200 watt convection element - 4,000 watt 8 pass reflective broil element - 7.8 inch full color ultra wide LCD display with Culinary Center - Control lock - Flush install kit included - Sabbath mode - Closed door infrared broiling - Smooth open and close door - Smooth glide flat-tine racks - Speed cook setting Product Technologies: - V2  Vertical Dual-Fan True Convection: Weaves steady heat around the racks to provide even heat distribution for improved browning and crisping - Advanced Temperature Precision System: Precisely directs heat to caress each ingredient, transforming prepped food into date-night-worthy dishes Specifications: - Convection: Yes - Self Cleaning: No - Double Wall Ovens Stainless Steel.",1,5.00,ATXSUGAR,Best Buy,6705</t>
  </si>
  <si>
    <t>127m,Whirlpool 30 in. Under-Cab Hood w/ LED (Stainless),"Choose the under cabinet range hood that fits your kitchen and your lifestyle. This vent hood features full-width grease filters to help keep the kitchen clean. Plus, this range hood with LED lights makes it easy to see what you're cooking. And with a 2-speed, 270 CFM motor class, you'll have the right amount of ventilation for every meal.. Amperage (A): 0.9 A. Appliance Type: Range Hood.",1,5.00,ATXSUGAR,Best Buy,228</t>
  </si>
  <si>
    <t>128m,"Jonie 91"" Genuine Leather Sleeper Sofa","Welcome comfort paired with classic design. Our sleeper sofa updates your living space with a vintage-inspired vibe. And it transforms into a queen bed, complete with a memory-foam mattress, when you have guests. The wooden frame is wrapped in genuine leather in a hue of your choice. Foam and feather padding over sinuous springs provides ample support. Joss &amp; Main Leather Type: Revelation Steel Top Grain Genuine Leather.",1,5.00,ATXSUGAR,Wayfair,4799</t>
  </si>
  <si>
    <t>129m,Remy 90' Upholstered Sofa,"This sofa blends easy sophistication with everyday versatility. Built with a sturdy wood frame and sinuous spring seat, its topped with down-blend cushions for a relaxed, tailored look. Available in a wide variety of upholstery options, its finished with two matching toss pillows and removable covers for simple upkeep. Joss &amp; Main Body Fabric: Lena Off White Performance Linen Blend.",1,5.00,ATXSUGAR,,2299</t>
  </si>
  <si>
    <t>130m,27-in Laundry Pedestal with Storage Drawer - W3,"The Electrolux Laundry Pedestal with Storage Drawer helps you organize the entire laundry room. They are perfect for storing laundry supplies, extra towels, cleaning supplies and more. By including a Laundry Pedestal, your Electrolux washer or dryer can be elevated for convenient height. Fits Electrolux front load washers and dryers including model #s containing 7337, 7437, 7537, 7637.. Appliance Category: Appliance Parts. Appliance Series: Not Applicable.",1,5.00,ATXSUGAR,Best Buy,268</t>
  </si>
  <si>
    <t>137m,LG 27 in. Laundry Pedestal with Storage Drawer - w,"What's better than an LG front-load washer and dryer pair. An LG front-load washer and dryer pair on matching pedestals. These sturdy bases elevate your appliances off of the floor by more than a foot for more comfortable loading and unloading. And, with plenty of storage space for everything from detergent bottles to dryer sheets, they'll even help you rise above laundry room clutter.. Appliance Category: Appliance Parts. Appliance Series: Not Applicable.",1,5.00,ATXSUGAR,Best Buy,249</t>
  </si>
  <si>
    <t>142m,GE 1.6-cu ft Over-the-Range Microwave (White),"1.6-cu ft capacity and 13.5-in turntable ensure even cooking and provide room to heat up large family meals. 1000-watts provides the power to heat everything from hot chocolate to casseroles. White exterior finish complements a variety of kitchen styles. 6 convenience cooking controls make meal prep less stressful for you and your family. 2 vent speeds and 300-CFM quietly remove excess smoke, so you can cook in a clear, fresh environment. Child safety lock keeps the microwave from being accidentally started.",1,5.00,ATXSUGAR,Best Buy,269</t>
  </si>
  <si>
    <t>147m,"KitchenAid 30 in. Gas Cooktop, 5 Burners with Dual","This 30 in. KitchenAid gas cooktop gives you exceptional power with five individual burners, including a powerful 17000 BTU dual-ring burner. For added versatility, the Even-Heat 6000 BTU simmer burner creates ideal conditions to melt without scorching. The CookShield finish helps protect the surface against the discoloration that may occur due to high-temperature cooking. Cooktop's 5 burners include: a 17000-BTU professional dual ring burner, two 10000-btu power burners, a 7000-BTU burner and a 6000-BTU EvenHeat simmer burner for the ultimate in cooking flexibility. ADA compliant controls front controls feature heavy-duty metal knobs for a premium look and feel that reflect the quality built into the cooktop.",1,5.00,ATXSUGAR,Best Buy,1148</t>
  </si>
  <si>
    <t>152m,Urevo Spacewalk E4W Treadmill &amp; Pad - Brown - w4,,1,5.00,ATXSUGAR,Best Buy,200</t>
  </si>
  <si>
    <t>153m,"Samsung BESPOKE 36"" Wall Mount Range Hood - Grey -","Our stunning wall mount hood delivers powerful ventilation, with minimal noise. Conveniently sync the hood with your cooktop via the SmartThings app to make cooking in the kitchen a little easier. A Bespoke panel on the front of the hood enables you to match, complement, or contrast other appliances in your kitchen - the choice is yours.. Amperage (A): 15 A. Appliance Series: Samsung BESPOKE. Appliance Type: Range Hood.",1,5.00,ATXSUGAR,Best Buy,798</t>
  </si>
  <si>
    <t>157m,28 in. Laundry Pedestal in Blue with Pedestal -(C),"At GE Appliances, we bring good things to life, by designing and building the world's best appliances. Our goal is to help people improve their lives at home by providing quality appliances that were made for real life. Whether it's enjoying the tradition of making meals from scratch or tackling a mountain of muddy jeans and soccer jerseys, GE Appliances are crafted to support any and every task in the home. 16 in. Pedestal raises the dryer and washer to a comfortable working level. Storage drawer provides storage for laundry additives or accessories.",1,5.00,ATXSUGAR,Best Buy,299</t>
  </si>
  <si>
    <t>162m,Urevo Spacewalk 1 Lite Treadmill - D,"FEATURES &amp; DESIGN: The walking treadmill provides a 15.7"" * 41.3"" large track for free movement Equipped with 5 layers of anti-slip belt, 8 silicone shock absorbers, and 2 soft rubber pads Provides a comfortable exercise experience and effectively reduces joint impact to protect your knees Equipped with a powerful 2.25HP motor with a maximum load of 265 pounds Stable and high weight capacity Very quiet operation allows you to exercise anywhere without disturbance Lightweight with two front wheels for easy movement Installation-free design, ready to use right out of the box Compact size (50"" * 20.4"" * 4.9"") allows for placement under the bed or sofa to save space Speed range from 0.6 to 4 mph, adjustable according to your needs Suitable for both running and use under a desk Remote control with one-key prompt sound elimination function for easy adjustments Magnetic attachment on the back of the remote control prevents loss when not in use.",1,5.00,ATXSUGAR,Best Buy,250</t>
  </si>
  <si>
    <t>19m,Kitchenaide 5 cu. ft. Electric Wall Oven &amp; Microwa,"Stay one step ahead in the kitchen with assistive cooking methods that provide a groundbreaking smart experience and new levels of precision that help bring out the boldness in every flavor. Assisted Cook Cycles recommend the ideal cooking cycle and temperature for common foods like cake, salmon filets, roasted vegetables, and more. Even-Heat True Convection for consistent baking and roasting. Temperature Probe provides internal temperature updates on oven screen without opening the door.Backlit knobs twist to navigate cook cycles and customize home screen.. Amperage (A): 40 A. Appliance Series: Not Applicable.",1,5.00,ATXSUGAR,Best Buy,4999</t>
  </si>
  <si>
    <t>34m,GE Profile 30 in. Smart Double Wall Oven - W3 *,Built on the belief that modern life needs modern solutions. GE Profile Appliances are designed to make daily life simpler by incorporating Smart Home technology and cutting-edge features in every appliance. GE Profile's sleek design and quality engineering will give your kitchen the most up-to-date look and the best innovative performance you've been looking for.. Amperage (A): 40. Appliance Category: Wall Oven. Appliance Series: GE Profile.,1,5.00,ATXSUGAR,Amazon Bstock,3298</t>
  </si>
  <si>
    <t>35m,30 in. Electric Downdraft Cooktop Black,"This 30 in. Electric cooktop features Downdraft, an integrated ventilation system that doesn't require a separate hood. A 10 in. EVEN-HEAT Ultra element provides versatility for both high and low-temperature cooking and has multiple simmer settings. And with a 3-speed fan with 300 CFM exhaust rating, the venting can keep up with your culinary feats.. Amperage (A): 40 A.",1,5.00,ATXSUGAR,Best Buy,2399</t>
  </si>
  <si>
    <t>177m,Samsung 30-in Self-cleaning Microwave Oven Combo -,"The Samsung Combination Microwave Wall Oven allows you to bake and roast even and consistent cooking results. The 5.1 cubic foot of capacity accomodates a roast, multiple casserole dishes, or two full racks of cookies. Prep large meals quickly with a large 1.9 cubic foot microwave that has sensor cooking and ceramic enamel interior that is durable and easy to clean. Digital Touch Controls offer an integrated and premium design that is easy to clean, while Wi-Fi capabilities allow you to monitor and control the wall oven from anywhere. Scratches and dents throughout the finish. Unable to test due to needing a hardwire connection.",1,,ATXSUGAR,,2499</t>
  </si>
  <si>
    <t>182m,"KitchenAid 30"" Built-In Double Wall Oven- Black St","Get the crisp you crave, right from your oven. This 30"" Combination Microwave Wall Oven with Air Fry Mode circulates hot air around the included basket to cook with less oil. Microwave convection cooking turns the microwave into a second oven for small batch bakes like cookies, madeleines and cakes. Item is in black stainless steel.",1,,ATXSUGAR,Best Buy,4230</t>
  </si>
  <si>
    <t>183m,"Frigidaire Gallery 27"" Electric Built-In Oven - W3","The Frigidaire Gallery 27"" Single Wall Oven with Total Convection, features our most powerful and advanced convection system. Enables cooking modes like No Preheat, Air Fry, Slow Cook, Steam Bake, Steam Roast, Air Sous Vide, Convection Roast, Convection Bake, Bread Proof and more. Also includes a convenient temperature probe, a premium touch screen digital control panel and our fingerprint resistant, Smudge-Proof Stainless Steel finish.. Amperage (A): 40 A. Appliance Category: Wall Oven. Appliance Series: Frigidaire Gallery.",1,5.00,ATXSUGAR,Best Buy,1598</t>
  </si>
  <si>
    <t>192m,Zephr Siena Pro 48 in Wall Mount Range Hood (W3),"With its classic, professional style design Siena Pro manages to encompass a wealth of features perfect for the culinary pro or any aspiring home chef. Equipped with a 1200 CFM blower. There's also Zephyr's ICON Touch controls, the new BriteStrip LED lighting, and our exclusive ACT technology, clean, efficient power is just a touch away.. 10 in. Round vertical ducting. Powerful 1200 CFM blower.",1,,ATXSUGAR,"Best Buy, Best Buy",1749</t>
  </si>
  <si>
    <t>193m,GE 1.7 cu. ft. Over-the-Range Microwave (Black Sla,One look at the GE Cafe kitchen and you ll feel as if you ve been transported behind the scenes of your favorite casual dining experience. Each appliance has been meticulously designed to create an atmosphere where people like to gather and love to cook. Tough stainless steel and powerful elements complement their robust appearance. Convection rack - Achieve golden-brown results with a specially designed rack that allows air to circulate around foods for even heat distribution during convection cooking. Steam cook button - Perfectly prepare your steamed favorites. Sensor cooking controls - Automatically adjusts time and power for delicious cooking results.,1,,ATXSUGAR,Best Buy,1049</t>
  </si>
  <si>
    <t>197m,Bosch Recirc Module for Downdraft Systems (W3),"BOSCH Recirculation Module for Bosch 30"" and 36"" Downdraft Systems: Compatible with Bosch 30"" and 36"" downdraft systems</t>
  </si>
  <si>
    <t xml:space="preserve"> fits 6"" inbound ducts</t>
  </si>
  <si>
    <t xml:space="preserve"> ideal for wall and island applications</t>
  </si>
  <si>
    <t xml:space="preserve"> steel construction.",1,,ATXSUGAR,"Best Buy, Best Buy, Best Buy, Best Buy",507</t>
  </si>
  <si>
    <t>198m,"Windster Hood 36"" Convertible Hood - Steel (W3)","With a turbine impeller design and 3 fan speeds, this Windster Hood WS-5836SS range hood efficiently removes smoke and cooking odors from your kitchen to keep the air smelling clean and fresh. Dishwasher-safe filters enable simple cleaning.",1,,ATXSUGAR,"Best Buy, Best Buy, Best Buy, Best Buy",407</t>
  </si>
  <si>
    <t>202m,GE 30 in. Smart Convection Wall Oven - (W3),"At GE Appliances, we bring good things to life, by designing and building the world's best appliances. Our goal is to help people improve their lives at home by providing quality appliances that were made for real life. Whether it's enjoying the tradition of making meals from scratch or tackling a mountain of muddy jeans and soccer jerseys, GE Appliances are crafted to support any and every task in the home.. Amperage (A): 20 A. Appliance Category: Wall Oven. Appliance Series: Not Applicable.",1,5.00,ATXSUGAR,Best Buy,1398</t>
  </si>
  <si>
    <t>207m,"GE 30 in. Smart Wall Oven, Self-Cleaning","At GE Appliances, we bring good things to life, by designing and building the world's best appliances. Our goal is to help people improve their lives at home by providing quality appliances that were made for real life. Whether it's enjoying the tradition of making meals from scratch or tackling a mountain of muddy jeans and soccer jerseys, GE Appliances are crafted to support any and every task in the home.. Amperage (A): 20 A. Appliance Category: Wall Oven. Appliance Series: Not Applicable.",1,5.00,ATXSUGAR,Best Buy,1098</t>
  </si>
  <si>
    <t>212m,Kitchenaid 30 in. Electric Wall Oven with Air Fry,"Get the crisp you crave, right from your oven. KitchenAid Single Wall Ovens with Air Fry Mode circulate hot air around the included basket to cook with less oil.* An integrated thermometer takes the guesswork out of roasting meat just the way you like.*When compared to deep frying.. Amperage (A): 20 A. Appliance Category: Wall Oven. Appliance Series: Not Applicable. Appliance Type: Single Wall Electric Oven.",1,5.00,ATXSUGAR,Best Buy,3299</t>
  </si>
  <si>
    <t>213m,Thermador Professional Series 36 in. Gas Cooktop,"Thermador high-end drop-in range tops feature the unparalleled performance of the Star Burner with ExtraLow technology. Giving you the control and performance you need to master every meal. Choose from multiple configurations including 30, 36, and 48 widths, all beautifully wrapped in stainless steel.. Exclusive, patented Star Burner most even heating, unsurpassed flame coverage. QuickClean Base designed for easy surface cleaning. Precision simmering capabilities as low as 100F (375 BTU) with 2 ExtraLow Simmer burners.",1,5.00,ATXSUGAR,Best Buy,4399</t>
  </si>
  <si>
    <t>20,Stainless Steel Post Base Bracket 8x8,"FOR 8x8 WOOD POST The 8x8 post base is suitable for wooden posts with the standard size of 8"" x 8"" (actual 7.48"" x 7.48"" on market), the post base can be used on existing concrete and wooden floor. The slot on the bottom of the post makes it flexible, it can be adjusted according to the actual size of the wooden post.   HIGH QUALITY STAINLESS STEEL The adjustable post base is made of 2 mm stainless steel. It is plated with fiber varnish on its surface which can keep the post from rusting. 1"" platform isolates the wooden post from standing water on the ground, effectively preventing the wooden post from being corroded by moisture. The solid steel material provides strong support for the post anchor and can effectively improve the service life of the post anchor.",1,5.00,ATXSUGAR,PDX7,40</t>
  </si>
  <si>
    <t>21,Norwegian Lefse Kit: Rolling Pins &amp; Cloths,"Convenient All-in-one Kit: the traditional Norwegian lefse making kit includes everything you need, three rolling pin covers, a wooden rolling pin, a pastry cloth, a cover cloth, and a wooden dough remover, this lefse making kit offers ample convenience for daily use and replacements, streamlining your baking process effortlessly Quality Cotton Material: the pastry cloth, rolling pin cover, and cover cloth are crafted from breathable, durable, non-stick cotton, ensuring reusability and easy cleaning, this Norwegian lefse making kit saves you time and effort, making your baking experience smooth and stress-free Expertly Designed Sizes: with a 20-inch pastry cloth and cover cloth, an 11 x 2.5-inch rolling pin cover, and a 15.7-inch rolling pin, this Lefse Making Kit is tailored for optimal performance, the 24-inch wooden dough remover enhances your precision, ensuring perfectly rolled dough every time Durable Wooden Components: the dough remover and rolling pin are made from quality wood, providing robust performance for all your baking needs, this Traditional Norwegian Lefse Making Kit delivers lasting reliability and functionality, embracing the essence of Norwegian baking traditions Versatile Use at Home and Beyond: suitable for both kitchens and professional restaurant use, the Norwegian making kit is designed for various baking enthusiasts, it's a versatile toolkit that adapts to your culinary environment, enhancing your pastry crafting endeavors effortlessly, and is a must-have gift for Christmas and Thanksgiving.",1,5.00,ATXSUGAR,Amazon Bstock,44</t>
  </si>
  <si>
    <t>37m,"Birch Butcher Block Countertop 30""x25"" 1.5"" - D","Warm &amp; Tough Solid Birch -- Enjoy the authentic beauty of 100% solid birch. Its light golden hue and consistent grain add timeless warmth. Beyond looks, this dense hardwood is naturally durable, perfect for your kitchen, office, or workbench and demanding DIY projects. Fits Any Project &amp; Space -- Find your perfect size for countless uses. Ideal for kitchen islands, desks, dining tables, or laundry tops, cutting board for cooks. This versatile piece seamlessly works in both home and commercial settings, providing a durable surface anywhere.",1,5.00,ATXSUGAR,Amazon Bstock,129</t>
  </si>
  <si>
    <t>29,"Hexagon EVA Boat Flooring, Self-Adhesive (98.4 x37","Elastic, not easy deformation, not easy to tear. High Density, not easy to damage. Self-adhesion, easy to installation. Stain resistant &amp; very easy to maintain, can also be pressure washed Provides a non-slippery surface for your boat in both wet &amp; dry conditions.",1,5.00,ATXSUGAR,Amazon Bstock,85</t>
  </si>
  <si>
    <t>30,"Steel Cutting Board (15.7 23.6 0.06"")","HIGH-QUALITY MATERIAL This cutting board is made of durable 304 stainless steel with a thickness of 0.15 cm (0.06 in) L-SHAPED EDGE DESIGN: Features a unique folding edge that prevents dough and ingredients from slipping off while kneading and cutting DOUBLE-SIDED FUNCTIONALITY: Two distinct surfaces allow separate areas for raw and cooked food preparation, enhancing food safety ANTI-SKID BASE: PVC material pad adheres firmly to countertops, ensuring stability during intense food preparation tasks SMOOTH EDGES: Professionally polished and ground stainless steel construction with rounded corners for safe handling EASY MAINTENANCE: Smooth stainless steel surface wipes clean effortlessly, leaving no odors or residue.",1,5.00,ATXSUGAR,Amazon Bstock,50</t>
  </si>
  <si>
    <t>32,DEXI Cushioned Anti Fatigue Kitchen Mat 23x86,"Anti Fatigue Support: Designed for long hours in the kitchen, featuring memory foam cushioning that relieves pressure on feet, knees, and back. The ergonomic design ensures comfort while cooking, baking, or washing dishes Cushioned Comfort: With a 0.4 inches (10mm) thick padded layer, it strikes the balance between softness and durability well, no more sore legs. Please check thickness details to ensure it meets your needs Waterproof and Stain Resistant: The water resistant surface prevent spills, oils, or liquids from seeping through. Protect your hardwood floors or tiles while maintaining a pristine marble-patterned surface that resists stains Easy to Clean: No hassle, just wipe with a damp cloth or sponge to remove dirt, grease, or dust, which ensures the pattern to stay vibrant even after frequent cleaning, saving you time and effort Modern Marble Elegance: Elevate your kitchen with a marble-patterned mat, whether paired with stainless steel appliance, marble countertop, or wooden cabinetry, the natural veining and neutral tones make it seamlessly blending with any d cor.",1,5.00,ATXSUGAR,Amazon Bstock,60</t>
  </si>
  <si>
    <t>35,"24""x18"" Bamboo Cutting Board, Charcuterie Tray","Premium Bamboo Cutting Board: Organic bamboo in rich color. Pre-seasoned with mineral oil. Gentle and won t dull knives. Strong Structure: 3-layers cross grain structure makes the cutting board more solid, won't crack. 0.75  thick, slim and durable. With Handles &amp; Juice Grooves: Easy to grip with side handles</t>
  </si>
  <si>
    <t xml:space="preserve"> Deep juice grooves catch juice from running on counter.",1,5.00,ATXSUGAR,Amazon Bstock,43</t>
  </si>
  <si>
    <t>43m,"GE 30"" 5-Burner Electric Range, SS - W3","At GE Appliances, we bring good things to life, by designing and building the world's best appliances. Our goal is to help people improve their lives at home by providing quality appliances that were made for real life. Whether it's enjoying the tradition of making meals from scratch or tackling a mountain of muddy jeans and soccer jerseys, GE Appliances are crafted to support any and every task in the home.. Amperage (A): 40 A. Appliance Category: Range. Appliance Series: Not Applicable.",1,5.00,ATXSUGAR,Best Buy,1888</t>
  </si>
  <si>
    <t>45m,"JennAir JED3430G 30"" Electric Cooktop - W3","JennAir JED3430G 30 Inch Wide 4 Burner Electric Cooktop with Downdraft Ventilation Features: This stylish ceramic glass cooktop includes four powerful burners to fit all of your cooking needsThis sophisticated design is not only attractive, it is the secret behind the ventilation system's exceptional performance and quiet operationFeatures both a hot surface indicator light and heating element on indicatorFeatures a variety of burners including two 6"" burners for your small sauce pans and larger saucersRobust, die-cast metal knobs offer precise control and coordinate perfectly with the design of these cooktopsProduct Technologies: JX3  Downdraft Ventilation System: Developed and refined by the Jenn-Air brand, a downdraft ventilation system uses proximity ventilation to capture smoke, steam and odors at the cooking surface, whisking them down and out of the kitchen before they can escape. 10 /6  Dual-Choice  Element: This two-tiered single element accommodates various-sized cookware in one location and can achieve an output of 3,000 watts when both elements are active. DuraFinish  Glass Protection: DuraFinish  Glass Protection helps keep your ceramic glass cooktop's surface looking like new by resisting scratching.Specifications: Number of Burners: 4Fuel Type: ElectricCutout Depth: 21-1/8""Cutout Width: 28-7/8""Depth: 22-1/16""Height: 3-5/8""Width: 30-7/8""Amperage: 40AVoltage: 220V Electric Cooktops Stainless Steel.",1,5.00,ATXSUGAR,Best Buy,2099</t>
  </si>
  <si>
    <t>47m,"GE CAFE 24 in Built-In Dishwasher, Matte White - P","Nothing about your personal style is standard. So why should your appliances be? Created for those who want to reflect their true style in every room of their home, Cafe is distinct by design. Choose between two bold collections. The Customizable Professional Collection boasts a distinct line of hardware options, and the Modern Glass Collection features a seamless, contemporary design. Backed by showstopping features, every Cafe appliance gives you the form and the function you've been craving.. Amperage (A): 7.2 A.",1,5.00,ATXSUGAR,Best Buy,1148</t>
  </si>
  <si>
    <t>48m,"Profile 30"" Smart Wall Oven, Convection, SS",Built on the belief that modern life needs modern solutions. GE Profile Appliances are designed to make daily life simpler by incorporating Smart Home technology and cutting-edge features in every appliance. GE Profile's sleek design and quality engineering will give your kitchen the most up-to-date look and the best innovative performance you've been looking for.. Amperage (A): 20 A. Appliance Category: Wall Oven. Appliance Series: GE Profile.,1,5.00,ATXSUGAR,Best Buy,2098</t>
  </si>
  <si>
    <t>49m,"GE Profile 30 in. Warming Drawer, SS",Built on the belief that modern life needs modern solutions. GE Profile Appliances are designed to make daily life simpler by incorporating Smart Home technology and cutting-edge features in every appliance. GE Profile's sleek design and quality engineering will give your kitchen the most up-to-date look and the best innovative performance you've been looking for.. Appliance Series: GE Profile. Appliance Type: Warming Drawer. Capacity of Oven (cu.,1,5.00,ATXSUGAR,Best Buy,1898</t>
  </si>
  <si>
    <t>50m,"GE Profile 2.2 cu ft 1100W Smart Microwave, Gray (",Built on the belief that modern life needs modern solutions. GE Profile Appliances are designed to make daily life simpler by incorporating Smart Home technology and cutting-edge features in every appliance. GE Profile's sleek design and quality engineering will give your kitchen the most up-to-date look and the best innovative performance you've been looking for.. Appliance Category: Microwave. Appliance Series: GE Profile. Appliance Type: Countertop Microwave.,1,,ATXSUGAR,,486</t>
  </si>
  <si>
    <t>58m,GE 1.7 cu ft Over-the-Range Microwave (W3),One look at the GE Cafe kitchen and you'll feel as if you've been transported behind the scenes of your favorite casual dining experience. Each appliance has been meticulously designed to create an atmosphere where people like to gather and love to cook. Tough stainless steel and powerful elements complement their robust appearance. Steam cook button - Perfectly prepare your steamed favorites. Fast Cook - Convection and microwave cooking combine to deliver fast oven-quality results. Sensor cooking controls - Automatically adjusts time and power for delicious cooking results.,1,,ATXSUGAR,"Best Buy, Best Buy",1000</t>
  </si>
  <si>
    <t>38m,Roundhill Ioana Grey Wood Night Stand - (D Rack),"Bring the sophistication and elegance of the orient to your home with the Ioana Collection. Its subtle beauty is set off by the milo and rubber wood finish as well as the gorges grain stylized wood inlay. Parallel lines adds interest and is the perfect finishing touch on each piece. Choose from a king or queen-sized bed, nightstand, mirror, chest, and dresser to creatThe bedroom of your dreams. Keep bedtime reading material and other nighttime essentials within easy reach or out of sight with this trendy two-drawer nightstand. This nightstand features a simple yet timeless design and offers a sturdy surface for holding a table lamp, a clock, photos, or other items.",1,5.00,ATXSUGAR,,350</t>
  </si>
  <si>
    <t>53m,Safavieh Flannery Mid-Century Cream Chair -(CE),"Add a beautiful Touch of style to any living area with a Safavieh couture accent chair Upholstered with a decadent Cream linen blend Crafted with real wood and capped brass front legs Measures 27. 2"" Wide x 29. 5"" Deep x 32. 3"" High and conveniently requires no assembly Safavieh couture line of home furnishings is the perfect blend of luxury and trendiness, with crisply tailored pieces that exude opulence and sophistication of the highest caliber.",1,5.00,ATXSUGAR,Wayfair,711</t>
  </si>
  <si>
    <t>59m,Solid Wood Dining Chair (2) Natural/Beige -W4,"This auction features a set of two Solid Wood Dining Chairs in a natural beige finish. Crafted from high-quality solid wood, these chairs offer a timeless aesthetic that can enhance any dining space. The design incorporates sturdy legs and a comfortable seat, providing both style and function for your home. Included with the chairs is an assembly manual to ensure easy setup. Whether used in the dining room, kitchen, or as accent pieces, these chairs are versatile additions to your furniture collection. The natural tones blend seamlessly with various decor styles, making them a great choice for any interior.",1,5.00,ATXSUGAR,Wayfair,350</t>
  </si>
  <si>
    <t>68m,"24 in. 14-Bottle Wine Cooler, Black Cabinet (MD)","This Undercounter Beverage Center with Full-Extension Wood-Front Racks holds 14 wine bottles below with room for drinks and food on the full-width shelves above. Separate temperature controls for the two zones adjust for what you're storing, and a Temperature Monitoring System with sensor alert adds peace of mind. Fully Flush Installation with Hidden Hinges provides a built-in look within cabinetry.. Appliance Type: Beverage Cooler. Bottle Storage Capacity: 14. Can Capacity: 0",1,,ATXSUGAR,,2749</t>
  </si>
  <si>
    <t>73m,"KitchenAid 30"" Single Wall Oven with Air Fry - W3","Get the crisp you crave, right from your oven. KitchenAid  Single Wall Ovens with Air Fry Mode circulate hot air around the included basket to cook with less oil.* An integrated thermometer takes the guesswork out of roasting meat just the way you like. *When compared to deep frying.",1,5.00,ATXSUGAR,"Best Buy, Best Buy, Best Buy, Best Buy",1899</t>
  </si>
  <si>
    <t>74m,"Bertazzoni 36"" Induction Cooktop - (W3)","This Bertazzoni touch-control 36-inch induction cooktop is equipped with 5 cooking zones, each with 9 power levels plus a booster. Select individual induction heating zones reach up to 3700 Watts, reducing time-to-boil by up to 50%. The intuitive touch-through-glass slider interface provides instant and precise control over cooking settings. With timer functions for each heating zone, you can manage the cooking process with complete accuracy. Benefit from maximized cookware size accommodation and a full surface bridge function delivering up to 5000 Watts with the booster. Cleaning is super-easy</t>
  </si>
  <si>
    <t xml:space="preserve"> just spray with glass cleaner and wipe the glass surface clean.",1,,ATXSUGAR,,1779</t>
  </si>
  <si>
    <t>78m,"Windster WS-63TB Series 42"" Stainless Hood-(W3)","The Windster  WS-63TB Series 42"" Stainless Steel Island Hood combines modern design with powerful functionality. Crafted from high-quality stainless steel, this hood features a sleek and contemporary look that complements any kitchen decor. Its robust extraction system ensures efficient ventilation, effectively eliminating smoke, steam, and odors from your cooking space. Equipped with multiple fan speeds, users can easily adjust the performance to suit their cooking needs. The intuitive control panel adds convenience, allowing quick access to settings. Additionally, this model includes integrated lighting to illuminate your cooktop, enhancing visibility while you prepare meals.",1,,ATXSUGAR,,1199</t>
  </si>
  <si>
    <t>82m,"(A)- Caf  36"" Wall Range Hood, Stainless Steel","Introducing the Caf  36-Inch Wall Range Hood, designed for both externally vented and recirculating setups. This sleek stainless steel range hood features a modern design that enhances any kitchen aesthetic. Equipped with intuitive controls, it allows for easy operation, ensuring a seamless cooking experience. The hood is effective in reducing smoke, odors, and grease, making it a valuable addition to your culinary space. Included components feature various essential parts and instructions. Ideal for homeowners looking to elevate their kitchen style and functionality.",1,5.00,ATXSUGAR,"Best Buy, Best Buy",945</t>
  </si>
  <si>
    <t>83m,KitchenAid - 1.4 Cu. Ft. Built-In Microwave-(B),"This KitchenAid 1.4 Cu. Ft. Built-In Microwave offers a sleek and modern design, perfect for enhancing your kitchen's functionality. Featuring a stainless steel finish, it seamlessly blends with existing appliances while providing a sophisticated look. The microwave boasts advanced cooking technology, allowing for efficient and even heating of your favorite meals. It includes a variety of settings for different cooking methods, ensuring versatility in meal preparation.",1,,ATXSUGAR,,1800</t>
  </si>
  <si>
    <t>84m,"Dacor 48"" Externally Vented Hood Graphite - (C)","Bring more beauty, more light, and more powerful function into your kitchen. Dacor s ConnectOn auto-responsive technology turns on the ventilation in conjunction with the cooktop, automatically adjusting the speed as necessary, with powerful performance and minimal noise.",1,,ATXSUGAR,,1750</t>
  </si>
  <si>
    <t>85m,KitchenAid 30-in Downdraft Range Hood - (CE),"65K BTU threshold - a ventilation system specification that is compatible with cooking surface featuring a maximum heat output up to 65K BTU Retractable downdraft design makes it easier to clean the inside of the vent hood by providing a space for grease to collect 14-in rise - the height that the retractable vent system rises above the cooktop - at this height, the vent can easily capture steam from tall stockpots Reversible motor box lets you create versatile installation options by allowing the motor box to be installed on either side of the downdraft to free up the space beneath the cooking surface 4-speed slide control makes it easy to select and adjust fan speed depending on your ventilation requirements Auto on function - helps ensure effective ventilation performance by automatically starting the vent at the last used speed when it extends above the cooking surface Dishwasher safe premium mesh filter - help keep the kitchen environment fresh and also provide proper filtration of grease and odors to help reduce contact with ceilings and countertops Optional interchangeable trim covers - optional trim covers that can be placed on the top of the vent to coordinate with existing cabinetry, countertops, and appliances (black top trim part # W10387672, white top trim part # W10388169) Appliance Color/Finish: Stainless steel Manufacturer Color/Finish: Stainless steel Actual Depth (Inches): 12.13 Actual Height (Inches): 29 Actual Width (Inches): 30 Common Range Hood Size: 30 inch ADA Compliant: No Amperage: 15 Charcoal Filter: No Cooktop Light(s): No Customizable: No Damper Included: Yes Damper Type Included: 6-in round Duct Type: 6-in round Exhaust Vent Location: Back Fan Control Type: Mechanical button Fan Speeds: 4 Filter Replacement Model: W10422877 Filter Type: Aluminum mesh Fingerprint-Resistant: No Hub Required: No Lowe's Exclusive: No Maximum Air Volume (CFM): 600 Package Contents: Stainless top trim, end caps, lower support legs, undercounter mounting brackets, screws, damper, motor box, deep cover, flat vent cover plate Range Hood Shape: Square Range Hood Sound Level: Standard (51+ dB) Remote Control Included: No Removable Grease Filter: Yes Sones Rating - Horizontal: 0 Sones Rating - Vertical: 8 Telescoping: Yes Vent Style: External Vent Type: Ducted Voice Controlled: No Voltage: 120 CA Residents: Prop 65 Warning(s): Yes ENERGY STAR Certified: No Safety Listing: UL safety listing UNSPSC: 48101500",1,,ATXSUGAR,,1379</t>
  </si>
  <si>
    <t>42,"Tool Bag 16 Pockets, Polyester, 15x8.6x10.6","AV Steel electrician tool bag is designed to withstand the toughest job sites while keeping all your tools secure and easily accessible. HVAC tool bag is designed for durability and maximum organization. Large tool bag heavy duty made from rugged, wear-resistant polyester with reinforced stitching, this heavy duty tool bag is built to endure daily use and harsh conditions without compromising performance. Padded handles and an adjustable shoulder strap reduce strain, making it easy to carry heavy tools for extended periods. Portable tool bag with a shoulder strap is ideal for electricians, mechanics, carpenters, contractors, and home DIYers. This toolbag with handle perfect for job sites, workshops, garage storage, or on-the-go repairs.",1,5.00,ATXSUGAR,Amazon Bstock,30</t>
  </si>
  <si>
    <t>2m,"Gadre Solid Wood Bench - Size: 18"" H x 58"" W x 15""","Embrace rustic charm with this solid wood dining bench, crafted from reclaimed wood. Its unique grain and knots add character to any dining space. Product Type: Dining Bench Color: Rustic Natural/MK2 Material: Solid Wood Leg Material: Solid Wood Wood Species: Mixed Reclaimed Wood Weight Capacity: 525 Seating Capacity: 2 Leg Design: Sled Natural Variation Type: Wood Knots</t>
  </si>
  <si>
    <t xml:space="preserve"> Natural Variation Main Wood Joinery Method: Butt Joint Kiln-Dried Wood: Yes Licensed Product Category: Benches Imported: Yes Product Care: Avoid direct sunlight</t>
  </si>
  <si>
    <t xml:space="preserve"> Spot clean with a dry cloth Upholstery Color: Rustic Natural/MK2 Leg Wood Species: MDF Manufactured Wood Type: MDF Grade of GOTS Certification: No Verified GOTS 5.0 (Global Organic Textile Standard) Certified: Yes.",1,5.00,ATXSUGAR,Wayfair,555</t>
  </si>
  <si>
    <t>2,2-in-1 Leaf Grabber Rake with Long Handle,"2-IN-1 LEAF RAKE &amp; GRABBER: Compared to traditional leaf rakes on the market, our innovative rake for leaves not only can rake fallen leaves, also is designed with a gripper structure for picking up leaves without bending over. This multi-functional leaf rake grabber integrates 3 steps: raking, grasping and bagging, greatly simplifying the process of leaf cleanup and making your yard work more efficient and convenient NO MORE BENDING OVER: Designed for easy leaf pickup, the leaf collector with long handle allows you to maintain an upright posture during long periods of leaf clean up work, effortlessly grabbing accumulated leaves on the ground without frequent bending over, minimizing back and knee pressure. Whether it's the season of falling leaves or daily yard maintenance, our ergonomic leaf picker upper grabber is an ideal and indispensable gardening tool STURDY &amp; DURABLE: The long handle is made of sturdy aluminum alloy, which is pressure-resistant and corrosion-resistant. The two green leaf claws are made of high-quality plastic, ensuring durability in various outdoor environments. The 16-inch-wide leaf claw has 12 long tines, helping you easily sweep and grab leaves, dead branches and other yard debris from the lawn surface, and has a strong grip EFFORTLESS OPERATION: One tool can complete the collection and bagging of fallen leaves. Assemble the leaf grabbers for yard work according to the instructions.",1,5.00,ATXSUGAR,Amazon Bstock,20</t>
  </si>
  <si>
    <t>3,"Allied Brass 1031/30-FTB Skyline 30"" Towel Bar","Made of the Finest Solid Brass Materials Concealed screw mounting hardware makes installation easy Wall mounted design is an ideal use of space Available in a wide variety of lifetime designer finishes Easy installation, mounting hardware included.",1,5.00,ATXSUGAR,Amazon Bstock,34</t>
  </si>
  <si>
    <t>6m,"Ndayisenga Metal Box Spring, Basics Mattress Found","This low-profile box spring is meticulously crafted to offer exceptional support for any mattress. While selecting the perfect mattress is a crucial aspect of creating an ideal sleeping environment, it's equally important to consider the mattress foundations. Constructed from durable metal with a classic steel box spring design. Elevate your sleep experience with this thoughtfully designed bed foundation, ensuring you receive the utmost comfort and support for a restful night's sleep. The product only includes the base box spring and does not include the bottom of the bed frame. Product Type: Box Spring Material: Metal</t>
  </si>
  <si>
    <t xml:space="preserve"> Fabric</t>
  </si>
  <si>
    <t xml:space="preserve"> Steel Cover Included: Yes Weight Capacity: 800 Weight Capacity: 1,500 Imported: Yes Color: Black Reversible: No Cover Material: Polyester Cover Color: White Cover Color: White Cover Color: White</t>
  </si>
  <si>
    <t xml:space="preserve"> Gray Cover Color: White Cover Color: White Cover Color: White Cover Color: White Pieces Included: Cover.",1,5.00,ATXSUGAR,Wayfair,137</t>
  </si>
  <si>
    <t>11m,"Kohler 60x42 in. Soaking Tub, Right Drain (W3)","Defined by crisp lines and a clean, simple aesthetic, the Avec alcove bath complements a wide range of design languages. A slotted overflow and low step-over height combine to give you a deep soak while you relax against the softly angled lumbar support and raised neck rest. Avec also has an integral overflow and preinstalled toe-tap drain - color-matched to the bath - to make installation easier and create an amazing bathing experience. Settle in, lay back, and unwind in the Avec bath.. Bath Therapy Type: Soaking. Color Family: White.",1,,ATXSUGAR,"Wayfair, Wayfair, Wayfair",978</t>
  </si>
  <si>
    <t>4,ZELUS 8' Folding Balance Beam w/Carry Handles,"Ideal for Everyday Practice: Let your kids dive into a world of endless active fun with the Zelus 8 ft. Floor balance beam and watch as they master handstands, cartwheels, and backflips Comfortable Care: Cushioned with soft EVA foam and topped by a gentle suede layer, our kids balance beam offers a cozy touch that'll keep your young gymnasts happily practicing away Safety at Its Core: Constructed from sturdy wood and equipped with nonslip rubber feet, this balance beam is designed to ensure your little ones' safety as they freely explore twists and turns Convenient Portability: From the backyard to the park or a friend's place, simply fold this gymnastics equipment in half and carry it effortlessly using the two convenient handles Lightweight Design: Weighing in at a mere 12.3 lb., this gymnastic beam is a breeze for your kids to handle. They can make it their own workout buddy, moving and adjusting it with ease.",1,5.00,ATXSUGAR,Amazon Bstock,55</t>
  </si>
  <si>
    <t>5,"Johnsonite Duracove TP Wall Base 4"" x 120'","Duracove Thermoplastic Rubber Wall Base by Johnsonite offers a premium solution for wall protection and aesthetic enhancement in any space. This product features a 1/8"" (3 mm) thickness and a width of 4"", designed for durability and a seamless appearance. The Burnt Umber color provides a warm, rich tone that complements various interior designs. The generous length of 120' allows for extensive coverage, making it ideal for both residential and commercial applications. Easy to install, this wall base is perfect for creating a professional finish while safeguarding walls from wear and tear.",1,5.00,ATXSUGAR,"Wayfair, Amazon Bstock",191</t>
  </si>
  <si>
    <t>6,KEESHA Grill Kit for Charbroil 4-Burner,"PACKAGE CONTAINS: 3 x Cast Iron Cooking Grate (2 x wide grate + 1 x narrow grate), 4 x Stainless Steel Heat Plates, 4 x Stainless Steel Burner Tube, 3 x Adjustable Carryover Tube and 1 x Ignition. This Charbroil 4-Burner Grill Replacement Parts Kit provides comprehensive solutions for grill maintenance, specifically designed for charbroil grill replacement parts 4 burner systems to restore optimal functionality. COOKING GRATE: Wide grate ( 18.1"" x 9.25"") replacement parts for Charbroil original part number G470-0002-W1, G321-0005-W1</t>
  </si>
  <si>
    <t xml:space="preserve"> Narrow Grate ( 18.1"" x 6.5"") replacement parts for Charbroil original part number G470-0003-W1, G321-0006-W1. These char-broil 463332718 grates ensure perfect compatibility with your existing setup while maintaining original cooking performance. HEAT TENT: The stainless steel heat plate ( 16 15/16"" x 2 1/2"") replacement parts for Charbroil original part number G470-0004-W1. This component is crucial for heat distribution in charbroil two burner gas grill parts model 463332718, offering durability and precise temperature control.",1,5.00,ATXSUGAR,Amazon Bstock,66</t>
  </si>
  <si>
    <t>7,Mangoct Kohler K-5559-NA Drain Pan (2),"K-5559-NA Drain Pan Compatible with Models  Direct Replacement for kohler K-5559-NA Invigoration series drain - Specially designed for Invigoration Series Steam Generators models K-5525, K-5526, K-5529, K-5531, and K-5539 &amp; K-5543 (Note: These two models require 2 drain pans). Ensure perfect fit and function without costly OEM parts.  Easy to clean  Heavy-Duty 304 Stainless Steel resists rust, hard water stains, and chemical cleaners. Wipe clean in seconds   no scrubbing needed! Ideal for hard water areas to extend product lifespan.  Protect the steam shower  The unique design ensures the safe and stable placement of the steam engine. The small drainage tray collects water and safely gathers it in a place far away from the generator and the surrounding area.",1,5.00,ATXSUGAR,Amazon Bstock,88</t>
  </si>
  <si>
    <t>16m,"(C)- Oneluck Extra Large Cat Litter Box, 27.5in","Giant Litter Box 27.5""L x17.7""W x17.7""H, Surprisingly large litter box for big cats and multiple cats such as Maine cats, no matter how big the cat is  Extra High Wall Litter Box The height of the wall of the high side litter box is twice as high as that of an ordinary litter box, the high wall can block the cat litter inside the litter box, no need to worry about the cat litter scattered everywhere  Cat Litter box With Cover Features a removable cover, You can choose between open or closed cat litter boxes according to the cat's preference.  Honeycomb Design Trap Litter  23.6"" Cat litter mat has a holes design, When cat walks out , all the litter and dirt attached to the paws will be captured  Note Before purchasing, please confirm the size. Don't underestimate its size. It is even larger than the XXXL stainless steel cat litter box.",1,5.00,ATXSUGAR,Amazon Bstock,110</t>
  </si>
  <si>
    <t>8,Noodle Board Stove Covers with Handles,"MORE COUNTERTOP SPACE Perfect for small apartments, RVs, and anywhere extra space is needed, this noodle board stove cover can greatly increase kitchen counter space.Our stovetop cover is 29.52 inches wide x 21.64 inches deep and fits almost all stoves.Before purchasing, please measure your burner's dimensions to confirm compatibility. MULTIPLE USES: In addition to protecting your stove with the stove top covers, it can also be used as a serving tray breakfast tray charcuterie board, pedestal for showcasing culinary delights. Use it to easily transport large quantities of food and drinks from the kitchen to the dining area, outdoor garden, room anywhere you want to reach. PREMIUM QUALITY BAMBOO:Our gas stove top covers are expertly crafted from high-quality and bamboo, making them the perfect choice for a carving board. As an all-natural material, bamboo is organically grown and has a surface tension that prevents dulling better than wooden stove top covers. The stove cover board not only protects your stove from dust, oil stains, water spots, scratches, but also makes your kitchen look neater and more beautiful.",1,5.00,ATXSUGAR,Amazon Bstock,40</t>
  </si>
  <si>
    <t>9,SELEWARE Landmine Attachments for 2x2/3x3,"Universal Compatibility Designed to fit 3"" x 3"" power cages with 5/8"" or 1"" holes, and compatible with both 1"" standard and 2"" Olympic weight plates.  Multi-Directional Swing Our support arm swings both up and down, and left and right, offering greater versatility in your workouts.  Enhanced Stability Features an innovative connection design that prevents the support arm from touching the frame, ensuring no damage or scratches to your power cage.  Durable Construction Made from high-quality alloy steel with a black metal plating to resist scratches and rust, ensuring long-lasting use, supporting up to 600 lbs per arm.  Space-Saving Design Maximize your workout space by adding this versatile attachment to your power cage, allowing you to perform belt squats, curls, rows, and more.",1,,ATXSUGAR,,63</t>
  </si>
  <si>
    <t>10,"15"" Tool Bag: 16 Pockets, Waterproof, Black/Orange","Large Capacity Tool storage bag designed to effortlessly carry bulky power tools, equipments, tools and accessories without strain. Open top tool bag features 16 pockets for superior organization and quick access - keeping your gear secure and ready for any job. Durability Tool bags for men heavy duty made from rugged materials like Fabric Oxford 1680D to withstand heavy loads and harsh conditions. Waterproof coating protects your large tool bag from job site moisture. Anti slip pads reduce slipping risks when placing the tool tote on uneven or wet areas. Portability The tool box organize comes with a 26-51 inch adjustable padded shoulder strap and a stainless steel handle with a foam grip.",1,5.00,ATXSUGAR,Amazon Bstock,30</t>
  </si>
  <si>
    <t>21m,"Bosch 800 Series 30"" Downdraft, Stainless-(W3)","Bosch's inventive ventilation systems keep mealtime fresh by quietly purifying the air while you cook. Theyre beautifully designed to seamlessly integrate into any kitchen with under-the cabinet, chimney, island, pull-out and downdraft styles. You'll breathe easier knowing that smoke, steam, grease and odors are quietly and effectively taken care of.. Amperage (A): 15 A. Appliance Series: Bosch 800 Series. Appliance Type: Downdraft.",1,,ATXSUGAR,"Best Buy, Best Buy, Best Buy",1699</t>
  </si>
  <si>
    <t>26m,SUNPAN CELINE DRESSER,"The SUNPAN Celine Dresser combines contemporary design with functional elegance. Featuring a sleek, minimalist silhouette, this dresser is finished in a soft hue that complements any modern decor. It includes three spacious drawers, each adorned with stylish brass hardware that enhances its refined look. The dresser is elevated by unique V-shaped legs in a warm gold tone, adding a touch of sophistication and stability. Ideal for a bedroom or living space, the Celine Dresser provides ample storage while serving as a chic statement piece. Its versatile design allows it to seamlessly integrate into various interior styles, making it a perfect addition to your home.",1,5.00,ATXSUGAR,Wayfair,1933</t>
  </si>
  <si>
    <t>566m,SUNPAN CELINE DRESSER,"The SUNPAN Celine Dresser combines modern elegance with functionality, making it a striking addition to any bedroom. Featuring a sleek, minimalist design, this dresser showcases a soft beige finish that complements a variety of decor styles. It includes three spacious drawers, each adorned with stylish brass handles for easy access and an upscale touch. The unique, curved brass legs add a contemporary flair, elevating the dresser both physically and aesthetically. Perfect for organizing clothing or displaying decorative items, this piece balances practicality with sophisticated design. The Celine Dresser seamlessly fits into different settings, from chic urban lofts to tranquil retreats.",1,5.00,ATXSUGAR,Wayfair,1933</t>
  </si>
  <si>
    <t>376m,"NewAir 24"" 177-Can Beverage Refrigerator","The Newair 177 Can Built-in Beverage Fridge is a premium choice for anyone searching for a beverage refrigerator, drink fridge, or under counter beverage cooler that combines performance with sleek design. Whether you need a beer fridge for your home bar, a built-in beverage cooler for your kitchen, or a glass door beverage cooler for your entertainment space, this model fits the bill. Its compact built-in design with front-facing ventilation makes it ideal for kitchen islands, home bars, and office setups. With its glass door, LED lighting, and adjustable shelving, this versatile mini fridge for drinks offers the perfect balance of style and functionality. Vent Location: Front Door Material: Glass Can Capacity: 177 Cooling System: Compressor Based Defrost Type: Automatic/Frost Free Interior Light: Yes Safety Lock: Yes Adjustable Temperature Control: Yes Minimum Temperature: 37 Maximum Temperature: 66 Leveling Legs: Yes Built-In Shelving Included: Yes Adjustable Shelves: Yes Door Orientation: Reversible Amperage: 0.75 Voltage: 120 Handle(s) Included: Yes Quiet Operation: Yes Flat-Back Design: Yes Plug-In: Yes Space Capacity: 5.19 Imported: Yes Compatible Bulb Type: LED Product Care: Wipe clean with a dry cloth Digital Display: Yes Color / Finish: Stainless Steel Shelf Material: Wire Number of Shelves: 6 Display Screen: LED Safety Listing(s): ETL Listed</t>
  </si>
  <si>
    <t xml:space="preserve"> cETL Listed ISTA Certified: 3A or 6A.",1,5.00,ATXSUGAR,Best Buy,935</t>
  </si>
  <si>
    <t>36m,30 in. Convertible Under-Cabinet Hood-(W3),"Installing this stove hood is quick and easy. The FIT system helps reduce measuring, cutting and trim for a smooth fit. When cooking introduces steam, grease, smoke or odors into the surrounding air, the powerful 2-speed hood vent kitchen fan takes care of it.. Amperage (A): 15 A. Appliance Type: Range Hood. Color/Finish: Stainless Steel.",1,5.00,ATXSUGAR,Best Buy,219</t>
  </si>
  <si>
    <t>41m,Profile 4.9 cu. ft. Smart Top Load Washer - (W4),Built on the belief that modern life needs modern solutions. GE Profile Appliances are designed to make daily life simpler by incorporating Smart Home technology and cutting-edge features in every appliance. GE Profile's sleek design and quality engineering will give your kitchen the most up-to-date look and the best innovative performance you've been looking for.. Agitator/Impeller Type: Agitator. Amperage (A): 10 A. Appliance Category: Washer.,1,5.00,ATXSUGAR,Best Buy,698</t>
  </si>
  <si>
    <t>76m,Whirlpool Smart Capable 7.4-cu ft Dryer - (W4),"This Whirlpool Smart Capable 7.4-cu ft Vented Electric Dryer in a sleek Chrome Shadow finish offers efficient drying performance with modern features. Designed to accommodate a large laundry load, it includes a steam cycle that helps reduce wrinkles and refreshes clothes. The smart capabilities enable remote monitoring and operation through a mobile app, adding convenience to your laundry routine. This dryer combines a stylish appearance with functionality, making it a valuable addition to any laundry space.",1,,ATXSUGAR,,1400</t>
  </si>
  <si>
    <t>46m,"800-Series 30in Convection Microwave, SS","The 800 Series over-the-range microwave has a spacious cavity and variety of modes to accomplish everyday cooking tasks from large to small. An efficient and powerful vent also handles smoke and odors with ease. Paired with unparalleled Bosch quality materials and craftsmanship, this microwave is designed to perform day in and day out.. Appliance Category: Microwave. Appliance Series: Not Applicable. Appliance Type: Over the Range Microwave.",1,5.00,ATXSUGAR,Best Buy,844</t>
  </si>
  <si>
    <t>51m,Insignia 250 Sq. Ft Portable AC - White -(W3),"Stay cool with this Insignia three-in-one portable air conditioner. The included remote makes selecting the right temperature easy and lets you turn on the fan and dehumidifier from across the room. This Insignia three-in-one portable air conditioner produces up to 6,000 BTU of cooling power and quickly lowers the temperature in rooms up to 250 sq. Ft. Up to 250 sq. Ft.",1,5.00,ATXSUGAR,Best Buy,300</t>
  </si>
  <si>
    <t>56m,27 in Laundry Pedestal with Drawer (Black)-(3W),The LG Electronics Laundry Pedestal with Storage Drawer makes your appliance easy to access. The drawer holds up to 18 lb. Of laundry supplies and includes a convenient removable divider for organization. Raises washer or dryer to easily load and unload conveniently.. Appliance Category: Appliance Parts. Appliance Series: Not Applicable.,1,5.00,ATXSUGAR,,249</t>
  </si>
  <si>
    <t>61m,"LG 27"" W 1 cu ft Pedestal Washer Black -(W3)","Meet your newest laundry ally LG's ingenious SideKick washer. Disguised as an everyday pedestal, this 27 in. W mini LG washer pairs with almost any LG front load unit so you can wash two loads at the same time. The main tub is the workhorse, taking on your biggest, bulkiest family-size loads like towels and bedding, while the SideKick gives delicates, hand washables and workout wear the special care they deserve. With this LG pedestal washer on your side, you can divide and conquer your laundry and the rest of your day like never before. Compatible with select 27  Front Load Washers.",1,5.00,ATXSUGAR,Best Buy,850</t>
  </si>
  <si>
    <t>66m,Magnolia Manor Mirror (MD),"MAGNOLIA MANOR BY LIBERTY FURNITURE The Magnolia Manor collection showcases exceptional accommodation and beautiful style for your home bedroom space. Featuring fully finished dovetail drawers with metal full extension glides, felt-lined drawers for jewelry and other delicate items, a tufted upholstered headboard and traditional style elements, these wonderful furnishings highlight timeless design. Completed with antique brass hardware and an antique white finish, the pieces fuse traditional, rustic and vintage styles to create a beautiful room setting.",1,5.00,ATXSUGAR,Wayfair,600</t>
  </si>
  <si>
    <t>171m,Insignia 14-Bottle Wine Cooler (D),"The Insignia 14-Bottle Wine Cooler allows you to store your wine and other drinks at an ideal temperature, so they are always ready to drink. Perfect for any gathering, store up to 14 bottles of wine in an organized layout. With a reversable door and adjustable legs, the cooler doesn t have to stay just in the kitchen. Finally, this appliance adds a modern look to any space with its stainless-steel finish and tempered glass door.",1,,ATXSUGAR,"Best Buy, Best Buy, Best Buy",175</t>
  </si>
  <si>
    <t>71m,"Windster Hoods 30"" External-Vent Stainless-(D)","Keep your air clean and odor-free with the WS-23 30"" Under Cabinet range hood. It features 4-speed electronic touch control, and a baffle filtration system with 2 stainless steel filters. Built-in LED lights keep your stovetop well-lit, while gesture sensing/hand motion control allows you to keep your hands free and focus on cooking tasks. Gesture sensing / Hand motion control Dishwasher-safe baffle filters Energy efficient LED lighting system 4-speed electronic touch control with 3-minute delay shut-off.",1,,ATXSUGAR,,707</t>
  </si>
  <si>
    <t>81m,"KOHLER Memoirs 2-Piece Toilet, 1.28 Gpf (D)","Two-piece design Round-front bowl offers an ideal solution for smaller bathrooms and powder rooms Comfort Height feature offers chair-height seating that makes sitting down and standing up easier for most adults 1.28 gpf (4.8 lpf) Left-hand Polished Chrome trip lever 2-1/8 in. (54 mm) fully glazed trapway ContinuousClean system automatically dispenses cleaning solution with every flush Works with any white toilet bowl cleaner tablet</t>
  </si>
  <si>
    <t xml:space="preserve"> Tablets last up to six months in ContinuousClean ST system AquaPiston canister optimizes the flow out of the tank, harnessing gravity and the natural powerful reducing cascade of water to increase the power and effectiveness of the flush.",1,,ATXSUGAR,,503</t>
  </si>
  <si>
    <t>86m,4-Nozzle Liquid Filler for 1-30 oz Bottles -(D),"Desktop Version Automatic Line: This compact 4-nozzle automatic liquid filling machine line integrates liquid filling machine, belt conveyor, and infrared sensor. It has the automatic sensing, filling, and transportation functions similar with automatic filling lines. You can complete automated production work on any workstation, making it very suitable for small enterprise production. Independent Control: The filling speed of each pump can be controlled independently. So that you can easily adjust the speed value to fill bottles in different sizes. Application Of Bottles: The bottle s diameter should be within 20-90mm, and the height of the bottle should be within 40-400mm.",1,5.00,ATXSUGAR,Amazon Bstock,799</t>
  </si>
  <si>
    <t>91m,"42"" Swage Cable Railing Kit, 164ft 1/8"" -(B)","Super Easy DIY: This all-in-one deck railing kit has everything you need for a simple and cost-effective installation, except for the top handrail and cable crimper (search ""Zylorix handrail black"" if needed). Its versatility allows it to work with any SKU, other Zylorix components, and both wood and metal handrails, creating a sleek, modern look. By eliminating the hassle of sourcing individual parts and reducing errors, it saves you time and money for building stylish decks, patios, porches, balconies, etc Safety Compliance: The 42-inch wire railing post kit complies with building codes for both commercial and residential applications. Each post measures 41"" x 2"" x 2"" and features 12 holes spaced 3 1/8"" apart. The kit meets the 4-inch sphere building code. The 1/8"" 7x7 cable is tested to withstand 220 lbs, supports a maximum cable run of 20 ft, and allows for post spacing of 4 ft, ensuring safety and proper cable tension.",1,5.00,ATXSUGAR,Amazon Bstock,210</t>
  </si>
  <si>
    <t>96m,Broan 21-in Convertible 300-CFM Hood-(B),"From the leader in residential indoor air quality, this Broan  custom range hood insert is the perfect solution for cabinet installations and custom kitchen designs featuring a smooth, stainless-steel surface that is easy to clean with quick-release dishwasher-safe filters. The kitchen is the most polluted room in the house regardless of type of cooking appliance</t>
  </si>
  <si>
    <t xml:space="preserve"> everything from smoke, odors and chemicals is in the air. The range hood is often forgotten as the primary and most effective way to get the pollutants out of the home. This range hood is HVI certified   designed to provide efficient ventilation with 300 Max Blower CFM to remove the pollutants and improve the air you breathe. While ventilating the kitchen air this range hood is still quiet at a sound level of 3 sones on normal speed, which is as loud as normal conversation. The bright 1-level, heat resistant LED lighting makes even the worst cook s recipe look great.",1,,ATXSUGAR,,249</t>
  </si>
  <si>
    <t>101m,Whirlpool 30 inch Single Electric Wall Oven (D),"Introducing the Whirlpool 30 inch Single Electric Wall Oven, a blend of style and functionality designed for modern kitchens. This sleek, black oven features a stainless steel front that adds a touch of elegance while ensuring durability. Inside, you'll find a spacious cooking area with multiple rack positions to accommodate a variety of dishes. The oven is equipped with advanced electronic controls and a digital display for precise temperature settings, making it easy to achieve perfect cooking results every time. The oven's interior is designed for easy cleaning, with smooth surfaces and a reliable self-cleaning function. It also features multiple cooking modes, including bake, broil, and more, allowing for versatile meal preparation.",1,,ATXSUGAR,,1100</t>
  </si>
  <si>
    <t>106m,GE 28 in. Laundry Pedestal with 16 in. Height (C),"At GE Appliances, we bring good things to life, by designing and building the world's best appliances. Our goal is to help people improve their lives at home by providing quality appliances that were made for real life. Whether it's enjoying the tradition of making meals from scratch or tackling a mountain of muddy jeans and soccer jerseys, GE Appliances are crafted to support any and every task in the home.. Appliance Category: Appliance Parts. Appliance Series: Not Applicable. Appliance Type: Laundry Pedestal.",1,,ATXSUGAR,,299</t>
  </si>
  <si>
    <t>186m,GE 28 in. Laundry Pedestal with 16 in. Height (D),"At GE Appliances, we bring good things to life, by designing and building the world's best appliances. Our goal is to help people improve their lives at home by providing quality appliances that were made for real life. Whether it's enjoying the tradition of making meals from scratch or tackling a mountain of muddy jeans and soccer jerseys, GE Appliances are crafted to support any and every task in the home.. Appliance Category: Appliance Parts. Appliance Series: Not Applicable. Appliance Type: Laundry Pedestal.",1,,ATXSUGAR,,299</t>
  </si>
  <si>
    <t>111m,"48"" Adjustable Height Backsplash with Shelf - (C)","Enhance your kitchen with this 48"" Professional Adjustable Height Backsplash featuring a convenient shelf. Designed for versatility and functionality, this backsplash is crafted to suit various cooking environments. The stainless steel construction adds a modern touch while ensuring durability and easy cleaning. Perfect for creating a safe and efficient workspace, it seamlessly integrates into your kitchen design. Ideal for serious cooks and culinary enthusiasts alike, this backsplash offers both style and practicality.",1,,ATXSUGAR,,999</t>
  </si>
  <si>
    <t>116m,"Oneluck Extra Large Cat Litter Box, 27.5in - A","Giant Litter Box 27.5""L x17.7""W x17.7""H, Surprisingly large litter box for big cats and multiple cats such as Maine cats, no matter how big the cat is  Extra High Wall Litter Box The height of the wall of the high side litter box is twice as high as that of an ordinary litter box, the high wall can block the cat litter inside the litter box, no need to worry about the cat litter scattered everywhere  Cat Litter box With Cover Features a removable cover, You can choose between open or closed cat litter boxes according to the cat's preference.  Honeycomb Design Trap Litter  23.6"" Cat litter mat has a holes design, When cat walks out , all the litter and dirt attached to the paws will be captured  Note Before purchasing, please confirm the size. Don't underestimate its size. It is even larger than the XXXL stainless steel cat litter box.",1,5.00,ATXSUGAR,PDX7,110</t>
  </si>
  <si>
    <t>121m,Rythym Vibration Plate (C),"Rhythm Vibration Plate Feel steady, strong, and supported at every step. The Rhythm Vibration Plate delivers controlled linear motion and features secure handrails for extra confidence during use. Build strength and stamina at your pace, encourage healthy circulation, and move more freely with less joint strain. It s an easy, low-impact way to stay active and improve balance from the comfort of home.",1,,ATXSUGAR,,515</t>
  </si>
  <si>
    <t>11,Char-Broil 6-Burner Griddle Inserts,"Perfect for Charbroil Performance 6 Burner Series Grills Flat Top Grill Griddle compatible with charbroil Grills model 463228622 463284422 463229021 463229521 463229521B, Replacement Parts for 463259223 Grills. Note Because the Performance Series grills are manufactured in different years, the dimensions vary, so please check whether the front and back of the grill is 17 inches or 18 inches in length before purchasing.  Compatible with Char-Broil Original Part Number G426-0004-W1 G426-0005-W1. Huge Cooking Area 17 x 30.7 inches griddle, cooking steaks, pasta, vegetables, potatoes, stir fry as you like and enjoy the barbecue. Make sure you measure the size of your grill and compare with ours before you order.  Package Includes The package includes 1 Pack Full-Size Coating Insert Flat Top Grill Griddle.",1,5.00,ATXSUGAR,Amazon Bstock,130</t>
  </si>
  <si>
    <t>126m,LG 7.4 cu. ft. Vented Gas Dryer - Black Steel - (W,"This LG dryer is designed to put time back on your side. When there's no time to wash, quick and easy TurboSteam technology refreshes clothes and eases wrinkles in just 10-minutes. Forget about endless sorting or toggling through cycles. Built-in intelligence detects fabric texture and automatically selects the perfect settings, taking out the guesswork. Activate Smart Pairing in the ThinQ app, and the washer can even tell the dryer to select a compatible drying cycle, making it the ultimate laundry hack. Plus, with ThinQ Care, you can start and stop the dryer when you're on the go-and get preventative maintenance tips and alerts to keep your dryer running at its best.",1,,ATXSUGAR,,1298</t>
  </si>
  <si>
    <t>131m,"DG Casa Reign Boucle Platform Bed, Queen -(W4)","TRADITIONAL STYLE TRANSFORMED - Take the traditional style of a classic wood framed queen size bed and add in DG Casa s modern flair   what do you get? The DG Casa Reign Solid Wood Queen Bed. The soft beige, boucle fabric upholstered headboard and bold walnut wood frame of this queen bed frame make it just the right addition to any modern home. SUBTLE YET EYE CATCHING DETAILS   The way the posts on the headboard and footboard taper off in a conical fashion add distinct style to this already beautifully built bed frame. Architectural Digest, here we come! NO BOX SPRING NEEDED   Expertly crafted and made to last, this queen bed frame will have you feeling safe and secure. The bed frame is built from durable solid wood construction to promote stability and longevity. Plus, with the built-in wood slat system, you won t even need a box spring.",1,5.00,ATXSUGAR,"Wayfair, Amazon Bstock",499</t>
  </si>
  <si>
    <t>136m,"Felicia Clear Glass French White Doors - Size: 36""","Sartodoors - the European doors of modern and traditional design. French style here! Best choice for bedroom, bathroom, or closet - warm look and bright colors, high-quality materials, and soft opening. Finish - eco-veneer made in Italy. It is not recommended to paint. The door is made of a solid wood core. Thickness of the door - 1 9/16",1,,ATXSUGAR,,1307</t>
  </si>
  <si>
    <t>141m,"YITAMOTOR 6.5"" Running Boards   Ram Crew Cab -(C)","Fit for 2009-2018 Dodge Ram 1500/2019-2024 Ram 1500 Classic Crew Cab, 2010-2026 Ram 2500/3500 Crew Cab. Please check the Cab size picture if you do not know the model of your vehicle. 6.5"" wide stylish black stainless steel pad provides textured surface for excellent footing. Each side can support up to 350lbs. Our running boards are expertly crafted from a solid piece of premium aluminum alloy, which is sturdy, durable, wear-resistant and rust-resistant. After repeated tests, they can resist corrosion from salt spray, and withstand UV radiation without discoloration.",1,5.00,ATXSUGAR,Amazon Bstock,160</t>
  </si>
  <si>
    <t>17,"Fence Posts 7 Ft 16 Pack, No Dig U Post Black","Heavy Duty Metal Post: Our t posts are made of 0.08"" (2mm) rugged steel to ensure the durability of the fence post</t>
  </si>
  <si>
    <t xml:space="preserve"> our metal fence posts are processed with powder-coated finish that makes the fence posts rust resistant and stable in harsh weather condition What You Will Get: 16 pack of black metal fence stakes for wire fencing</t>
  </si>
  <si>
    <t xml:space="preserve"> Total height of each fence post is 7 ft, with 1 ft under the ground, great for 6 ft welded wire, hardware cloth, steel wire, ropes and other utility fence Detailed Design: Adjustable tabs design allows you to easily attach and secure your rolled fence product to post</t>
  </si>
  <si>
    <t xml:space="preserve"> U-channel design that makes the fence posts more rigid and less prone to bending No Dig and Easy to Use: You can drive garden post into ground with a hammer or a post driver until anchor plate is below ground level</t>
  </si>
  <si>
    <t xml:space="preserve"> The anchor plates provide additional support and stability, making our steel fence posts less prone to tilting Wide Application: The metal stakes for fence are suitable for holding garden fence, corner anchor post, gate post</t>
  </si>
  <si>
    <t xml:space="preserve"> Ideal for various outdoor scenes, such as farm, garden, orchard, roadside</t>
  </si>
  <si>
    <t xml:space="preserve"> steel fence posts effectively protect your plants and animals from other organisms.",1,5.00,ATXSUGAR,Amazon Bstock,130</t>
  </si>
  <si>
    <t>146m,Caterina 9-Drawer Dresser (ENDCAP),"The Caterina Dresser, a study in refined elegance, offers ample storage with nine spacious drawers. The top center drawer, lined with gray felt, provides a secure haven for delicate jewelry. Its white oak finish lends a timeless appeal to any bedroom. Orientation : Horizontal Product Type: Standard Dresser / Chest Material: Solid + Manufactured Wood Drawers Included: Yes Number of Drawers: 9 Drawer Glide Type &amp; Extension: Undermount Glides Drawer Glide Material: Metal Interlocking Drawers: No Finished Back: Yes Tipover Restraint Device Included: Yes Kiln-Dried Wood: Yes Wood Species: Oak Imported: Yes Product Care: Clean spills immediately</t>
  </si>
  <si>
    <t xml:space="preserve"> Wipe clean with a dry cloth</t>
  </si>
  <si>
    <t xml:space="preserve"> Do not use harsh chemicals or cleaners Removable Drawers: Yes Multiple Drawer Sizes: Yes Largest Drawer Weight Capacity: 75 Lined Interior: Yes Handle Color: Bronze Color: White Oak Handle Design: Ring Pulls.",1,5.00,ATXSUGAR,Wayfair,3315</t>
  </si>
  <si>
    <t>151m,Madalyn 12 - Light Candle Style Wagon Wheel Chande,"This Madalyn 12-light candle-style wagon wheel chandelier evokes a rustic, farmhouse aesthetic in your large room and living room space. We love that it is height adjustable (from 40 to 138 ) and sloped ceiling compatible as that gives you versatile options for placement. The round backplate, chain, and ring - which measures 40 wide - are crafted from metal in your choice of finish. And, the 12 candle-style oversized chandeliers holder (candelabra bulbs sold separately) are exposed, so they give off a boost of brightness and light. Fixture Design: Candle Style</t>
  </si>
  <si>
    <t xml:space="preserve"> Wagon Wheel Canopy Included: Yes Light Fixture Shape : Wagon Wheel</t>
  </si>
  <si>
    <t xml:space="preserve"> Classic / Traditional Number of Lights: 12 Adjustable Length: Yes Number of Light Tiers: 1 Light Direction: Ambient Shade Included: No Fixture Material: Metal Sloped Ceiling Compatible: Yes Sloped Ceiling Adapter Required: Yes Integrated LED: No Bulb Not Included But Required: Yes Bulb Base: E12/Candelabra Dimmable: Yes Voltage: 120 Maximum Wattage (Per Bulb): 60 Power Source: Hardwired Smart Enabled: Yes Metal Type: Steel Metal Type: Steel Metal Type: Steel Metal Type: Steel Metal Type: Steel Metal Type: Steel Metal Type: Steel Metal Type: Steel Metal Type: Steel Metal Type: Steel Craftsmanship Type: Hand Painted Imported: Yes Designer: ACROMA Dry, Damp or Wet Location Rated: Dry What is Dry, Damp or Wet Location Rated?: This indicates whether the fixture is safe to use in dry locations, damp locations (moist environments), or wet locations (direct exposure to water). Safety Listing(s): ETL Listed</t>
  </si>
  <si>
    <t xml:space="preserve"> UL Listed</t>
  </si>
  <si>
    <t xml:space="preserve"> cETL Listed.",1,5.00,ATXSUGAR,Wayfair,334</t>
  </si>
  <si>
    <t>156m,Wilmington Panel Bed (Headboard) -(ENDCAP),"Introducing the Wilmington Panel Bed, a pinnacle of sophistication and comfort for your bedroom sanctuary. Crafted with precision and care, this exquisite piece embodies the epitome of transitional casual lifestyle design, seamlessly blending timeless elegance with contemporary allure. Constructed with sturdy mindi veneer, renowned for its durability and stunning grain patterns, this bed ensures long-lasting quality and aesthetic appeal. The wire-brushed texture adds a touch of rustic charm, enhancing the natural beauty of the wood while offering a tactile and visually appealing surface. Finished in a captivating sand hue, this bed exudes warmth and tranquility, creating a soothing ambiance that invites relaxation and rejuvenation. Whether nestled in a coastal-inspired retreat or a modern urban loft, its versatile design effortlessly complements a variety of decor styles, making it a versatile choice for any bedroom setting.",1,5.00,ATXSUGAR,Wayfair,1282</t>
  </si>
  <si>
    <t>166m,Destinymarie Freestanding Linen Cabinet - Finish:,"Discover enhanced storage possibilities with our linen storage cabinet, a perfect blend of compact design and ample space, measuring 16 W x 65 H x 22 D. Crafted from durable engineered wood, this cabinet features a sophisticated design including upper and lower doors, crown molding, shaker legs, and zinc hardware, exuding timeless elegance. The top and bottom cabinets equipped with adjustable shelves provide substantial room for toiletries, towels, and more. Experience versatility, convenience, and tranquillity with soft-close doors and two adjustable shelves. Arriving fully assembled, it streamlines setup and seamlessly integrates with our bathroom vanity collection. Product Type: Linen Cabinet Material: Manufactured Wood Bathroom Cabinet Included: Yes Shelves Included: Yes Doors Included: Yes Tipover Restraint Device Included: No Tipover Restraint Device Included: Yes Imported: Yes Durability: No Durability Features Adjustable Shelves: Yes Handle Finish: Brushed Nickel Handle Finish: Brushed Nickel Handle Finish: Brushed Nickel Handle Finish: Brushed Nickel Handle Finish: Matte Black Handle Finish: Gold Handle Finish: Brushed Nickel Finish: Gold Finish: Matte Black Finish: Brushed Nickel Finish: Brushed Nickel Finish: Brushed Nickel Finish: Blue Finish: Natural Oak Finish: Grey Handle Material: Metal Door Material: MDF Soft Closing: Soft Close Drawer Glides Wayfair Verified: Yes.",1,5.00,ATXSUGAR,Wayfair,430</t>
  </si>
  <si>
    <t>176m,Marcy Olympic Weight Bench with Leg Developer (W3,"PRODUCT DESCRIPTION Tone your body as if it s summer every day, and get the total home-gym workout with this exceptional all-in-one Olympic weight bench by Marcy. The Competitor Olympic Bench has a multi-position back pad that can be altered to suit your workout routine. It has independent, adjustable-height crutches with quick-release pop-pin knobs to match ideal training position while providing maximum comfort and safety. The multiple seatback positions let you perform many different training exercises. Work out in chest, decline, military, and incline lifting positions with this weight bench. Train not only your upper body, but your lower limbs too.",1,,ATXSUGAR,,330</t>
  </si>
  <si>
    <t>181m,"800 Series 42"" Island Range Hood -(B)","Stylish island hoods perfectly complement island cooking installations. Exhaust Method: Convertible What does ""Convertible"" mean?: Convertible range hoods can be installed with external venting or without venting (recirculating). However, carbon non-ducted filters or a recirculation kit may need to be purchased separately for recirculating ventilation. Recirculation Kit Needed: Yes Duct Shape: Round Hardware Finish: Stainless Steel Material: Stainless Steel Air Discharge Direction: Horizontal</t>
  </si>
  <si>
    <t xml:space="preserve"> Vertical Exhaust Vent Location: Top Power Source: Hardwired Amperage: 15 Filter Type: Mesh Washable Filter: Yes Filter Material: Stainless Steel Maximum Air Movement (CFM): 600 Speed Control: Yes Maximum Sones: 9.9 Minimum Sones: 4.6 Lighting Included: Yes Bulb Included: Yes Compatible Bulb Type: Halogen Bulb Wattage: 20 Blower Type: Interior Unit Compatible Range Hood Chimney Extension Part Number: HCIEXT5UC Damper Included: Yes Total Number of Pieces Included: 3 Timer: Yes Imported: Yes Color / Finish: Silver Number of Speeds: 4 Voltage: 120 Pieces Included: Bulb Number of Bulbs Included: 4 Safety Listing(s): cUL Listed</t>
  </si>
  <si>
    <t xml:space="preserve"> UL Listed.",1,5.00,ATXSUGAR,Best Buy,2750</t>
  </si>
  <si>
    <t>191m,30 in Smart Wall Mount Hood with LED -(B),"Smoke, grease and cooking odors have no place in your kitchen. But neither do bulky hood vents that overpower your design sensibilities. LG wall-mounted hood vents offer a streamlined, low-profile look that occupies minimal visual space, paired with a professional-grade 600 CFM blower that delivers ultimate air movement. The theme of powerful performance and refined style continues, with dual level LED lighting that brilliantly illuminates the cooktop surface and sophisticated, touch controls. Available in 30 in. And 36 in.",1,5.00,ATXSUGAR,Best Buy,979</t>
  </si>
  <si>
    <t>196m,"LG 27"" Pedestal Storage Drawer, Smooth Black -(C)",Laundry detergents and supplies. With a basket to keep things neat. Comfortable loading and unloading. Product Type: Laundry Pedestal Compatible Appliance Type: Washing Machine / Dryer Universally Compatible: No Material: Steel BPA Free: Yes Imported: Yes Durability: No Additional Durability Color / Finish: Black Steel.,1,5.00,ATXSUGAR,Best Buy,324</t>
  </si>
  <si>
    <t>201m,"Whirlpool 30"" Gas Cooktop - Stainless Steel -(B)","Whirlpool 30"" Gas Cooktop finished in stainless steel, designed for both functionality and style. This cooktop features multiple burners for versatile cooking options, allowing you to prepare various dishes simultaneously. The sleek stainless steel surface is easy to clean and adds a modern touch to any kitchen. With safety features and precise control knobs, this cooktop offers an efficient and reliable cooking experience. Ideal for any home chef looking to upgrade their kitchen appliances. Packaging includes additional protective materials to ensure safe transport.",1,5.00,ATXSUGAR,Best Buy,1089</t>
  </si>
  <si>
    <t>206m,"Samsung BESPOKE 35"" Wall Range Hood -(B)","Experience modern kitchen elegance with the Samsung BESPOKE 35 inches Convertible Wall Range Hood in Bespoke Clean Deep Charcoal. This stylish and versatile range hood is designed to enhance your kitchen's functionality while adding a contemporary touch. The robust construction ensures long-lasting performance, featuring a sleek stainless steel front that complements any decor. With dual internal fans, it efficiently captures smoke and odors, maintaining a fresh cooking environment. The hood's convertible design allows for easy installation, giving you the flexibility to choose between ducted and recirculated ventilation options. Included are essential components and accessories for installation, showcasing a thoughtful design that prioritizes both aesthetics and practicality.",1,5.00,ATXSUGAR,Best Buy,1400</t>
  </si>
  <si>
    <t>211m,"ModernLuxe 30"" Vanity with Sink, Soft Close -(D)","This ModernLuxe bathroom vanity combines style and functionality, featuring a sleek 30-inch design with a sophisticated curved profile. The cabinet includes soft-close doors for a quiet, gentle shut and an adjustable shelf to accommodate your storage needs. Crafted from durable rubber wood, the legs provide stability while enhancing the modern aesthetic. The vanity is topped with a beautiful sink, perfectly complementing the overall design. This piece is ideal for contemporary bathroom spaces, offering both elegance and practicality.",1,5.00,ATXSUGAR,"Best Buy, Wayfair",362</t>
  </si>
  <si>
    <t>216m,"Utility Sink 47.2""D x 19.7""W Sink -(D)","Garvee 47.2""W x 19.7""D x 37""H Freestanding Utility Sink Set - Stainless Steel Single Bowl Sink with Workbench, Storage Rack, Hot &amp; Cold Water Pipes for Restaurants, Kitchens, Garages, Laundry Rooms, Farms, Outdoor Use. Suitable for various busy environments.Easy installation, no pro tools needed.Hot &amp; cold water pipes included.Durable, rust-resistant, easy to clean.Includes filter and storage rack.. Color Family: Stainless Steel. Color/Finish: Silver. Faucet Finish: Stainless Steel. Faucet Flow Rate (gallons per minute): 0",1,5.00,ATXSUGAR,"Wayfair, Best Buy",435</t>
  </si>
  <si>
    <t>221m,"NordicTrack T 6.5 S Treadmill 5"" Display -(W3)",,1,5.00,ATXSUGAR,,800</t>
  </si>
  <si>
    <t>226m,"Maxwell Modern Round Dining Table, Sintered Stone","The simple white round dining table makes your home look more modern and elegant. The 360 rotating lazy Susan can be folded up when not needed to provide more dining space. The X-shaped antique carbon steel table legs are avant-garde and full of design sense, and their unique beauty can only be discovered through discerning aesthetics. The modern white round dining table is the best decoration for modern home design. Table Top Shape: Round Top Material: Sintered Stone Base Material: Steel Gloss Finish: Yes Natural Variation Type: Natural Stone Color Variation Leaf Included: Yes Seating Capacity: 4 Seating Capacity: 6 Table Base Type: Pedestal Custom Product: No Imported: Yes Weight Capacity: 250 Base Shape: Cross Base Wayfair Verified: Yes.",1,5.00,ATXSUGAR,Wayfair,1650</t>
  </si>
  <si>
    <t>231m,NordicTrack T 6.5 S Treadmill,"Experience the ultimate in home fitness with the NordicTrack T 6.5 S Treadmill. This high-quality treadmill features a sleek design, perfect for any workout space. It is equipped with a 5-inch LCD display that provides real-time workout stats, including speed, distance, and heart rate. With Bluetooth headphone connectivity and two built-in speakers, you can enjoy your favorite tunes while you exercise. The treadmill includes a device shelf, cup holder, and convenient controls for adjusting incline and speed on the fly. Designed for both functionality and comfort, it has a maximum weight limit of 300 lbs and offers a 10% incline for added challenge.",1,5.00,ATXSUGAR,"Best Buy, Wayfair",800</t>
  </si>
  <si>
    <t>236m,"Frigidaire 36"" Gas Cooktop: Stainless Steel","This Frigidaire 36"" Gas Cooktop in sleek stainless steel offers a modern touch to any kitchen aesthetic. Featuring multiple burners, it provides versatile cooking options for a variety of culinary needs. The durable cast iron grates ensure stability for cookware and distribute heat evenly. Each burner is equipped with easy-to-use controls, allowing for precise adjustments to cooking temperatures. The polished stainless steel surface adds an elegant finish while being easy to clean. Perfect for both everyday meals and gourmet cooking, this cooktop combines functionality with style.",1,5.00,ATXSUGAR,Best Buy,1100</t>
  </si>
  <si>
    <t>241m,"GE Universal 36"" Telescopic Downdraft System","Introducing the GE Universal 36"" Telescopic Downdraft System, designed to enhance your kitchen experience. This downdraft system offers a sleek and modern design, allowing for effective ventilation without compromising space. It features a telescoping design that easily rises for use and retracts when not needed, making it ideal for various kitchen layouts. The unit is equipped to handle powerful cooking needs while maintaining an efficient airflow. The durable construction includes a stainless steel finish that adds a contemporary touch. Installation is straightforward, with clear guidelines provided on the accompanying label.",1,5.00,ATXSUGAR,Best Buy,1380</t>
  </si>
  <si>
    <t>246m,GE Profile 2.2 Cu. Ft Built-In Microwave Oven -(W3,"The GE Profile  2.2 Cu. Ft. Built-In Sensor Microwave Oven combines versatility and style for a modern kitchen. Featuring a sleek black exterior, this microwave offers a spacious interior designed to fit a variety of dish sizes. The built-in sensor cooking feature ensures that your meals are cooked to perfection by automatically adjusting time and power levels. The user-friendly control panel includes options for commonly microwaved items such as pizza, popcorn, and vegetables, making meal preparation easy and convenient.",1,5.00,ATXSUGAR,Best Buy,490</t>
  </si>
  <si>
    <t>251m,Bosch 800 Series Convection Microwave -(W3),"Introducing the Bosch 800 Series 1.9 Cu. Ft. Convection Over-the-Range Microwave with Sensor Cooking in sleek stainless steel. This versatile appliance seamlessly combines functionality with style, featuring a generous 1.9 cu. Ft. Capacity that accommodates large dishes.",1,5.00,ATXSUGAR,Best Buy,1000</t>
  </si>
  <si>
    <t>256m,Upholstered Panel Bed - Size: Queen,"Introducing our Sturdy Upholstered Panel Bed, a perfect blend of style and functionality designed to elevate your bedroom experience. Featuring a luxurious upholstered headboard, this bed adds a touch of elegance while providing comfortable support for your back. The rounded edge design of every corner not only enhances the aesthetic appeal but also ensures safety, making it ideal for families. Our bed frame is constructed with support legs strategically placed in the middle, ensuring optimal stability and sturdiness for a restful night's sleep. With ample space between the floor and the bed frame, you can effortlessly operate your robot vacuum cleaner, maintaining a clean and tidy environment without hassle. The slatted bed frame is thoughtfully designed to promote breathability and ventilation, contributing to a healthier sleep atmosphere.",1,5.00,ATXSUGAR,Wayfair,150</t>
  </si>
  <si>
    <t>18,"Oneluck Extra Large Cat Litter Box, 27.5in","Giant Litter Box 27.5""L x17.7""W x17.7""H, Surprisingly large litter box for big cats and multiple cats such as Maine cats, no matter how big the cat is  Extra High Wall Litter Box The height of the wall of the high side litter box is twice as high as that of an ordinary litter box, the high wall can block the cat litter inside the litter box, no need to worry about the cat litter scattered everywhere  Cat Litter box With Cover Features a removable cover, You can choose between open or closed cat litter boxes according to the cat's preference.  Honeycomb Design Trap Litter  23.6"" Cat litter mat has a holes design, When cat walks out, all the litter and dirt attached to the paws will be captured  Note Before purchasing, please confirm the size. Don't underestimate its size. It is even larger than the XXXL stainless steel cat litter box.",1,5.00,ATXSUGAR,Amazon Bstock,110</t>
  </si>
  <si>
    <t>261m,Monogram 36-Inch Natural Gas Rangetop,"This Monogram 36 Inch Wide Professional Natural Gas Rangetop features a sleek stainless steel design with four powerful burners and an integrated griddle. The burners are crafted for high performance, allowing for precise temperature control and even heating, perfect for all your culinary creations. The griddle provides an additional cooking surface, ideal for pancakes, bacon, or stir-frying. The unit boasts an elegant finish and durable construction, ensuring longevity and a polished look for any kitchen. The knob controls offer a user-friendly interface for adjusting heat levels with ease. This rangetop is designed for culinary professionals and enthusiasts alike, enhancing your cooking experience with both style and functionality.",1,5.00,ATXSUGAR,Best Buy,5400</t>
  </si>
  <si>
    <t>266m,"Bosch 800 Series 30"" Built-In Oven SS","Experience precision cooking with the Bosch 800 Series 30"" Built-In Electric Convection Double Wall Oven, featuring a sleek stainless steel design. This oven combines style and functionality, offering two spacious oven compartments for versatile cooking options. Equipped with advanced convection technology, it ensures even baking results, while the intuitive control panel allows for easy navigation and temperature adjustments. The interior showcases multiple racks, allowing for efficient meal prep and baking. This model not only enhances your kitchen aesthetic but also maximizes cooking efficiency, making it the ideal choice for culinary enthusiasts. The installation is free, ensuring a seamless setup in your home.",1,5.00,ATXSUGAR,Best Buy,4600</t>
  </si>
  <si>
    <t>271m,"KitchenAid 30"" Built-In Oven w Air Fry","This KitchenAid 30"" Built-In Electric Convection Double Wall Oven features a sleek black stainless steel finish, enhancing any kitchen decor. Designed with an innovative air fry mode, it offers versatile cooking options for healthier meals. The double wall oven design includes two spacious oven compartments, perfect for multi-item baking and cooking. Equipped with advanced convection technology, this oven ensures even cooking results, while the smart control panel provides convenient operation and programming options. The elegant design is complemented by large, easy-to-clean glass doors, giving you a clear view of your culinary creations. Ideal for both everyday use and special occasions, this built-in oven combines functionality with style.",1,5.00,ATXSUGAR,Best Buy,3960</t>
  </si>
  <si>
    <t>301m,MISC FURNITURE PALLET,Various prices from different bed frames from wayfair.,1,5.00,ATXSUGAR,Wayfair,5000</t>
  </si>
  <si>
    <t>22,"Geekpure 20"" Clear Whole House Filter Housing","20 Inch clear housing,1""brass NPT inlet/outlet,with plastic wrench,screw and metal bracket ,air relase valve easy to replace Clear housing allows you to see when you need to change filters and everything else works as it should It is Installed at the main water supply and produce pure water for your entire home. Enjoy better water from every tap and every appliance in the whole house Fits standard sized 4-1/2 inch diameter by 20 inch whole house cartridges.Large capacity housing for high flow applications. Matched filter cartridges options, please refer and search product ASIN: B07798RFVH | B07JM78FXT | B07JNL4QFS | B07TNJ86KZ | B07TPLK752 | B07JMMGND9 | B081DH69JX via Amazon Pack of 1,Housing only. Filter cartridges are sold separately.NOTE:THE MATERIAL OF CLEAR HOUSING IS NOT STRONG AS BLUE COLOR HOUSING,SUGGESTED WORK PRESSURE IS UNDER 50 PSI.",1,5.00,ATXSUGAR,Amazon Bstock,63</t>
  </si>
  <si>
    <t>23,Zhehao 10 Pack Cake Containers with Lids,"Value Serving Trays with Clear Lids and Sporks: you will receive 5 pcs disposable serving trays with lids in 9 inches, 5 pcs serving trays with lids in 12 inches and 10 pcs disposable sporks</t>
  </si>
  <si>
    <t xml:space="preserve"> Catering tray is 4.7 inches in height</t>
  </si>
  <si>
    <t xml:space="preserve"> Sufficient quantity and various sizes can meet your daily usage and diverse demands Trustworthy Material: our serving food trays are made of quality plastic material, without pungent smell, safe and reliable to use, no breaking or splitting, wear and tear resistant, ideal for storing, displaying and transporting foods</t>
  </si>
  <si>
    <t xml:space="preserve"> The raised edges help keep your food displays on the tray where they belong, so you spend less time cleaning up messes Clear and Leak-proof Lids Design: each clear cake box comes with a transparent dome lid, allowing you to easily see what's inside, colorful icings and fresh cake will be clearly visible</t>
  </si>
  <si>
    <t xml:space="preserve"> The lid is tightly sealed, locking the freshness and deliciousness of the food, effectively keeping dust and debris away from your food Easy to Carry: our disposable catering trays can be applied to store many foods, such as cookies, cakes, sandwiches, pies, fruits, cheese, vegetables, snacks, bread, candy and other desserts, and they can also be utilized to store some small items, like buttons, pins, crafts</t>
  </si>
  <si>
    <t xml:space="preserve"> You can easily transport or carry without worrying about spills and messes Wide Applications: the plastic cake trays can be applied for various holiday parties, home, restaurants, hotels, bakeries, dessert shops, fruit shops, weddings and more</t>
  </si>
  <si>
    <t xml:space="preserve"> They are also proper for camping, picnics, travel, gathering and many other outdoor activities</t>
  </si>
  <si>
    <t xml:space="preserve"> You can also add icon, sticker or label to personalize your tray.",1,5.00,ATXSUGAR,Amazon Bstock,40</t>
  </si>
  <si>
    <t>24,"Hexagon EVA Boat Flooring, Self-Adhesive","Elastic, not easy deformation, not easy to tear. High Density, not easy to damage. Self-adhesion, easy to installation. Stain resistant &amp; very easy to maintain, can also be pressure washed Provides a non-slippery surface for your boat in both wet &amp; dry conditions.",1,5.00,ATXSUGAR,Amazon Bstock,85</t>
  </si>
  <si>
    <t>25,KEESHA Grill Kit for Charbroil 4-Burner,"PACKAGE CONTAINS: 3 x Cast Iron Cooking Grate (2 x wide grate + 1 x narrow grate), 4 x Stainless Steel Heat Plates, 4 x Stainless Steel Burner Tube, 3 x Adjustable Carryover Tube and 1 x Ignition. This Charbroil 4-Burner Grill Replacement Parts Kit provides comprehensive solutions for grill maintenance, specifically designed for charbroil grill replacement parts 4 burner systems to restore optimal functionality. COOKING GRATE: Wide grate ( 18.1"" x 9.25"") replacement parts for Charbroil original part number G470-0002-W1, G321-0005-W1</t>
  </si>
  <si>
    <t>26,Dyna-Living Bubble Waffle Maker 1400W,"180  ROTATING EVEN HEATING: Dyna-Living bubble waffle maker with 1400W high power, the stainless steel connecting pipe has good heat transfer, you can make a piece of 30 cones egg bubble waffle within 3 minutes</t>
  </si>
  <si>
    <t xml:space="preserve"> 180  rotating the dual plates, this bubble waffle maker ensures even coloring, perfect and full shape of every egg waffle. PRECISE CONTROL TEMP &amp; TIME: With the adjustable temperature knob from 122 /50  to 482 /250 , you can precisely control the temperature according to your needs to make crispy egg waffles</t>
  </si>
  <si>
    <t xml:space="preserve"> The 0-5 minute timer knob and working status indicator light help save energy and prevent overheating, let you make puff waffles easily. NON-STICK COATING: The non-stick coating bubble waffle iron plates conduct heat evenly and heat up quickly. It prevents the dough from sticking and can make crispy egg waffles. USER-FRIENDLY DESIGN: Heat-resistant long wooden handles are ergonomically designed, scald-proof and labor-saving. The stainless steel heavy-duty base and non-slip rubber feet stabilize our bubble waffle maker machine without leaving scratches on the tabletop.",1,5.00,ATXSUGAR,Amazon Bstock,79</t>
  </si>
  <si>
    <t>27,10 Pcs 17oz Christmas Ceramic Mugs Gift Set,"Pastel Christmas Mugs Set: Celebrate the season with 10 uniquely designed 17oz porcelain pastel Christmas mugs! Featuring 10 distinct festive patterns and handles, our Christmas mugs set offers comfort, style, and easy cleaning. Ideal for daily use, parties, or holiday gifting. Note: Not dishwasher-safe, Hand-wash only Christmas Theme Design: Each pink holiday mug is a festive mini canvas, featuring snowflakes, trees, gingerbread and snowman, and graceful reindeer. These joyful Xmas designs turn every sip into a magical Christmas moment full of warmth and cheer Reliable Material: Crafted from quality ceramic, these cute Christmas ceramic mug feature a smooth surface and rim for comfortable sipping. Long-lasting and resistant to cracks or fading, they're reusable, suitable for daily use or gifting, ideal for hot cocoa, coffee, tea, and more during the holiday season Convenient Size: These 17oz Whimsical Ceramic Mugs are thoughtfully sized at 4.13"" x 2.6"" with a 3.9"" top diameter easy to hold, space-saving, and compatible with most coffee machines. An ideal blend of style and function for daily use or holiday gatherings Versatile Cups: More than just drinkware, these Hot Cocoa Christmas mug set double as festive decor.",1,5.00,ATXSUGAR,Amazon Bstock,50</t>
  </si>
  <si>
    <t>28,"Electric Warming Tray 39""x14"", 9-Level Temp","Spacious 39""""x14"""" Surface for Large Gatherings  Designed to host effortlessly, this oversized electric warming tray accommodates multiple dishes simultaneously from oblong platters and square pans to round chafing dishes. With 30% more space than standard trays, it s the ultimate solution for weddings, holiday parties, or buffet-style events where ample serving room is essential.  Elegant Tempered Glass Design with Rapid &amp; Even Heat Distribution  Crafted from ultra-durable 20mm toughened glass and framed with brushed stainless steel, this electric warming trays for food combines sophistication with professional performance. The advanced heating system ensures 8s fast heating and no cold spots, delivering consistent warmth across the entire surface while complementing upscale table settings and kitchen decor.  Smart Touchscreen  Upgrade your buffet setup with this extra-large warming trays for buffets party featuring an intuitive LED touchscreen. Easily toggle between 8 specialized modes (warming, defrost, drying, timer, etc.) and adjust temperature in precise 20 F increments from 100 F to 260 F.",1,5.00,ATXSUGAR,Amazon Bstock,86</t>
  </si>
  <si>
    <t>31,"IDL Packaging Kraft Paper Roll, 50lb USA-made","NON-COATED CLASSIC BROWN PAPER ROLL: Kraft (craft) paper roll, 36 inches wide and 720 feet long with a total area of 2160 sq. Ft. Attractive light brown color. The heavy-duty 50 lbs kraft paper. Made of natural, pure, virgin pulps - 100% recycled material. Thick and soft packaging paper of the highest quality.",1,5.00,ATXSUGAR,Amazon Bstock,105</t>
  </si>
  <si>
    <t>33,TOPRATED Electric Warming Tray 24x16,"Extra Large Size &amp; Resistant to Pressure and Falling Do you think the traditional warming cutting board is too small? We offer huge sizes to solve this problem,It s no problem to place 6 to 8 dishes. The plate is made of tempered glass, which is smooth and flat, resistant to pressure and falling. You can put the pot directly on it. Perfect for family gatherings, buffets and restaurants. 8 control modes, 10 minutes heating Our products include 8 types of milk, tea, food, wine heating, timing, constant temperature insulation, food thawing and drying. The control mode is suitable for all kitchen utensils and tableware on the market, and is suitable for multiple scenarios such as hot milk, food keeping, hot pot slow cooking, etc.",1,5.00,ATXSUGAR,Amazon Bstock,60</t>
  </si>
  <si>
    <t>34,"Noodle Board Stove Cover, X-Chef 30x22"" Bamboo","DURABLE &amp; HIGH-CLASS: The X-chef stove top cover is made from high-grade natural bamboo wood, featuring a tough texture and enduring durability. It perfectly fits various stove types, including glass, electric, and gas stoves, ensuring a secure and snug fit. As a natural material, bamboo may experience slight warping or dimensional changes with variations in temperature and humidity. This is a normal characteristic that does not affect the durability or functionality of the product.  MULTI-FUNCTIONAL: This stove top cover board can protect your stove surface against scratches and other physical damage during daily use. Also used as a noodles cutting board, food serving tray, sink cover, and more.",1,5.00,ATXSUGAR,Amazon Bstock,50</t>
  </si>
  <si>
    <t>36,"XL Cutting Board 20x15"" Bamboo, 1"" Thick","Extra Large and Thick: This bamboo cutting board measures 20  x 15  large and 1  Thick. Extremely durable. Resist to heavy-duty carving, chopping With side handles: Easy to hold, serve as a cheese board, charcuterie board in the party Deep juice grooves catch meat juice or water. Keep your countertop dry and clean all the time Pleasant Gift at Any Occasion: A gift that to be used everyday, nothing beats this. Suitable for any occasion such as father s day, mother s day, birthday, anniversary, Christmas, etc. Gift it to a friend or a family member for housewarming Easy to clean: Handwash under running water.",1,5.00,ATXSUGAR,Amazon Bstock,39</t>
  </si>
  <si>
    <t>37,"Natural Black Marble Cutting Board, 16x20","Made of 100% Marble : Durability &amp; Sturdiness. Polished surface, beveled edge, and round corner. Each piece is unique with natural veins. Hand wash only. Size &amp; Weight: Measuring L/W/H: 20*16*0.7 inch(400*500*18 mm), weight: about 22 Lbs. Non-Slip: The bottom of this natural marble cutting board is equipped with non-slip feet to prevent slipping and protect your furniture and counter from scratches.",1,5.00,ATXSUGAR,Amazon Bstock,70</t>
  </si>
  <si>
    <t>38,Zebrabox PVC Faux Wood Wire Rack Covers,"Durable, Easy to Clean, and Moisture Resistant - Crafted from 5mm thick Foamed PVC material, our Wire Shelf Covers are not only durable but also easy to clean. The non-wood construction ensures they are more resistant to moisture, making them perfect for Kitchen Storage Accessories and Weight Pantry Shelves Covers. Versatile and Wide Range of Applications - Perfect for closet, home, store, and office use, our 6 Pcs PVC Faux Wood Shelf cover measure 35 x 16 inches and are suitable for a variety of wire shelving sizes. These Removable Closet and Pantry Shelves Covers can be used in any room where a touch of style and organization is needed. Easy and Quick Installation - Our PVC Faux Wood Shelf Liners are designed for simplicity, allowing for tool-free and expert-free installation. Our shelf set comes with 12 acrylic right angle Stand and a bottle of adhesive!To install, you just need to apply glue evenly to the grooves and then fold up the clips to fit.These Wire Rack Covers snap into place, making them ideal for renters and those who need to frequently rearrange their space.",1,5.00,ATXSUGAR,Amazon Bstock,80</t>
  </si>
  <si>
    <t>39,"tobyto Reusable Grocery Bag on Wheels, 105L","Reusable Grocery Bag on Wheels: Featuring smooth-rolling 360  swivel wheels, this rolling bag supports effortless transport across diverse settings from busy grocery aisles to urban pathways, helping simplify daily tasks with enhanced mobility Reinforced Support &amp; Heavy-Duty Capacity: Featuring a sturdy built-in baseboard for extra stability, this shopping bag can handle loads up to 66lbs, providing reliable support for groceries, work supplies, or outdoor gear without compromising durability All-in-One Organizing Bag for Professionals: Whether you're a teacher carrying supplies, a makeup artist with kits, a delivery driver transporting orders, a trucker needing extra storage, or an athlete hauling gear, this rolling tote adapts seamlessly to your needs Foldable Tote Bag on Wheels: Folds flat for space-saving storage in tight spots like car trunks or closets, while adjustable shoulder straps and ergonomic handles offer flexible carrying options for stairs, crowds, or hands-free convenience ersonal Item Travel Bag:A spacious interior with separate pockets helps keepitems in place. Combined with the sturdy frame and smooth wheels, tobytorolling tote is built to streamline your journey.",1,5.00,ATXSUGAR,Amazon Bstock,50</t>
  </si>
  <si>
    <t>40,"Goodhoily 2 Pack Anti-Vibration Pad 24"" x 24""","STURDY HEAVY DUTY RUBBER- The rubber material is very dense,it Made of the highest quality soft rubber,absorb sound to the maximum extent.   PREVENT SCRATCHING THE GROUND-These vibration isolators pad used to help prevent scratches on floors and other surfaces,When your machine is working.Tips: Do not use our shock-absorbing pads for outdoor generators, because the temperature resistance range of the pads is between -22 and +212 degrees Fahrenheit. The temperature of the generator is too high and exceeds the temperature of the pads, which will cause the product to bubbles.   Flexible ENOUGH- It won't break like other poor quality rubber ,flexible enough to move it where you want.   DENSE AND FIRM- It s heavy too,which sugest its able to resist the pressure of weight. Is not only suitable for small electrical appliances but also for large electrical appliances to provide efficient service.",1,5.00,ATXSUGAR,Amazon Bstock,186</t>
  </si>
  <si>
    <t>41,"Shallow Dog Food Bowls, Non-Slip (2x)","Large Dog Bowls: Interior dimension 10.6 inches diameter, exterior dimension 11.3 inches diameter and 64oz 8 cups 2 quarts capacity, these large food bowls are perfect for pet feeding. Meet the daily use of large dogs. Shallow Dog Bowls: 2 inches height which is a low shallow design for helping prevent whisker fatigue a stressful &amp; painful condition when your cat's sensitive whiskers brush up against the side of its feeding or water bowl. 2 Non Slip Rubber Pads: Package included 2 count large bowls and 2 non slip pads. Reducing messy! Food Grade Steel: 100% food grade steel, 1000 microns THICK, designed for destructive dogs and healthy diet. Safety and sturdy for naughty ones.",1,5.00,ATXSUGAR,Amazon Bstock,20</t>
  </si>
  <si>
    <t>42m,SUPERJARE Nightstands with Charging Station -(C),"Nightstands Set of 2: Doubling your charging happiness by getting these end tables set of 2. After all, no one hates to get more power outlets. Imagine plugging in your phone or watch before sleeping, charger station is just within your reach. Plus: Contain patent pending drawer slide Fabric Drawer Install Up or Down: 2 install positions of the drawer are available, you can install it for needed storage heights. 3 storage shelves and 1 fabric drawer on the bedside table are surely enough to store various items Storage Helper in Many Spaces: Granted, it's a clutter-free side table with drawer for your books, cups..., but not only that, it can prop up your coffee, books beside the sofa or even as a storage rack in the living room or dorm. Plus: Adjustable feet will make it stable in any place Go for a Long Time: Black wooden grain shelves combine black fabric and metal frame, making it a timeless classic.",1,5.00,ATXSUGAR,Amazon Bstock,90</t>
  </si>
  <si>
    <t>306m,"Frigidaire 30"" Microwave Convection Oven -(W3)","This Frigidaire 30"" Electric Microwave Combination Oven features a sleek stainless steel finish that complements any kitchen decor. Designed with a built-in microwave on top and a convection oven below, it offers versatility for all your cooking needs. The microwave section is equipped with intuitive controls for quick and easy operation, while the convection oven provides even heating for baking and roasting. The spacious interior accommodates various dishes, making meal preparation efficient and convenient. The modern design is not only functional but also stylish, creating an elegant focal point in your kitchen.",1,5.00,ATXSUGAR,Best Buy,3200</t>
  </si>
  <si>
    <t>44,Twin/full Metal Slats,For set for both twin and full metal slats can be used universally.,1,5.00,ATXSUGAR,Wayfair,107</t>
  </si>
  <si>
    <t>311m,"CAROTE 21Pcs Pots &amp; Pans Set, Nonstick - (D)","Reinforced die-cast aluminum construction ensures long-term durability and reliability while maintaining a lightweight design, bringing convenience to your cooking experience. A top-level, harder nonstick granite material with 10x Ultra Non-stick performance ensures your daily cooking always safer and healthier. Recommend to hand wash the cookware as it is effortless to clean. Wipe it with a paper towel or rinse it with water. Heats up quickly and evenly with an extended bottom design on all cooktops, including induction. Set Includes: 9.5' fry pan, 11' fry pan, 2-qt saucepan with lid, 3-qt saucepan with lid, 4-qt stockpot with lid, 6.5-qt stockpot with lid, 4.5-qt saut  pan with lid, ladle, slotted spatula, tongs, steamer, 4*pan protectors.",1,,ATXSUGAR,,130</t>
  </si>
  <si>
    <t>316m,"Whirlpool 36"" Wall Range Hood, Black Steel-(D)","With three fan speeds, this 400 CFM motor class wall mount kitchen hood provides the right ventilation for every meal you prepare and looks good while doing so. Long-lasting LED task lighting shines a bright light to show you what's cooking, and a grease filter helps traps unwanted grease and odors. The range hood's convertible ventilation means you can vent vapors and odors outside or filter them and recirculate the air, depending on your kitchen ventilation system setup. When venting at low speed, sound levels can get as low as 44 dBA.",1,,ATXSUGAR,,909</t>
  </si>
  <si>
    <t>321m,Liberty Furniture - Rustic 8-Drawer Dresser,Product Features: Collection: Rustic Traditions Style: Traditional Color : Rustic Cherry Finish Dimensions: 64W x 18D x 40H Weights: 194.0 lb.,1,5.00,ATXSUGAR,Wayfair,1433</t>
  </si>
  <si>
    <t>326m,LG Vented Gas Dryer: Smart AI Sensor Dry - (W3),"This LG dryer is designed to put time back on your side. When there's no time to wash, quick and easy TurboSteam technology refreshes clothes and eases wrinkles in just 10-minutes. Forget about endless sorting or toggling through cycles. Built-in intelligence detects fabric texture and automatically selects the perfect settings, taking out the guesswork. Activate Smart Pairing in the ThinQ app, and the washer can even tell the dryer to select a compatible drying cycle, making it the ultimate laundry hack. Plus, with ThinQ Care, you can start and stop the dryer when you're on the go-and get preventative maintenance tips and alerts to keep your dryer running at its best.",1,,ATXSUGAR,,1098</t>
  </si>
  <si>
    <t>49,"Industrial Pipe Bath Hardware Set, 5-Piece",With Epoxy Coated Deliberately imitation of the old paint for its added a unique classical tone.makes a great addition to any bathroom. Powder coated finish means no mess of grease or oil to deal with before assembly. No need to paint either. Made with high quality and durable pipe fittings. Installation fasteners included. You will know Pipe Decor parts and accessories when you hold them.,1,5.00,ATXSUGAR,"Amazon Bstock, Amazon Bstock",50</t>
  </si>
  <si>
    <t>50,ACTION BBECO ECONOMY BALL SET,"The Action Economy Pool Ball Set is a great choice for your home recreation table. These quality balls are made of a polyresin material for durability and consistency, at a great price. Features: Material : Polyresin Commercial Use : No Size : 2.25""",1,5.00,ATXSUGAR,"Wayfair, Wayfair",75</t>
  </si>
  <si>
    <t>331m,GE 30-in Ducted Range Hood w/ Charcoal Filter (C),"At GE Appliances, we bring good things to life. Our goal is to help people improve their lives at home by providing quality appliances that were made for real life. Whether it's enjoying the tradition of making meals from scratch or tackling a mountain of muddy jeans and soccer jerseys, GE Appliances are crafted to support any and every task in the home. Adjustable CFM blower - high powered 610 CFM blower adjustable downward to either 370 or 290 maximum CFM to accommodate different installation needs. Triple LED dimmable lighting - bulbs included - LED modules ensure bright lighting for the entire cooking environment. Premium baffle stainless steel filters - removes odors and grease from your cooking area and easy to clean in your dishwasher.",1,,ATXSUGAR,,699</t>
  </si>
  <si>
    <t>336m,"(C)- Windster Hoods 36"" Under-Cabinet Hood","This Windster Hood WS-5536SS range hood features a turbine impeller motor with 2 fan speeds, so you can quickly eliminate smoke and odors from your kitchen. Rocker switch controls enable simple operation and the CFL system offers bright illumination. See less... Turbine impeller design with 680 cfm exhaust capacity Quickly pulls smoke and odors from the air. Rocker switch with 2 fan speeds Allows you to customize the airflow to suit your needs. CFL (compact fluorescent lighting) system Illuminates the cooktop.",1,5.00,ATXSUGAR,Best Buy,474</t>
  </si>
  <si>
    <t>341m,"ZLINE KB-36 36"" Wall Mount Vent Hood-(B)","Start cooking up something delicious on your stove top and the ZLINE 36-inch Range Hood will remove airborne grease, fumes, smoke, heat, and steam from the air through the filtration system. The ZLINE ductless range hood blends superior performance with an elegant design that can match a variety of kitchen styles. Made with propriety design and high-end craftsmanship, this wall-chimney range hood is the best choice for your chef inspired kitchen. This elegant wall mount range hood has a crown molding design providing a seamless hood to ceiling transformation. The motor in the range hood is powerful with maximum airflow ranging from 400 CFM to 700 CFM. Continue to have your dinner conversation with the ultra-quiet motor design.",1,,ATXSUGAR,,670</t>
  </si>
  <si>
    <t>54,Dog Car Seat Cover 7-in-1 Protector,"CAR SEAT PROTECTOR FOR DOGS   STABLE BASE FOR LARGE DOGS Transforms your back seat into a stable travel surface with a hard bottom dog seat extender. Designed for large dogs, multi-dog families, and long rides protects your car while keeping pets comfortable and secure.r small and large dogs needing extra space and support on the road. WATERPROOF DOG SEAT COVER   PROTECTS AGAINST DIRT, FUR &amp; SCRATCHES Crafted from 600D Oxford fabric with TPU backing, this car seat protector for dogs is 100% waterproof and scratch-resistant. Blocks spills, pet hair, and muddy paws ideal for everyday messes and long trips. CONVERTIBLE 7-IN-1 DOG HAMMOCK FOR CAR, SUV &amp; TRUCK USE Switch between hammock, bench, rear seat extender, or front seat cover in seconds. This multi-use dog car seat offers full protection and comfort perfect for daily rides, road trips, and all vehicle types.",1,,ATXSUGAR,,50</t>
  </si>
  <si>
    <t>55,"2 Pcs 48"" x 24"" x 1/30' Flexible Translucent PE Pl","Comprehensive Packaging: each package includes 2 single plastic sheet, rolled and prepared for deployment</t>
  </si>
  <si>
    <t xml:space="preserve"> This ensures you receive your polyethylene plastic sheet in optimal condition, ready to accompany craft or decoration project you envision Versatile Size: measuring about 48 x 24 inches/ 122 x 61 cm with a 1/30' thickness, this flexible plastic sheet is portable and easy to handle</t>
  </si>
  <si>
    <t xml:space="preserve"> Its convenient size allows effortless cutting and storage, providing adaptability for your creative projects Material Quality: the polyethylene plastic sheet is crafted from quality PE material, ensuring a smooth, reliable surface</t>
  </si>
  <si>
    <t xml:space="preserve"> This quality translucent plastic sheet meets diverse needs with reliability and longevity, making it ideal for various places Robust Flexibility: the flexible plastic sheet boasts nice resilience, showcasing the ability to withstand weather conditions efficiently</t>
  </si>
  <si>
    <t xml:space="preserve"> Its polypropylene sheet like properties ensure easy roll transport, ready to resume its flat form after unpacking Creative Crafting Solutions: enhance your DIY prowess with plastic sheets</t>
  </si>
  <si>
    <t xml:space="preserve"> Whether it's labels, cards, or invitations, these sheets cater to artistic aspiration, also suiting home decoration and automotive embellishments with their adaptable translucency.",1,,ATXSUGAR,"PDX7, PDX7, PDX7, PDX7",34</t>
  </si>
  <si>
    <t>346m,Belmore Hinged Frameless Shower Door -(CE),"The Belmore Hinged Frameless Shower Door provides universal sophistication and quality craftsmanship to your bathroom's decor. The Belmore comes ready to install and will breathe new life into your existing bathroom's interior. ANSI-certified tempered glass. A perfect door with a perfect fit, only from Aston. Product Type: Shower Door Door Handing: Reversible Hinge Type: Self Closing Frame Type: Frameless Glass Material: Tempered Glass Glass Finish: Clear Handle(s) Included: Yes Out of Plumb Adjustability: Yes Header Included: No Number of Stationary Panels: 1 Imported: Yes Door Installation Type: Hinged 95.5in X 44.75in total opening.",1,5.00,ATXSUGAR,Wayfair,754</t>
  </si>
  <si>
    <t>351m,(C)- Windster Hood WS-4836SS,FEATURES Durable baffle filters. Electronic touch control. Perfect welding and no sharp edges. Delay shut-off technology.,1,5.00,ATXSUGAR,Best Buy,767</t>
  </si>
  <si>
    <t>356m,Mystery Pallet,Mixed good from Amazon.,1,5.00,ATXSUGAR,"Amazon Bstock, PDX7",750</t>
  </si>
  <si>
    <t>361m,"60"" W x 48"" D Single Threshold Shower Base",Base Shape: Rectangle Gloss Finish: Yes Material: Acrylic Easy Clean: Yes Textured Floor: Yes Number of Thresholds: Single Drain Shape: Round Integrated Tiling Flange: Yes Made to Order: Yes Durability: Slip Resistant Surface Raised Features: Edge Finish: White UPC Certified: Yes CSA B45.5/IAPMO Z124 Compliant - Plastic Plumbing Fixtures: Yes.,1,5.00,ATXSUGAR,Wayfair,678</t>
  </si>
  <si>
    <t>56,Fabric Corkboard / Bulletin Board,"This decorative and functional linen fabric pinboard will organize your home! This decorative wall mounted board has a rustic natural brown woodgrain finish framing a functional linen fabric pinboard. It will fit perfectly into your existing casual classic home decor. Hanging hardware is already attached, so this memo board is ready for display. It can be displayed horizontally or vertically to fit your needs. Use this framed linen fabric bulletin board for the maximum organization in your entryway, kitchen, or home office.",1,5.00,ATXSUGAR,Wayfair,53</t>
  </si>
  <si>
    <t>57,Christopher Knight Modern Iron Screen,"Enhance your home s ambiance and safety with the Christopher Knight Home  Blyfield Modern Iron Folding Fireplace Screen with Door in Matte Black. Elevate your holiday gatherings with the warm glow of a crackling fire, accented by this sophisticated fireplace screen. Crafted from durable iron, this three-panel screen features a fine mesh construction that effectively shields your living room or bedroom from hot embers and flying sparks. The screen s foldable design adds practicality to its stylish appeal, allowing for easy storage and handling. Its sleek matte black finish complements any decor, while the simple rectangular silhouette adorned with a diamond pattern effortlessly merges functionality with modern elegance. Material: Iron Finish: Matte Black Assembly Required Dimensions: 5.50 inches deep x 50.00 inches wide x 32.00 inches high Ensure both safety and style without compromising on quality with this versatile fireplace screen.",1,5.00,ATXSUGAR,Wayfair,147</t>
  </si>
  <si>
    <t>58,Kawasaki Teryx KRX 1000 Fender Flares (20-25),"Fitment: Compatible with Kawasaki Teryx KRX 1000 2020 2021 2022 2023 2024 2025</t>
  </si>
  <si>
    <t xml:space="preserve"> Direct replacement of OEM Part Number #99994-1324 (NOTE: The rear lower parts don't fit for 4-seater models, Search ASIN: B0CG5CCF8M for 4-seater version) XXL Extended Coverage: Super wide (XXL) and combination design</t>
  </si>
  <si>
    <t xml:space="preserve"> When driving in the wilderness, it can effectively block splashing sand, mud, and sewage, protect the body from hard objects, keep the body clean, and most importantly, protect you sitting in the driver's seat. The widened kawasaki teryx krx 1000 fender flares make the body look larger and cooler Durable HDPE Construction: Made of injection molded high-density polypropylene (HDPE), it can withstand extreme temperatures and has strong impact resistance when driving at high speeds</t>
  </si>
  <si>
    <t xml:space="preserve"> High hardness, not easily damaged or cracked by hard objects, maintains shape in rugged off-road conditions Easy installation: Pre-drilled 3-piece modular design simplifies installation</t>
  </si>
  <si>
    <t xml:space="preserve"> Simply use screws to assemble each fender flare from three parts into a whole. Note: Due to the extension of the rear fender flare, it is necessary to drill holes for fixation Complete Package: 12 PCS Front and Rear combination fender flares, 1 set of mount hardware and 1 manual</t>
  </si>
  <si>
    <t xml:space="preserve"> (Please refer to our installation video if the manual is not enough for you)",1,5.00,ATXSUGAR,Amazon Bstock,185</t>
  </si>
  <si>
    <t>59,KEESHA Grill Kit for Charbroil 4-Burner,"PACKAGE CONTAINS: 3 x Cast Iron Cooking Grate (2 x wide grate + 1 x narrow grate), 4 x Stainless Steel Heat Plates, 4 x Stainless Steel Burner Tube, 3 x Adjustable Carryover Tube and 1 x Ignition. This Charbroil 4-Burner Grill Replacement Parts Kit provides comprehensive solutions for grill maintenance, specifically designed for charbroil grill replacement parts 4 burner systems to restore optimal functionality. COOKING GRATE: Wide grate ( 18.1"" x 9.25"") replacement parts for Charbroil original part number G470-0002-W1, G321-0005-W1</t>
  </si>
  <si>
    <t>366m,Samsung 30 in. 5.1 cu ft Wi Fi Double Electric Ove,"The Samsung Double Wall Oven is stunningly bold with a timeless design for the perfect blend of form and function. It allows you to bake and roast with even and consistent cooking results. The 5.1/5.1 cu. Ft. Of capacity can accommodate a roast, multiple casserole dishes, or two full racks of cookies. Digital Touch Controls offer an integrated and premium design that is easy to clean.",1,,ATXSUGAR,"Best Buy, Best Buy, Best Buy",1898</t>
  </si>
  <si>
    <t>371m,Roundhill Furniture Nightstand in Walnut,The vintage-inspired Roundhill Furniture Maderne Traditional Wood 3-Drawer Nightstand is an elegant way to add an elegant appeal to your bedroom. This nightstand is made from a sturdy solid wood frame and MDF panels. Three spacious sliding drawers give you plenty of room for your nighttime essentials. The sleek antique pewter finished metal handles add a level of elegant appeal that elevates any bedroom. Details like the visible wood grain and short blocked legs finish the look. Fully assembled.,1,5.00,ATXSUGAR,Wayfair,390</t>
  </si>
  <si>
    <t>LotNumber</t>
  </si>
  <si>
    <t>Title</t>
  </si>
  <si>
    <t>Source</t>
  </si>
  <si>
    <t>Retail Price</t>
  </si>
  <si>
    <t>3m</t>
  </si>
  <si>
    <t>Liberty Furniture 7-Drawer Dresser 244-BR31</t>
  </si>
  <si>
    <t>Wayfair</t>
  </si>
  <si>
    <t>5m</t>
  </si>
  <si>
    <t>Childcraft Mobile Cubby Unit -(W3)</t>
  </si>
  <si>
    <t>7m</t>
  </si>
  <si>
    <t>Pallet of Polynesian Sunbleached Tiles 16 x16 Pall</t>
  </si>
  <si>
    <t>8m</t>
  </si>
  <si>
    <t>50T 6" Stroke Porta Power Cylinder Hydraulic Jack</t>
  </si>
  <si>
    <t>9m</t>
  </si>
  <si>
    <t>Mynt Shiatsu Neck &amp; Back Massager Chair Pad - (D)</t>
  </si>
  <si>
    <t>10m</t>
  </si>
  <si>
    <t>ZLine 28 in. 400 CFM Outdoor Hood Insert-(B)</t>
  </si>
  <si>
    <t>12m</t>
  </si>
  <si>
    <t>ZLine 28 in. 400 CFM Outdoor Hood Insert (B)</t>
  </si>
  <si>
    <t>13m</t>
  </si>
  <si>
    <t>LG SideKick 1.0Cu ft Pedestal Washer 3-Motion (B)</t>
  </si>
  <si>
    <t>Best Buy</t>
  </si>
  <si>
    <t>14m</t>
  </si>
  <si>
    <t>OEDRO FRP Hard Tri-fold Tonneau Cover 5ft Bed</t>
  </si>
  <si>
    <t>15m</t>
  </si>
  <si>
    <t>" Thicket Wildflowers " by Timothy O' Toole Painti</t>
  </si>
  <si>
    <t>17m</t>
  </si>
  <si>
    <t>GE Profile 30" Electric Double Wall Oven - (MD)</t>
  </si>
  <si>
    <t>18m</t>
  </si>
  <si>
    <t>Eshell 17.5' H Solid Wood Side Chair - (C)</t>
  </si>
  <si>
    <t>20m</t>
  </si>
  <si>
    <t>27 in. Double Wall Oven w/Microwave SS-(w2)</t>
  </si>
  <si>
    <t>22m</t>
  </si>
  <si>
    <t>Hooker Beaumont Coffee Table &amp; End Table -(D)</t>
  </si>
  <si>
    <t>23m</t>
  </si>
  <si>
    <t>30 in. Electric Wall Oven with Convection-(W3)</t>
  </si>
  <si>
    <t>24m</t>
  </si>
  <si>
    <t>30 in. Smart Convection Wall Oven-(3W)</t>
  </si>
  <si>
    <t>25m</t>
  </si>
  <si>
    <t>GE Smart Appliances Smart Built-in 27" Self-Cleani</t>
  </si>
  <si>
    <t>27m</t>
  </si>
  <si>
    <t>Ashley Furniture Fortman White Dresser-(W3)</t>
  </si>
  <si>
    <t>28m</t>
  </si>
  <si>
    <t>KitchenAid - 30 inches Wall Range Hood-(MD)</t>
  </si>
  <si>
    <t>29m</t>
  </si>
  <si>
    <t>HERCULES Series Finished School House Back Wooden</t>
  </si>
  <si>
    <t>30m</t>
  </si>
  <si>
    <t>ZLine 46 in. 700 CFM Range Hood Insert SS-(A)</t>
  </si>
  <si>
    <t>32m</t>
  </si>
  <si>
    <t>Insignia 3.0 Cu. Ft Mini Fridge NS-CF30SS9 - (W3)</t>
  </si>
  <si>
    <t>33m</t>
  </si>
  <si>
    <t>7.0 cu.ft. vented Top Load Dryer White-(MD)</t>
  </si>
  <si>
    <t>Hamilton Hills 20x30 Gold Framed Mirror</t>
  </si>
  <si>
    <t>Vero 3-Setting Shower Handle Diverter Trim Kit, Di</t>
  </si>
  <si>
    <t>BougeRV 2025 Hitch Ski/Snowboard Rack</t>
  </si>
  <si>
    <t>MR Portable Lacrosse Goal with Ball Return</t>
  </si>
  <si>
    <t>InSinkErator Badger 5XP 3/4 HP Disposal Cord</t>
  </si>
  <si>
    <t>44m</t>
  </si>
  <si>
    <t>Samsung 27 in Laundry Pedestal with Storage Drawer</t>
  </si>
  <si>
    <t>52m</t>
  </si>
  <si>
    <t>Samsung Bespoke Laundry Pedestal - C</t>
  </si>
  <si>
    <t>57m</t>
  </si>
  <si>
    <t>62m</t>
  </si>
  <si>
    <t>LG 27" W 1 cu ft Pedestal Washer Black - B</t>
  </si>
  <si>
    <t>67m</t>
  </si>
  <si>
    <t>LG 6.4 cu. ft. Smart Combi Wall Oven - W3</t>
  </si>
  <si>
    <t>72m</t>
  </si>
  <si>
    <t>KitchenAid 5 cu ft Wall Oven &amp; Microwave - AS/IS P</t>
  </si>
  <si>
    <t>77m</t>
  </si>
  <si>
    <t>Samsung 30 in. Electric Wall Oven, Wi-Fi - W3</t>
  </si>
  <si>
    <t>87m</t>
  </si>
  <si>
    <t>Insignia 350 Sq. Ft. Portable A/C - White - W3</t>
  </si>
  <si>
    <t>92m</t>
  </si>
  <si>
    <t>Thermador Masterpiece 36 in. Convertible Range Hoo</t>
  </si>
  <si>
    <t>93m</t>
  </si>
  <si>
    <t>28 in. Laundry Pedestal in Blue with Pedestal</t>
  </si>
  <si>
    <t>97m</t>
  </si>
  <si>
    <t>Urevo Spacewalk 1 Lite Treadmill</t>
  </si>
  <si>
    <t>100m</t>
  </si>
  <si>
    <t>GE 30 in. Gas Cooktop Stainless Steel 5 Burners -</t>
  </si>
  <si>
    <t>107m</t>
  </si>
  <si>
    <t>Samsung WE402NV Laundry Pedestal, Black - C</t>
  </si>
  <si>
    <t>117m</t>
  </si>
  <si>
    <t>Kitchenaid 36 in. Gas Cooktop   5 Burners - W3</t>
  </si>
  <si>
    <t>122m</t>
  </si>
  <si>
    <t>$6700 Retail - JennAir JOEDC730RL 30" Electric Ove</t>
  </si>
  <si>
    <t>127m</t>
  </si>
  <si>
    <t>Whirlpool 30 in. Under-Cab Hood w/ LED (Stainless)</t>
  </si>
  <si>
    <t>128m</t>
  </si>
  <si>
    <t>Jonie 91" Genuine Leather Sleeper Sofa</t>
  </si>
  <si>
    <t>129m</t>
  </si>
  <si>
    <t>Remy 90' Upholstered Sofa</t>
  </si>
  <si>
    <t>130m</t>
  </si>
  <si>
    <t>27-in Laundry Pedestal with Storage Drawer - W3</t>
  </si>
  <si>
    <t>137m</t>
  </si>
  <si>
    <t>LG 27 in. Laundry Pedestal with Storage Drawer - w</t>
  </si>
  <si>
    <t>142m</t>
  </si>
  <si>
    <t>GE 1.6-cu ft Over-the-Range Microwave (White)</t>
  </si>
  <si>
    <t>147m</t>
  </si>
  <si>
    <t>KitchenAid 30 in. Gas Cooktop, 5 Burners with Dual</t>
  </si>
  <si>
    <t>152m</t>
  </si>
  <si>
    <t>Urevo Spacewalk E4W Treadmill &amp; Pad - Brown - w4</t>
  </si>
  <si>
    <t>153m</t>
  </si>
  <si>
    <t>Samsung BESPOKE 36" Wall Mount Range Hood - Grey -</t>
  </si>
  <si>
    <t>157m</t>
  </si>
  <si>
    <t>28 in. Laundry Pedestal in Blue with Pedestal -(C)</t>
  </si>
  <si>
    <t>162m</t>
  </si>
  <si>
    <t>Urevo Spacewalk 1 Lite Treadmill - D</t>
  </si>
  <si>
    <t>19m</t>
  </si>
  <si>
    <t>Kitchenaide 5 cu. ft. Electric Wall Oven &amp; Microwa</t>
  </si>
  <si>
    <t>34m</t>
  </si>
  <si>
    <t>GE Profile 30 in. Smart Double Wall Oven - W3 *</t>
  </si>
  <si>
    <t>Amazon Bstock</t>
  </si>
  <si>
    <t>35m</t>
  </si>
  <si>
    <t>30 in. Electric Downdraft Cooktop Black</t>
  </si>
  <si>
    <t>177m</t>
  </si>
  <si>
    <t>Samsung 30-in Self-cleaning Microwave Oven Combo -</t>
  </si>
  <si>
    <t>182m</t>
  </si>
  <si>
    <t>KitchenAid 30" Built-In Double Wall Oven- Black St</t>
  </si>
  <si>
    <t>183m</t>
  </si>
  <si>
    <t>Frigidaire Gallery 27" Electric Built-In Oven - W3</t>
  </si>
  <si>
    <t>192m</t>
  </si>
  <si>
    <t>Zephr Siena Pro 48 in Wall Mount Range Hood (W3)</t>
  </si>
  <si>
    <t>193m</t>
  </si>
  <si>
    <t>GE 1.7 cu. ft. Over-the-Range Microwave (Black Sla</t>
  </si>
  <si>
    <t>197m</t>
  </si>
  <si>
    <t>Bosch Recirc Module for Downdraft Systems (W3)</t>
  </si>
  <si>
    <t>198m</t>
  </si>
  <si>
    <t>Windster Hood 36" Convertible Hood - Steel (W3)</t>
  </si>
  <si>
    <t>202m</t>
  </si>
  <si>
    <t>GE 30 in. Smart Convection Wall Oven - (W3)</t>
  </si>
  <si>
    <t>207m</t>
  </si>
  <si>
    <t>GE 30 in. Smart Wall Oven, Self-Cleaning</t>
  </si>
  <si>
    <t>212m</t>
  </si>
  <si>
    <t>Kitchenaid 30 in. Electric Wall Oven with Air Fry</t>
  </si>
  <si>
    <t>213m</t>
  </si>
  <si>
    <t>Thermador Professional Series 36 in. Gas Cooktop</t>
  </si>
  <si>
    <t>Stainless Steel Post Base Bracket 8x8</t>
  </si>
  <si>
    <t>PDX7</t>
  </si>
  <si>
    <t>Norwegian Lefse Kit: Rolling Pins &amp; Cloths</t>
  </si>
  <si>
    <t>37m</t>
  </si>
  <si>
    <t>Birch Butcher Block Countertop 30"x25" 1.5" - D</t>
  </si>
  <si>
    <t>Hexagon EVA Boat Flooring, Self-Adhesive (98.4 x37</t>
  </si>
  <si>
    <t>Steel Cutting Board (15.7 23.6 0.06")</t>
  </si>
  <si>
    <t>DEXI Cushioned Anti Fatigue Kitchen Mat 23x86</t>
  </si>
  <si>
    <t>24"x18" Bamboo Cutting Board, Charcuterie Tray</t>
  </si>
  <si>
    <t>43m</t>
  </si>
  <si>
    <t>GE 30" 5-Burner Electric Range, SS - W3</t>
  </si>
  <si>
    <t>45m</t>
  </si>
  <si>
    <t>JennAir JED3430G 30" Electric Cooktop - W3</t>
  </si>
  <si>
    <t>47m</t>
  </si>
  <si>
    <t>GE CAFE 24 in Built-In Dishwasher, Matte White - P</t>
  </si>
  <si>
    <t>48m</t>
  </si>
  <si>
    <t>Profile 30" Smart Wall Oven, Convection, SS</t>
  </si>
  <si>
    <t>49m</t>
  </si>
  <si>
    <t>GE Profile 30 in. Warming Drawer, SS</t>
  </si>
  <si>
    <t>50m</t>
  </si>
  <si>
    <t>GE Profile 2.2 cu ft 1100W Smart Microwave, Gray (</t>
  </si>
  <si>
    <t>58m</t>
  </si>
  <si>
    <t>GE 1.7 cu ft Over-the-Range Microwave (W3)</t>
  </si>
  <si>
    <t>38m</t>
  </si>
  <si>
    <t>Roundhill Ioana Grey Wood Night Stand - (D Rack)</t>
  </si>
  <si>
    <t>53m</t>
  </si>
  <si>
    <t>Safavieh Flannery Mid-Century Cream Chair -(CE)</t>
  </si>
  <si>
    <t>59m</t>
  </si>
  <si>
    <t>Solid Wood Dining Chair (2) Natural/Beige -W4</t>
  </si>
  <si>
    <t>68m</t>
  </si>
  <si>
    <t>24 in. 14-Bottle Wine Cooler, Black Cabinet (MD)</t>
  </si>
  <si>
    <t>73m</t>
  </si>
  <si>
    <t>KitchenAid 30" Single Wall Oven with Air Fry - W3</t>
  </si>
  <si>
    <t>74m</t>
  </si>
  <si>
    <t>Bertazzoni 36" Induction Cooktop - (W3)</t>
  </si>
  <si>
    <t>78m</t>
  </si>
  <si>
    <t>Windster WS-63TB Series 42" Stainless Hood-(W3)</t>
  </si>
  <si>
    <t>82m</t>
  </si>
  <si>
    <t>(A)- Caf  36" Wall Range Hood, Stainless Steel</t>
  </si>
  <si>
    <t>83m</t>
  </si>
  <si>
    <t>KitchenAid - 1.4 Cu. Ft. Built-In Microwave-(B)</t>
  </si>
  <si>
    <t>84m</t>
  </si>
  <si>
    <t>Dacor 48" Externally Vented Hood Graphite - (C)</t>
  </si>
  <si>
    <t>85m</t>
  </si>
  <si>
    <t>KitchenAid 30-in Downdraft Range Hood - (CE)</t>
  </si>
  <si>
    <t>Tool Bag 16 Pockets, Polyester, 15x8.6x10.6</t>
  </si>
  <si>
    <t>2m</t>
  </si>
  <si>
    <t>Gadre Solid Wood Bench - Size: 18" H x 58" W x 15"</t>
  </si>
  <si>
    <t>2-in-1 Leaf Grabber Rake with Long Handle</t>
  </si>
  <si>
    <t>Allied Brass 1031/30-FTB Skyline 30" Towel Bar</t>
  </si>
  <si>
    <t>6m</t>
  </si>
  <si>
    <t>Ndayisenga Metal Box Spring, Basics Mattress Found</t>
  </si>
  <si>
    <t>11m</t>
  </si>
  <si>
    <t>Kohler 60x42 in. Soaking Tub, Right Drain (W3)</t>
  </si>
  <si>
    <t>ZELUS 8' Folding Balance Beam w/Carry Handles</t>
  </si>
  <si>
    <t>Johnsonite Duracove TP Wall Base 4" x 120'</t>
  </si>
  <si>
    <t>KEESHA Grill Kit for Charbroil 4-Burner</t>
  </si>
  <si>
    <t>Mangoct Kohler K-5559-NA Drain Pan (2)</t>
  </si>
  <si>
    <t>16m</t>
  </si>
  <si>
    <t>(C)- Oneluck Extra Large Cat Litter Box, 27.5in</t>
  </si>
  <si>
    <t>Noodle Board Stove Covers with Handles</t>
  </si>
  <si>
    <t>SELEWARE Landmine Attachments for 2x2/3x3</t>
  </si>
  <si>
    <t>15" Tool Bag: 16 Pockets, Waterproof, Black/Orange</t>
  </si>
  <si>
    <t>21m</t>
  </si>
  <si>
    <t>Bosch 800 Series 30" Downdraft, Stainless-(W3)</t>
  </si>
  <si>
    <t>26m</t>
  </si>
  <si>
    <t>SUNPAN CELINE DRESSER</t>
  </si>
  <si>
    <t>566m</t>
  </si>
  <si>
    <t>376m</t>
  </si>
  <si>
    <t>NewAir 24" 177-Can Beverage Refrigerator</t>
  </si>
  <si>
    <t>36m</t>
  </si>
  <si>
    <t>30 in. Convertible Under-Cabinet Hood-(W3)</t>
  </si>
  <si>
    <t>41m</t>
  </si>
  <si>
    <t>Profile 4.9 cu. ft. Smart Top Load Washer - (W4)</t>
  </si>
  <si>
    <t>76m</t>
  </si>
  <si>
    <t>Whirlpool Smart Capable 7.4-cu ft Dryer - (W4)</t>
  </si>
  <si>
    <t>46m</t>
  </si>
  <si>
    <t>800-Series 30in Convection Microwave, SS</t>
  </si>
  <si>
    <t>51m</t>
  </si>
  <si>
    <t>Insignia 250 Sq. Ft Portable AC - White -(W3)</t>
  </si>
  <si>
    <t>56m</t>
  </si>
  <si>
    <t>27 in Laundry Pedestal with Drawer (Black)-(3W)</t>
  </si>
  <si>
    <t>61m</t>
  </si>
  <si>
    <t>LG 27" W 1 cu ft Pedestal Washer Black -(W3)</t>
  </si>
  <si>
    <t>66m</t>
  </si>
  <si>
    <t>Magnolia Manor Mirror (MD)</t>
  </si>
  <si>
    <t>171m</t>
  </si>
  <si>
    <t>Insignia 14-Bottle Wine Cooler (D)</t>
  </si>
  <si>
    <t>71m</t>
  </si>
  <si>
    <t>Windster Hoods 30" External-Vent Stainless-(D)</t>
  </si>
  <si>
    <t>81m</t>
  </si>
  <si>
    <t>KOHLER Memoirs 2-Piece Toilet, 1.28 Gpf (D)</t>
  </si>
  <si>
    <t>86m</t>
  </si>
  <si>
    <t>4-Nozzle Liquid Filler for 1-30 oz Bottles -(D)</t>
  </si>
  <si>
    <t>91m</t>
  </si>
  <si>
    <t>42" Swage Cable Railing Kit, 164ft 1/8" -(B)</t>
  </si>
  <si>
    <t>96m</t>
  </si>
  <si>
    <t>Broan 21-in Convertible 300-CFM Hood-(B)</t>
  </si>
  <si>
    <t>101m</t>
  </si>
  <si>
    <t>Whirlpool 30 inch Single Electric Wall Oven (D)</t>
  </si>
  <si>
    <t>106m</t>
  </si>
  <si>
    <t>GE 28 in. Laundry Pedestal with 16 in. Height (C)</t>
  </si>
  <si>
    <t>186m</t>
  </si>
  <si>
    <t>GE 28 in. Laundry Pedestal with 16 in. Height (D)</t>
  </si>
  <si>
    <t>111m</t>
  </si>
  <si>
    <t>48" Adjustable Height Backsplash with Shelf - (C)</t>
  </si>
  <si>
    <t>116m</t>
  </si>
  <si>
    <t>Oneluck Extra Large Cat Litter Box, 27.5in - A</t>
  </si>
  <si>
    <t>121m</t>
  </si>
  <si>
    <t>Rythym Vibration Plate (C)</t>
  </si>
  <si>
    <t>Char-Broil 6-Burner Griddle Inserts</t>
  </si>
  <si>
    <t>126m</t>
  </si>
  <si>
    <t>LG 7.4 cu. ft. Vented Gas Dryer - Black Steel - (W</t>
  </si>
  <si>
    <t>131m</t>
  </si>
  <si>
    <t>DG Casa Reign Boucle Platform Bed, Queen -(W4)</t>
  </si>
  <si>
    <t>136m</t>
  </si>
  <si>
    <t>Felicia Clear Glass French White Doors - Size: 36"</t>
  </si>
  <si>
    <t>141m</t>
  </si>
  <si>
    <t>YITAMOTOR 6.5" Running Boards   Ram Crew Cab -(C)</t>
  </si>
  <si>
    <t>Fence Posts 7 Ft 16 Pack, No Dig U Post Black</t>
  </si>
  <si>
    <t>146m</t>
  </si>
  <si>
    <t>Caterina 9-Drawer Dresser (ENDCAP)</t>
  </si>
  <si>
    <t>151m</t>
  </si>
  <si>
    <t>Madalyn 12 - Light Candle Style Wagon Wheel Chande</t>
  </si>
  <si>
    <t>156m</t>
  </si>
  <si>
    <t>Wilmington Panel Bed (Headboard) -(ENDCAP)</t>
  </si>
  <si>
    <t>166m</t>
  </si>
  <si>
    <t>Destinymarie Freestanding Linen Cabinet - Finish:</t>
  </si>
  <si>
    <t>176m</t>
  </si>
  <si>
    <t>Marcy Olympic Weight Bench with Leg Developer (W3</t>
  </si>
  <si>
    <t>181m</t>
  </si>
  <si>
    <t>800 Series 42" Island Range Hood -(B)</t>
  </si>
  <si>
    <t>191m</t>
  </si>
  <si>
    <t>30 in Smart Wall Mount Hood with LED -(B)</t>
  </si>
  <si>
    <t>196m</t>
  </si>
  <si>
    <t>LG 27" Pedestal Storage Drawer, Smooth Black -(C)</t>
  </si>
  <si>
    <t>201m</t>
  </si>
  <si>
    <t>Whirlpool 30" Gas Cooktop - Stainless Steel -(B)</t>
  </si>
  <si>
    <t>206m</t>
  </si>
  <si>
    <t>Samsung BESPOKE 35" Wall Range Hood -(B)</t>
  </si>
  <si>
    <t>211m</t>
  </si>
  <si>
    <t>ModernLuxe 30" Vanity with Sink, Soft Close -(D)</t>
  </si>
  <si>
    <t>216m</t>
  </si>
  <si>
    <t>Utility Sink 47.2"D x 19.7"W Sink -(D)</t>
  </si>
  <si>
    <t>221m</t>
  </si>
  <si>
    <t>NordicTrack T 6.5 S Treadmill 5" Display -(W3)</t>
  </si>
  <si>
    <t>226m</t>
  </si>
  <si>
    <t>Maxwell Modern Round Dining Table, Sintered Stone</t>
  </si>
  <si>
    <t>231m</t>
  </si>
  <si>
    <t>NordicTrack T 6.5 S Treadmill</t>
  </si>
  <si>
    <t>236m</t>
  </si>
  <si>
    <t>Frigidaire 36" Gas Cooktop: Stainless Steel</t>
  </si>
  <si>
    <t>241m</t>
  </si>
  <si>
    <t>GE Universal 36" Telescopic Downdraft System</t>
  </si>
  <si>
    <t>246m</t>
  </si>
  <si>
    <t>GE Profile 2.2 Cu. Ft Built-In Microwave Oven -(W3</t>
  </si>
  <si>
    <t>251m</t>
  </si>
  <si>
    <t>Bosch 800 Series Convection Microwave -(W3)</t>
  </si>
  <si>
    <t>256m</t>
  </si>
  <si>
    <t>Upholstered Panel Bed - Size: Queen</t>
  </si>
  <si>
    <t>Oneluck Extra Large Cat Litter Box, 27.5in</t>
  </si>
  <si>
    <t>261m</t>
  </si>
  <si>
    <t>Monogram 36-Inch Natural Gas Rangetop</t>
  </si>
  <si>
    <t>266m</t>
  </si>
  <si>
    <t>Bosch 800 Series 30" Built-In Oven SS</t>
  </si>
  <si>
    <t>271m</t>
  </si>
  <si>
    <t>KitchenAid 30" Built-In Oven w Air Fry</t>
  </si>
  <si>
    <t>301m</t>
  </si>
  <si>
    <t>MISC FURNITURE PALLET</t>
  </si>
  <si>
    <t>Geekpure 20" Clear Whole House Filter Housing</t>
  </si>
  <si>
    <t>Zhehao 10 Pack Cake Containers with Lids</t>
  </si>
  <si>
    <t>Hexagon EVA Boat Flooring, Self-Adhesive</t>
  </si>
  <si>
    <t>Dyna-Living Bubble Waffle Maker 1400W</t>
  </si>
  <si>
    <t>10 Pcs 17oz Christmas Ceramic Mugs Gift Set</t>
  </si>
  <si>
    <t>Electric Warming Tray 39"x14", 9-Level Temp</t>
  </si>
  <si>
    <t>IDL Packaging Kraft Paper Roll, 50lb USA-made</t>
  </si>
  <si>
    <t>TOPRATED Electric Warming Tray 24x16</t>
  </si>
  <si>
    <t>Noodle Board Stove Cover, X-Chef 30x22" Bamboo</t>
  </si>
  <si>
    <t>XL Cutting Board 20x15" Bamboo, 1" Thick</t>
  </si>
  <si>
    <t>Natural Black Marble Cutting Board, 16x20</t>
  </si>
  <si>
    <t>Zebrabox PVC Faux Wood Wire Rack Covers</t>
  </si>
  <si>
    <t>tobyto Reusable Grocery Bag on Wheels, 105L</t>
  </si>
  <si>
    <t>Goodhoily 2 Pack Anti-Vibration Pad 24" x 24"</t>
  </si>
  <si>
    <t>Shallow Dog Food Bowls, Non-Slip (2x)</t>
  </si>
  <si>
    <t>42m</t>
  </si>
  <si>
    <t>SUPERJARE Nightstands with Charging Station -(C)</t>
  </si>
  <si>
    <t>306m</t>
  </si>
  <si>
    <t>Frigidaire 30" Microwave Convection Oven -(W3)</t>
  </si>
  <si>
    <t>Twin/full Metal Slats</t>
  </si>
  <si>
    <t>311m</t>
  </si>
  <si>
    <t>CAROTE 21Pcs Pots &amp; Pans Set, Nonstick - (D)</t>
  </si>
  <si>
    <t>316m</t>
  </si>
  <si>
    <t>Whirlpool 36" Wall Range Hood, Black Steel-(D)</t>
  </si>
  <si>
    <t>321m</t>
  </si>
  <si>
    <t>Liberty Furniture - Rustic 8-Drawer Dresser</t>
  </si>
  <si>
    <t>326m</t>
  </si>
  <si>
    <t>LG Vented Gas Dryer: Smart AI Sensor Dry - (W3)</t>
  </si>
  <si>
    <t>Industrial Pipe Bath Hardware Set, 5-Piece</t>
  </si>
  <si>
    <t>ACTION BBECO ECONOMY BALL SET</t>
  </si>
  <si>
    <t>331m</t>
  </si>
  <si>
    <t>GE 30-in Ducted Range Hood w/ Charcoal Filter (C)</t>
  </si>
  <si>
    <t>336m</t>
  </si>
  <si>
    <t>(C)- Windster Hoods 36" Under-Cabinet Hood</t>
  </si>
  <si>
    <t>341m</t>
  </si>
  <si>
    <t>ZLINE KB-36 36" Wall Mount Vent Hood-(B)</t>
  </si>
  <si>
    <t>Dog Car Seat Cover 7-in-1 Protector</t>
  </si>
  <si>
    <t>2 Pcs 48" x 24" x 1/30' Flexible Translucent PE Pl</t>
  </si>
  <si>
    <t>346m</t>
  </si>
  <si>
    <t>Belmore Hinged Frameless Shower Door -(CE)</t>
  </si>
  <si>
    <t>351m</t>
  </si>
  <si>
    <t>(C)- Windster Hood WS-4836SS</t>
  </si>
  <si>
    <t>356m</t>
  </si>
  <si>
    <t>Mystery Pallet</t>
  </si>
  <si>
    <t>361m</t>
  </si>
  <si>
    <t>60" W x 48" D Single Threshold Shower Base</t>
  </si>
  <si>
    <t>Fabric Corkboard / Bulletin Board</t>
  </si>
  <si>
    <t>Christopher Knight Modern Iron Screen</t>
  </si>
  <si>
    <t>Kawasaki Teryx KRX 1000 Fender Flares (20-25)</t>
  </si>
  <si>
    <t>366m</t>
  </si>
  <si>
    <t>Samsung 30 in. 5.1 cu ft Wi Fi Double Electric Ove</t>
  </si>
  <si>
    <t>371m</t>
  </si>
  <si>
    <t>Roundhill Furniture Nightstand in Walnut</t>
  </si>
  <si>
    <t>number</t>
  </si>
  <si>
    <t>Condition</t>
  </si>
  <si>
    <t>New - Packaging flawed</t>
  </si>
  <si>
    <t>New Factory Sealed</t>
  </si>
  <si>
    <t>New Open Box</t>
  </si>
  <si>
    <t>Used - Like New and Open Box</t>
  </si>
  <si>
    <t>Used - Acceptable</t>
  </si>
  <si>
    <t>New Not in Original Packaging</t>
  </si>
  <si>
    <t>New - Cosmetic Flaws</t>
  </si>
  <si>
    <t>Used - Very Good</t>
  </si>
  <si>
    <t>Used - Good</t>
  </si>
  <si>
    <t>New - Canceled Delivery</t>
  </si>
  <si>
    <t>Renewed</t>
  </si>
  <si>
    <t>Pallet-New</t>
  </si>
  <si>
    <t>cost%</t>
  </si>
  <si>
    <t>cost price</t>
  </si>
  <si>
    <t>% min pr (+10%)</t>
  </si>
  <si>
    <t>min price</t>
  </si>
  <si>
    <t>wayfair</t>
  </si>
  <si>
    <t>S23-N</t>
  </si>
  <si>
    <t>S23-P</t>
  </si>
  <si>
    <t>James Money</t>
  </si>
  <si>
    <t>Jesus Garcia</t>
  </si>
  <si>
    <t>ron larson</t>
  </si>
  <si>
    <t>Jack Ata</t>
  </si>
  <si>
    <t>Yesset Karayev</t>
  </si>
  <si>
    <t>S22-N</t>
  </si>
  <si>
    <t>S22-P</t>
  </si>
  <si>
    <t>Floor</t>
  </si>
  <si>
    <t>Sinisa Budimir</t>
  </si>
  <si>
    <t>New</t>
  </si>
  <si>
    <t>16.02.</t>
  </si>
  <si>
    <t>18.02.</t>
  </si>
  <si>
    <t>highbid</t>
  </si>
  <si>
    <t>Name</t>
  </si>
  <si>
    <t>sale</t>
  </si>
  <si>
    <t>difference</t>
  </si>
  <si>
    <t>Ineabel Del toro</t>
  </si>
  <si>
    <t>JENNIFER RESERVA</t>
  </si>
  <si>
    <t>Ana Bryant</t>
  </si>
  <si>
    <t>clint barnard</t>
  </si>
  <si>
    <t>Almata Atastana</t>
  </si>
  <si>
    <t>Adrien South</t>
  </si>
  <si>
    <t>Roger Post</t>
  </si>
  <si>
    <t>Maria Chong</t>
  </si>
  <si>
    <t>John Cornelius</t>
  </si>
  <si>
    <t>DeRyl Glenn</t>
  </si>
  <si>
    <t>Sanzhar Houston</t>
  </si>
  <si>
    <t>Mohammed Akbani</t>
  </si>
  <si>
    <t>Alejandro Garcia</t>
  </si>
  <si>
    <t>gregory waligorski</t>
  </si>
  <si>
    <t>Austin Fisette</t>
  </si>
  <si>
    <t>Travis L Ford Jr</t>
  </si>
  <si>
    <t>Tony Battista</t>
  </si>
  <si>
    <t>Mark Gusman</t>
  </si>
  <si>
    <t>Mamdouh Mohamed</t>
  </si>
  <si>
    <t>Harvinder Bhuee</t>
  </si>
  <si>
    <t>Valarie Williams</t>
  </si>
  <si>
    <t>Nikos Anagnostopoulos</t>
  </si>
  <si>
    <t>Raul Tijerina</t>
  </si>
  <si>
    <t>Janet Merryman</t>
  </si>
  <si>
    <t>Sangho Yi</t>
  </si>
  <si>
    <t>Victor Cardenas</t>
  </si>
  <si>
    <t>Nina Singh</t>
  </si>
  <si>
    <t>Irene Tovar</t>
  </si>
  <si>
    <t>Clifton Self</t>
  </si>
  <si>
    <t>brian meldrum</t>
  </si>
  <si>
    <t>Mayowa Solademi</t>
  </si>
  <si>
    <t>Rebecca Alvarado</t>
  </si>
  <si>
    <t>jack witte</t>
  </si>
  <si>
    <t>Kaelyn Vandiver</t>
  </si>
  <si>
    <t>Zelalem Weldeselasie</t>
  </si>
  <si>
    <t>Tania Sandoval</t>
  </si>
  <si>
    <t>Kuralay Kateryne</t>
  </si>
  <si>
    <t>Zuri Peeples</t>
  </si>
  <si>
    <t>Chase Janes</t>
  </si>
  <si>
    <t>Robert Miranda</t>
  </si>
  <si>
    <t>Jesse C</t>
  </si>
  <si>
    <t>Marcy Holmes</t>
  </si>
  <si>
    <t>Fernando Calderon</t>
  </si>
  <si>
    <t>David Corbett</t>
  </si>
  <si>
    <t>Ademola Lawal</t>
  </si>
  <si>
    <t>Lauren Boyce</t>
  </si>
  <si>
    <t>Zhonghua Liu</t>
  </si>
  <si>
    <t>Pete Sprajc</t>
  </si>
  <si>
    <t>Jaime Hinojosa</t>
  </si>
  <si>
    <t>Jaedon Brooks</t>
  </si>
  <si>
    <t>Claro Lopez</t>
  </si>
  <si>
    <t>freddie hejjo</t>
  </si>
  <si>
    <t>Rachel Brown</t>
  </si>
  <si>
    <t>joel wadley</t>
  </si>
  <si>
    <t>Elizabeth Campos</t>
  </si>
  <si>
    <t>plus bonus</t>
  </si>
  <si>
    <t>Havalance Flip Top Sofa/Console Table -(W4)</t>
  </si>
  <si>
    <t>GHV Cordless Zebra Blinds 29x64 Gray</t>
  </si>
  <si>
    <t>Commercial Deep Fryer Filter AF45, 304 SS</t>
  </si>
  <si>
    <t>InSinkErator EZ Connect Power Cord</t>
  </si>
  <si>
    <t>Hanaive 20Pcs Artificial Anthurium, 23.6" Black</t>
  </si>
  <si>
    <t>White Cordless Vinyl Blind 30x36 (2 pack)</t>
  </si>
  <si>
    <t>Bosch Dishwasher Power Cord w/JBox SMZPCJB1UC</t>
  </si>
  <si>
    <t>uxcell Air Vents Cover, 2Pcs 650x100mm (White)</t>
  </si>
  <si>
    <t>ProHeal Specimen Pan, Toilet Hat, 40oz (2-Pack)</t>
  </si>
  <si>
    <t>Dishwasher Power Cord with Junction Box</t>
  </si>
  <si>
    <t>GHV Cordless Zebra Blinds   Flaxen (30x64)</t>
  </si>
  <si>
    <t>Philadelphia Eagles Tiki Totem Garden Statue</t>
  </si>
  <si>
    <t>38.5"x 18" Cabinet Shelf - Suncast</t>
  </si>
  <si>
    <t>Truform Stockings Donner for Compression Socks</t>
  </si>
  <si>
    <t>Drive Medical Raised Toilet Seat with Arms</t>
  </si>
  <si>
    <t>Independence 36 in. Brushed Nickel Downrod</t>
  </si>
  <si>
    <t>Vinyl Moti 2702 Wall Sticker: Fire Rescue 14x28</t>
  </si>
  <si>
    <t>Toilet Tank Cover in White</t>
  </si>
  <si>
    <t>Creative Co-Op Woven Cotton Slub Pillow, Grey</t>
  </si>
  <si>
    <t>225A Generator Transfer Switch, 3P General-Duty Do</t>
  </si>
  <si>
    <t>SUNVIE 5W Anti-Glare LED Path Lights (12)</t>
  </si>
  <si>
    <t>Harley Touring Saddlebag Guards Kit</t>
  </si>
  <si>
    <t>VIGO Cass Brushed Nickel Sink Faucet</t>
  </si>
  <si>
    <t>TapeManBlue Carpet Protection Film 48"x200'</t>
  </si>
  <si>
    <t>upsimples 22x30 Picture Frame with Mat, Black</t>
  </si>
  <si>
    <t>FICBXRA Roof Extractor Fan 171 CFM Exhaust Fan</t>
  </si>
  <si>
    <t>Crystal Coupe Glasses, 6, 7oz, Short Stem</t>
  </si>
  <si>
    <t>FunStick Retro Peel &amp; Stick Walnut Tile 5 Pcs</t>
  </si>
  <si>
    <t>Nickel 1-Inch Curtain Rods 28 48"</t>
  </si>
  <si>
    <t>Decopolitan 28-48-in Dark Bronze Curtain Rod</t>
  </si>
  <si>
    <t>Endotracheal Tube Holder 304 Rack (22.44")</t>
  </si>
  <si>
    <t>Bed Rails for Elderly Safety Rail</t>
  </si>
  <si>
    <t>Type B F17T8/CW 24" T8 9W 4100K LED Bulbs (6)</t>
  </si>
  <si>
    <t>ZOEGAA 13.3" Laptop Privacy Screen Filter</t>
  </si>
  <si>
    <t>80m</t>
  </si>
  <si>
    <t>Chris Loves Julia x Loloi Francis Wool Beige / Cha</t>
  </si>
  <si>
    <t>Alteo 39.4" Wide Modern Vegan Leather Power Reclin</t>
  </si>
  <si>
    <t>88m</t>
  </si>
  <si>
    <t>GE 27-in Smart Electric Wall Oven Stainless - (W3)</t>
  </si>
  <si>
    <t>94m</t>
  </si>
  <si>
    <t>ZLINE 30" 600 CFM Range Hood, Black-Stainless -(W3</t>
  </si>
  <si>
    <t>CAF  Professional Series 30" Smart Wall Oven -W3</t>
  </si>
  <si>
    <t>98m</t>
  </si>
  <si>
    <t>LG 30  Smart Build-In Combination Wall Oven with M</t>
  </si>
  <si>
    <t>Bosch Flue cover Stainless steel -(W3)</t>
  </si>
  <si>
    <t>102m</t>
  </si>
  <si>
    <t>24" Built-In Microwave, 2.2 cu ft, ADA - W3</t>
  </si>
  <si>
    <t>Copen Wall Light By Alcott Hill</t>
  </si>
  <si>
    <t>15-Inch Tool Bag with 16 Pockets, Foldable</t>
  </si>
  <si>
    <t>104m</t>
  </si>
  <si>
    <t>Bespoke 5.3 cu ft Front Load Washer Black -(W4)</t>
  </si>
  <si>
    <t>7.2 cu. ft. Electric Dryer - White -(W4)</t>
  </si>
  <si>
    <t>108m</t>
  </si>
  <si>
    <t>Insignia 6.7 Cu. Ft. Electric Dryer -(W4)</t>
  </si>
  <si>
    <t>110m</t>
  </si>
  <si>
    <t>7.4 cu. ft. Vented Electric Dryer in White -(W4)</t>
  </si>
  <si>
    <t>112m</t>
  </si>
  <si>
    <t>7.4 cu. ft. Vented Electric Dryer, Wi Fi -(W4)</t>
  </si>
  <si>
    <t>114m</t>
  </si>
  <si>
    <t>4.0 cu. ft. Smart Dial Electric Dryer -(SHOWROOM)</t>
  </si>
  <si>
    <t>7.4 cu. ft. Smart Vented Dryer with Steam -(W4)</t>
  </si>
  <si>
    <t>118m</t>
  </si>
  <si>
    <t>7.4 cu. ft. Smart Champagne Dryer with Steam -(W4)</t>
  </si>
  <si>
    <t>120m</t>
  </si>
  <si>
    <t>Insignia 17 Cu. Ft. Upright Freezer</t>
  </si>
  <si>
    <t>Insignia 13.8 Cu Ft Garage Upright Freezer -(W1)</t>
  </si>
  <si>
    <t>124m</t>
  </si>
  <si>
    <t>36 in. Side-by-Side, 25.6 cu ft, SS -(W1)</t>
  </si>
  <si>
    <t>LG 27.8 Cu. Ft. 4-Door French Door Fridge</t>
  </si>
  <si>
    <t>31 cu. ft. SMART French Door Refrigerator</t>
  </si>
  <si>
    <t>Insignia 29-Bottle Wine Cooler ENERGY STAR</t>
  </si>
  <si>
    <t>132m</t>
  </si>
  <si>
    <t>Insignia 115-Can Beverage Cooler -(W1)</t>
  </si>
  <si>
    <t>134m</t>
  </si>
  <si>
    <t>Viking - French Door Refrigerator, Steel -(W1)</t>
  </si>
  <si>
    <t>24-in Top Control Built-In Dishwasher -(W1)</t>
  </si>
  <si>
    <t>138m</t>
  </si>
  <si>
    <t>Profile 5.5 cu. ft. Front Load Washer -(W4)</t>
  </si>
  <si>
    <t>140m</t>
  </si>
  <si>
    <t>Insignia 4.1 Cu. Ft. Top Load Washer (White)</t>
  </si>
  <si>
    <t>5.0 cu. ft. Front Load Washer</t>
  </si>
  <si>
    <t>144m</t>
  </si>
  <si>
    <t>30 in. Convertible Hood, Stainless</t>
  </si>
  <si>
    <t>30" Induction Cooktop: 5 Burners -(W4)</t>
  </si>
  <si>
    <t>148m</t>
  </si>
  <si>
    <t>Whirlpool 28" Slide-In Microwave, 1.1 cu ft -(W4)</t>
  </si>
  <si>
    <t>150m</t>
  </si>
  <si>
    <t>36 in. Gas Cooktop with 5 Burners -(D)</t>
  </si>
  <si>
    <t>LG 7.3 Cu. Ft. Gas Dryer with Sensor Dry</t>
  </si>
  <si>
    <t>154m</t>
  </si>
  <si>
    <t>8 cu. ft. Vented Front Load Dryer - Titanium</t>
  </si>
  <si>
    <t>4.0 cu. ft. Smart Dial Heat Pump Dryer White</t>
  </si>
  <si>
    <t>158m</t>
  </si>
  <si>
    <t>7.8 cu. ft. Smart Front Load Dryer, White</t>
  </si>
  <si>
    <t>160m</t>
  </si>
  <si>
    <t>KitchenAid 360 MAX JETS 24-in Dishwasher -(W4)</t>
  </si>
  <si>
    <t>7.3 Cu. Ft. Vented Gas Dryer with Sensor Dry</t>
  </si>
  <si>
    <t>164m</t>
  </si>
  <si>
    <t>LG 9 cu. ft. Gas Dryer with Sensor Dry</t>
  </si>
  <si>
    <t>Smart Front-Load Gas Dryer with Steam</t>
  </si>
  <si>
    <t>168m</t>
  </si>
  <si>
    <t>7.0 cu. ft. Vented Gas Dryer w/ AutoSensing</t>
  </si>
  <si>
    <t>170m</t>
  </si>
  <si>
    <t>7.4 cu. ft. Vented Stackable Dryer - Black</t>
  </si>
  <si>
    <t>172m</t>
  </si>
  <si>
    <t>24"W Dishwasher with Stainless Steel Panel</t>
  </si>
  <si>
    <t>174m</t>
  </si>
  <si>
    <t>30 in. 4-Burner Electric Range w/ Air Fry</t>
  </si>
  <si>
    <t>5 cu. ft. Electric Wall Oven &amp; Microwave</t>
  </si>
  <si>
    <t>178m</t>
  </si>
  <si>
    <t>30" Smart Microwave Wall Oven with Steam</t>
  </si>
  <si>
    <t>180m</t>
  </si>
  <si>
    <t>KITCHENAID KDPM604KPS built in dishwasher</t>
  </si>
  <si>
    <t>Profile 30 in. ENERGY STAR Induction Range</t>
  </si>
  <si>
    <t>184m</t>
  </si>
  <si>
    <t>Cafe 30 in. Smart Double Electric Wall Oven</t>
  </si>
  <si>
    <t>Gallery 23.3 cu ft French Door Fridge</t>
  </si>
  <si>
    <t>188m</t>
  </si>
  <si>
    <t>Samsung Bespoke 29 cu. ft. 4-Door Fr. Fridge</t>
  </si>
  <si>
    <t>190m</t>
  </si>
  <si>
    <t>36 in. Wide French Door Fridge, White</t>
  </si>
  <si>
    <t>Laundry Pedestal 28 W, 16 H, White -(W4)</t>
  </si>
  <si>
    <t>194m</t>
  </si>
  <si>
    <t>36" BESPOKE Wall Mount Range Hood in Charcoal -(W4</t>
  </si>
  <si>
    <t>800 Series 36 in Downdraft Stainless Steel -(W4)</t>
  </si>
  <si>
    <t>LG STUDIO 36" Induction Cooktop</t>
  </si>
  <si>
    <t>200m</t>
  </si>
  <si>
    <t>ProForm Carbon TL Foldable Treadmill -(W3)</t>
  </si>
  <si>
    <t>27 in. Laundry Pedestal with Storage Drawer -(W3)</t>
  </si>
  <si>
    <t>204m</t>
  </si>
  <si>
    <t>JennAir JX3 36" Electric Cooktop Black SS -(W3)</t>
  </si>
  <si>
    <t>GE Profile 22.1 cu ft French Door Refrigerator -</t>
  </si>
  <si>
    <t>208m</t>
  </si>
  <si>
    <t>Profile 24 2.2 cu ft Built-In Microwave Oven -(W3)</t>
  </si>
  <si>
    <t>210m</t>
  </si>
  <si>
    <t>GE Profile 2.2-cu ft 1100 -Watt 24.1-in Built-In M</t>
  </si>
  <si>
    <t>Tonal 2 Home Gym -(W3)</t>
  </si>
  <si>
    <t>214m</t>
  </si>
  <si>
    <t>27 Inch LG SideKick  Pedestal Washer -(W3)</t>
  </si>
  <si>
    <t>GE Profile 22.1 cu. ft. French Door Fridge</t>
  </si>
  <si>
    <t>218m</t>
  </si>
  <si>
    <t>30 in. Convertible Wall-Mount Range Hood</t>
  </si>
  <si>
    <t>220m</t>
  </si>
  <si>
    <t>1.6 cu. ft. Over the Range Microwave in White</t>
  </si>
  <si>
    <t>222m</t>
  </si>
  <si>
    <t>30 in. Custom Hood Liner</t>
  </si>
  <si>
    <t>Badger 5XP Lift &amp; Latch Disposer 3/4 HP</t>
  </si>
  <si>
    <t>224m</t>
  </si>
  <si>
    <t>STUDIO 30" 1.7 cu ft Microwave Oven -(D)</t>
  </si>
  <si>
    <t>228m</t>
  </si>
  <si>
    <t>30 in. Under-Cab Hood w/ LED (Stainless) -(D)</t>
  </si>
  <si>
    <t>230m</t>
  </si>
  <si>
    <t>30 in. 4-Burner Electric Cooktop Black -(W3)</t>
  </si>
  <si>
    <t>232m</t>
  </si>
  <si>
    <t>15.5 in Laundry Pedestal with Storage Drawer -(D)</t>
  </si>
  <si>
    <t>234m</t>
  </si>
  <si>
    <t>36 in. Stainless Hood, 585 CFM, Light -(D)</t>
  </si>
  <si>
    <t>300 Series 30" Wall Mount Hood with Light</t>
  </si>
  <si>
    <t>238m</t>
  </si>
  <si>
    <t>Urevo 2-In-1 Folding Walking Pad Treadmill</t>
  </si>
  <si>
    <t>240m</t>
  </si>
  <si>
    <t>KitchenAid 30" Convertible Wall Range Hood</t>
  </si>
  <si>
    <t>242m</t>
  </si>
  <si>
    <t>500 Series 36 in. Box Canopy Hood -(C)</t>
  </si>
  <si>
    <t>244m</t>
  </si>
  <si>
    <t>Thermador 36" Gas Rangetop w/ 4 Burners -(W3)</t>
  </si>
  <si>
    <t>KitchenAid 36" Gas Cooktop 5 Burners</t>
  </si>
  <si>
    <t>248m</t>
  </si>
  <si>
    <t>Samsung 1.1 cu ft OTR Microwave (Black)</t>
  </si>
  <si>
    <t>250m</t>
  </si>
  <si>
    <t>36 in. Smart Range Hood with Light, Stainless -(W3</t>
  </si>
  <si>
    <t>252m</t>
  </si>
  <si>
    <t>LG 30" Built-In Gas Cooktop, 5 Burners</t>
  </si>
  <si>
    <t>254m</t>
  </si>
  <si>
    <t>Twister 28 in Convertible Range Hood with LED</t>
  </si>
  <si>
    <t>Breeze II 30" 400 CFM Under Cabinet Hood</t>
  </si>
  <si>
    <t>258m</t>
  </si>
  <si>
    <t>15.5 in. White Laundry Pedestal with Drawer</t>
  </si>
  <si>
    <t>260m</t>
  </si>
  <si>
    <t>Velvet Convertible Sleeper Sofa Couch with Storage</t>
  </si>
  <si>
    <t>262m</t>
  </si>
  <si>
    <t>71" x 34" Freestanding Soaking Bathtub</t>
  </si>
  <si>
    <t>264m</t>
  </si>
  <si>
    <t>27-in Laundry Pedestal, Samsung WD53DBA900HZ</t>
  </si>
  <si>
    <t>(W4) Garrell 46 Round Dining Table, Mid-Century Ro</t>
  </si>
  <si>
    <t>GE 30 in. Electric Wall Oven, Self-Cleaning, Slate</t>
  </si>
  <si>
    <t>4m</t>
  </si>
  <si>
    <t>Christopher Knight Gehry 31" Vanity with Sink</t>
  </si>
  <si>
    <t>Bertazzoni 36" Wall Range Hood S/S</t>
  </si>
  <si>
    <t>GE Profile 30 in. Smart Wall Oven w/ Convection -</t>
  </si>
  <si>
    <t>Viking 36"W Induction Cooktop-6 Elements -W3</t>
  </si>
  <si>
    <t>PIRTA 60-Pack 32 oz Meal Prep Containers</t>
  </si>
  <si>
    <t>LG 6.3 cu.ft. Electric Range with Wi-Fi - W3</t>
  </si>
  <si>
    <t>GE 30 in. Electric Wall Oven w Microwave - W3</t>
  </si>
  <si>
    <t>30 in. Smart Double Wall Oven, Convection</t>
  </si>
  <si>
    <t>LG 6.4 cu. ft. Smart Wall Oven</t>
  </si>
  <si>
    <t>LG 9.4 cu. ft. Double Wall Oven</t>
  </si>
  <si>
    <t>GE 27 in. Smart Wall Oven, Self-Cleaning</t>
  </si>
  <si>
    <t>Kitchenaid 30 in. 5-Element Slide-In Range</t>
  </si>
  <si>
    <t>GE Profile 30 in. Smart Wall Oven w/ Convection</t>
  </si>
  <si>
    <t>BOSCH 100 Series 30" Slide-In Electric Range</t>
  </si>
  <si>
    <t>GE Profile 30" Smart Wall Oven with Convection</t>
  </si>
  <si>
    <t>LG 24-in. Electric Wall Oven w/ Air Fry Black</t>
  </si>
  <si>
    <t>27 in. Double Wall Oven w/Microwave SS</t>
  </si>
  <si>
    <t>LG 30 in. Induction Range w/ ProBake Air Fry</t>
  </si>
  <si>
    <t>GE 30 in. Electric Range, Self-Clean Oven, SS</t>
  </si>
  <si>
    <t>LG 30 in. 5-Element Slide-In Range in Black SS</t>
  </si>
  <si>
    <t>Thermador T36IR905S 36" Fridge WIFI</t>
  </si>
  <si>
    <t>Samsung French Door Refrigerator with Ice Maker</t>
  </si>
  <si>
    <t>GE 22.1 cu. ft. French Door Refrigerator, Slate -</t>
  </si>
  <si>
    <t>KitchenAid 15" Built-In Ice Maker</t>
  </si>
  <si>
    <t>Insignia 4.4 Cu. Ft. Mini Fridge Black</t>
  </si>
  <si>
    <t>31m</t>
  </si>
  <si>
    <t>2 Pack Rubber Curb Ramp Thresholds -(A)</t>
  </si>
  <si>
    <t>LAZYBOY Leather Match Power Rocking Recliner with</t>
  </si>
  <si>
    <t>54m</t>
  </si>
  <si>
    <t>55m</t>
  </si>
  <si>
    <t>Bosch 800 Series 42" Island Range Hood -(B)</t>
  </si>
  <si>
    <t>Whirlpool 36" Stainless 5-Burner Gas Cooktop-(W3)</t>
  </si>
  <si>
    <t>Bosch 800 Series 30" Built-In Oven SS - W2</t>
  </si>
  <si>
    <t>60m</t>
  </si>
  <si>
    <t>Whirlpool 30 in. Under-Cab Hood w/ LED - C</t>
  </si>
  <si>
    <t>KitchenAid 30" Built-In Oven w Air Fry - W3</t>
  </si>
  <si>
    <t>63m</t>
  </si>
  <si>
    <t>64m</t>
  </si>
  <si>
    <t>65m</t>
  </si>
  <si>
    <t>69m</t>
  </si>
  <si>
    <t>70m</t>
  </si>
  <si>
    <t>75m</t>
  </si>
  <si>
    <t>18  Lime Green Traffic Cone - 12 Pack -(C)</t>
  </si>
  <si>
    <t>79m</t>
  </si>
  <si>
    <t>Lot</t>
  </si>
  <si>
    <t>cost</t>
  </si>
  <si>
    <t>cost + 0,5 min</t>
  </si>
  <si>
    <t>cost + 1min</t>
  </si>
  <si>
    <t>Time Left</t>
  </si>
  <si>
    <t>Reserve</t>
  </si>
  <si>
    <t>Winning Bidder</t>
  </si>
  <si>
    <t>Address</t>
  </si>
  <si>
    <t>State</t>
  </si>
  <si>
    <t>Zip Code</t>
  </si>
  <si>
    <t>Email</t>
  </si>
  <si>
    <t>Phone</t>
  </si>
  <si>
    <t>Phone 2</t>
  </si>
  <si>
    <t>High Bid</t>
  </si>
  <si>
    <t>Max Bid</t>
  </si>
  <si>
    <t>Bids</t>
  </si>
  <si>
    <t>Views</t>
  </si>
  <si>
    <t>Watches</t>
  </si>
  <si>
    <t>34 Inch Canoe Seats Nylon Webbed Replacement</t>
  </si>
  <si>
    <t>15272 Elizabeth dr</t>
  </si>
  <si>
    <t>TX</t>
  </si>
  <si>
    <t>ineastore09@gmail.com</t>
  </si>
  <si>
    <t>Segway E-kickscooter G2 (A)</t>
  </si>
  <si>
    <t>12250 s kirkwood</t>
  </si>
  <si>
    <t>ron01theman01@gmail.com</t>
  </si>
  <si>
    <t>936-661-2324</t>
  </si>
  <si>
    <t>Tool Bag 16 Pockets Polyester 15x8.6x10.6</t>
  </si>
  <si>
    <t>Julie Phillips</t>
  </si>
  <si>
    <t>27012 Goodnight Trail East</t>
  </si>
  <si>
    <t>juphillips1821@yahoo.com</t>
  </si>
  <si>
    <t>832-302-8017</t>
  </si>
  <si>
    <t>Thanh Tan Ngo</t>
  </si>
  <si>
    <t>21302 Mission Falls Drive</t>
  </si>
  <si>
    <t>tan01ngo@yahoo.com</t>
  </si>
  <si>
    <t>uxcell Air Vents Cover 2Pcs 650x100mm (White)</t>
  </si>
  <si>
    <t>TINA2 Plus V2 3D Printer Auto Leveling WiFi - (A</t>
  </si>
  <si>
    <t>Anna Brooks</t>
  </si>
  <si>
    <t>807 Canyon Hill Ln</t>
  </si>
  <si>
    <t>annatierra94@gmail.com</t>
  </si>
  <si>
    <t>979-282-1727</t>
  </si>
  <si>
    <t>Hanaive 20Pcs Artificial Anthurium 23.6" Black</t>
  </si>
  <si>
    <t>Holly Whitaker</t>
  </si>
  <si>
    <t>8119 Oak Moss Dr</t>
  </si>
  <si>
    <t>hmgarland01@yahoo.com</t>
  </si>
  <si>
    <t>714-925-9916</t>
  </si>
  <si>
    <t>CREWORKS 30L Ultrasonic Cleaner 600W - (A)</t>
  </si>
  <si>
    <t>Bobbie - Shannon Howard</t>
  </si>
  <si>
    <t>4303 CR 60</t>
  </si>
  <si>
    <t>shanbob690@hotmail.com</t>
  </si>
  <si>
    <t>Stainless Steel Grill Grates 19.25" x 7.5"</t>
  </si>
  <si>
    <t>robert dorland</t>
  </si>
  <si>
    <t>5808 john martin rd</t>
  </si>
  <si>
    <t>bobbydorland@gmail.com</t>
  </si>
  <si>
    <t>SMIROR Black Arched Vintage Mirror 48x32 - (D)</t>
  </si>
  <si>
    <t>Redford Cold Snap 20" Tank Cover Insulation</t>
  </si>
  <si>
    <t>Lynne Nobles</t>
  </si>
  <si>
    <t>17310 Heritage House Cir</t>
  </si>
  <si>
    <t>lizbeth281@aol.com</t>
  </si>
  <si>
    <t>832-978-8311</t>
  </si>
  <si>
    <t>Upgrade Pellet Grill Shelf for Traeger</t>
  </si>
  <si>
    <t>Bill Owen</t>
  </si>
  <si>
    <t>1622 Maux Dr</t>
  </si>
  <si>
    <t>biowen@att.net</t>
  </si>
  <si>
    <t>Legends Furniture 84" Joshua Creek Console (AE)</t>
  </si>
  <si>
    <t>VooBang Black Oval Mirror 26x38 Wall-Mounted</t>
  </si>
  <si>
    <t>Mary Newton</t>
  </si>
  <si>
    <t>4603 Bluestem Prairie Drive</t>
  </si>
  <si>
    <t>newton.mary@yahoo.com</t>
  </si>
  <si>
    <t>713-301-6809</t>
  </si>
  <si>
    <t>Pawfly Aquarium Canister Filter 160 GPH External</t>
  </si>
  <si>
    <t>SHAUN BROWNE</t>
  </si>
  <si>
    <t>4521 SANDYDALE LANE</t>
  </si>
  <si>
    <t>1trini007@gmail.com</t>
  </si>
  <si>
    <t>WELKINLAND 90-Pocket Electrician Backpack</t>
  </si>
  <si>
    <t>Christopher Hensley</t>
  </si>
  <si>
    <t>9410 Sendera Drive</t>
  </si>
  <si>
    <t>Thehensleyfamily@outlook.com</t>
  </si>
  <si>
    <t>36 in. Telescopic Downdraft System in Stainless St</t>
  </si>
  <si>
    <t>Extra Large Blanket Basket 22" x 14"</t>
  </si>
  <si>
    <t>JAVIER IGNACIO FERNANDEZ GONZALO</t>
  </si>
  <si>
    <t>35 LEGEND LN</t>
  </si>
  <si>
    <t>javierfernandezg@gmail.com</t>
  </si>
  <si>
    <t>14000 BTU AC for Rooms up to 700 Sq. Ft-(W3)</t>
  </si>
  <si>
    <t>Colleen Culpepper</t>
  </si>
  <si>
    <t>4011 Northfield ln</t>
  </si>
  <si>
    <t>Culpepper.colleen@gmail.com</t>
  </si>
  <si>
    <t>Linh Nguyen</t>
  </si>
  <si>
    <t>14602-B Lillja Rd</t>
  </si>
  <si>
    <t>johnwinn602@yahoo.com</t>
  </si>
  <si>
    <t>Tipsy Elves Pink Skeleton Jumpsuit - Kids Lg</t>
  </si>
  <si>
    <t>Vero In-Pool Patio Tall Lounger Chair (A)</t>
  </si>
  <si>
    <t>LED Camping Table Set with Stools 300lb</t>
  </si>
  <si>
    <t>Mohsin Mirza</t>
  </si>
  <si>
    <t>3407 E Cedar Hollow Drive</t>
  </si>
  <si>
    <t>mohsin_mirza@hotmail.com</t>
  </si>
  <si>
    <t>713-992-3159</t>
  </si>
  <si>
    <t>Windster 30-in Ducted 503-CFM Hood</t>
  </si>
  <si>
    <t>Arcadia Garden Lime Crinkle Filler RPC01LM</t>
  </si>
  <si>
    <t>3-Panel Black Clear Glass Room Dividers</t>
  </si>
  <si>
    <t>Radio Flyer Busy Buggy 3-in-1 Walker Red</t>
  </si>
  <si>
    <t>Sandra Escobar</t>
  </si>
  <si>
    <t>2011 Calico Hill Lane</t>
  </si>
  <si>
    <t>dune19692001@gmail.com</t>
  </si>
  <si>
    <t>Airthereal RO Countertop Water Filter System</t>
  </si>
  <si>
    <t>Electric Water Pan</t>
  </si>
  <si>
    <t>Michael Araiza</t>
  </si>
  <si>
    <t>1015 gargan</t>
  </si>
  <si>
    <t>michaelaraiza22@yahoo.com</t>
  </si>
  <si>
    <t>832-322-7773</t>
  </si>
  <si>
    <t>Pavanjit 67"x32" Freestanding Bathtub (AE)</t>
  </si>
  <si>
    <t>nelson guandique</t>
  </si>
  <si>
    <t>5260 Memorial Dr</t>
  </si>
  <si>
    <t>nelsondecompos@yahoo.com</t>
  </si>
  <si>
    <t>Art3d PVC Wave Board Panels White (12)</t>
  </si>
  <si>
    <t>Demejah Haley</t>
  </si>
  <si>
    <t>2431 Cloudy Bay Drive</t>
  </si>
  <si>
    <t>dhaley6316@gmail.com</t>
  </si>
  <si>
    <t>Mixed Pallet Blinds and Misc Items - W3</t>
  </si>
  <si>
    <t>Aircast AirSelect Walker Brace/Boot (Elite) Medium</t>
  </si>
  <si>
    <t>Jessica Williams</t>
  </si>
  <si>
    <t>1185 Olivia Street Apt #130</t>
  </si>
  <si>
    <t>jessicakwilliams007@gmail.com</t>
  </si>
  <si>
    <t>979-453-0035</t>
  </si>
  <si>
    <t>ProHeal Specimen Pan Toilet Hat 40oz (2-Pack)</t>
  </si>
  <si>
    <t>Heavy Duty Upright Rollator Walker (45)</t>
  </si>
  <si>
    <t>Robert Bierstedt</t>
  </si>
  <si>
    <t>2717 Briar View Dr</t>
  </si>
  <si>
    <t>bierstedt@yahoo.com</t>
  </si>
  <si>
    <t>24 in. Front-Control Dishwasher White 50 dBA</t>
  </si>
  <si>
    <t>Chester Baldwin</t>
  </si>
  <si>
    <t>P O Box 1548</t>
  </si>
  <si>
    <t>cdtbaldwin1@gmail.com</t>
  </si>
  <si>
    <t>22" Foldable Reptile Terrarium (Blue)</t>
  </si>
  <si>
    <t>Jeremy Lemmons</t>
  </si>
  <si>
    <t>2625 Hadley Circle</t>
  </si>
  <si>
    <t>jeremy_dajao@live.com</t>
  </si>
  <si>
    <t>Double Tilt Out Trash Cabinet Wood Tabletop (B)</t>
  </si>
  <si>
    <t>Oneluck Extra Large Cat Litter Box 27.5in</t>
  </si>
  <si>
    <t>Thermador Dishwasher</t>
  </si>
  <si>
    <t>GHV Cordless Zebra Blinds   Flaxen (28x64)</t>
  </si>
  <si>
    <t>Compact Dumbbell Rack Stand for Home Gym</t>
  </si>
  <si>
    <t>Luis Meza</t>
  </si>
  <si>
    <t>5409 Farmer Rd</t>
  </si>
  <si>
    <t>Luiemeza455@gmail.com</t>
  </si>
  <si>
    <t>13 in. Diamond Gray Laundry Pedestal with Drawer-(</t>
  </si>
  <si>
    <t>18427 forest dew dr</t>
  </si>
  <si>
    <t>Kcrobmir@aol.com</t>
  </si>
  <si>
    <t>8323689925kcrobmir</t>
  </si>
  <si>
    <t>Livestock Sorting Panel 38x30x1.34 in (Red)</t>
  </si>
  <si>
    <t>Ashley Fertak</t>
  </si>
  <si>
    <t>P.O. Box 1001</t>
  </si>
  <si>
    <t>ashef95@gmail.com</t>
  </si>
  <si>
    <t>CYMAY Bathmat Bath Rug 24" x 43" Buff Orange</t>
  </si>
  <si>
    <t>13747 southwest frwy</t>
  </si>
  <si>
    <t>sugarcreekshell@yahoo.com</t>
  </si>
  <si>
    <t>Castration Banding Tool with 24 Bands</t>
  </si>
  <si>
    <t>Jaime Hernandez</t>
  </si>
  <si>
    <t>8121 Gulick Lane</t>
  </si>
  <si>
    <t>jimmyglz85@gmail.com</t>
  </si>
  <si>
    <t>Dog Car Seat Cover with Mesh Window</t>
  </si>
  <si>
    <t>Jay Raman</t>
  </si>
  <si>
    <t>3430 Binz Street</t>
  </si>
  <si>
    <t>jaypraman@gmail.com</t>
  </si>
  <si>
    <t>GE Profile Spacemaker 1.9 cu ft OTR Microwave Whit</t>
  </si>
  <si>
    <t>Stone Bath Mat Quick Drying 24" x 16" Lotus</t>
  </si>
  <si>
    <t>AmorArc Ceramic Dinnerware Set Service for 8- (C)</t>
  </si>
  <si>
    <t>Evergreen Black Fleur Floor Mat 18x30 Black</t>
  </si>
  <si>
    <t>The Children's Place Girls Skort XXL</t>
  </si>
  <si>
    <t>24in Modern Bathroom Vanity Light Gold</t>
  </si>
  <si>
    <t>Jessica Fleming</t>
  </si>
  <si>
    <t>1110 Plantation Dr</t>
  </si>
  <si>
    <t>jessica.nuspliger@gmail.com</t>
  </si>
  <si>
    <t>30 in. Microwave Trim Kit - SS-(W3)</t>
  </si>
  <si>
    <t>Brianna Belcher</t>
  </si>
  <si>
    <t>6802 Gettysburg drive</t>
  </si>
  <si>
    <t>Brianna10belcher@gmail.com</t>
  </si>
  <si>
    <t>832-721-8521</t>
  </si>
  <si>
    <t>Kanu Surf Infinite Mens Swim Trunks 9" Inseam Size</t>
  </si>
  <si>
    <t>Black Dimmable Chandelier with Remote</t>
  </si>
  <si>
    <t>Acoustic Audio by Goldwood 2.1 System (AA2172)</t>
  </si>
  <si>
    <t>602 Forest Oaks Dr.</t>
  </si>
  <si>
    <t>vmc964@yahoo.com</t>
  </si>
  <si>
    <t>30 in. 4-Burner Recessed Gas Cooktop White-(W3)</t>
  </si>
  <si>
    <t>XIAOAIKA USA National Parks Poster - 20x30</t>
  </si>
  <si>
    <t>The Children's Place Girls Ponte Knit Skort - Size</t>
  </si>
  <si>
    <t>22-Inch Magnetic Privacy Screen</t>
  </si>
  <si>
    <t>Club Car Precedent Front Seat Covers</t>
  </si>
  <si>
    <t>10702 Belshill Street</t>
  </si>
  <si>
    <t>adelaw101@gmail.com</t>
  </si>
  <si>
    <t>Bounty Quick Size Paper Towels 8 rolls</t>
  </si>
  <si>
    <t>Samsung 7.5 cubic Ft gas dryer</t>
  </si>
  <si>
    <t>Yusuf Alarayedh</t>
  </si>
  <si>
    <t>16 Wellington Lane</t>
  </si>
  <si>
    <t>subscriptions@zinjgen.com</t>
  </si>
  <si>
    <t>Harbor/Marcal 1-ply Hard Roll Towels 6 pk</t>
  </si>
  <si>
    <t>Karen Gaines</t>
  </si>
  <si>
    <t>7251 Victorville</t>
  </si>
  <si>
    <t>faithful58kp@gmail.com</t>
  </si>
  <si>
    <t>Insignia Laundry Pedestal for Washer &amp; Dryer-(W3)</t>
  </si>
  <si>
    <t>Kohree 7500lb RV Stabilizer Jacks Set (2)</t>
  </si>
  <si>
    <t>Adalberto Jasso</t>
  </si>
  <si>
    <t>10410 South Oswego Street</t>
  </si>
  <si>
    <t>ajasso1126@gmail.com</t>
  </si>
  <si>
    <t>1-1/4" 25FT Electrical Conduit Kit</t>
  </si>
  <si>
    <t>Jacob Steinman</t>
  </si>
  <si>
    <t>2612 Michael Wayne Rd</t>
  </si>
  <si>
    <t>jsteinman99@gmail.com</t>
  </si>
  <si>
    <t>Esthetician Storage Trolley Cart - 3-Tier</t>
  </si>
  <si>
    <t>danny cano</t>
  </si>
  <si>
    <t>15502 banty Falls ct</t>
  </si>
  <si>
    <t>dannymcano@gmail.com</t>
  </si>
  <si>
    <t>Mobile TV Cart 10-46" Tilt/Rotate White</t>
  </si>
  <si>
    <t>Frigidaire 30-in Under-Cabinet Range Hood White -</t>
  </si>
  <si>
    <t>Stria Machine Woven Throw Blanket</t>
  </si>
  <si>
    <t>Salford Brown Plaid Faux Leather Curtain 50x84 (1</t>
  </si>
  <si>
    <t>Brown Gingham Check Tasseled Cotton Blend Square T</t>
  </si>
  <si>
    <t>Farberware  Radiant 12.25-Inch Frying Pan</t>
  </si>
  <si>
    <t>Fisoew Womens Ski Suit Waterproof Snowsuit - Size</t>
  </si>
  <si>
    <t>Samsung Over-the-Range Microwave with Sensor Cook-</t>
  </si>
  <si>
    <t>13 in Titanium Wok with Lid Nonstick</t>
  </si>
  <si>
    <t>ahsan quddus</t>
  </si>
  <si>
    <t>23227 redberry ln</t>
  </si>
  <si>
    <t>ahsanquddus@gmail.com</t>
  </si>
  <si>
    <t>GATHER 700PCS Gold Plastic Plates Set</t>
  </si>
  <si>
    <t>4.75 in. 1-Light Brushed Nickel Sconce</t>
  </si>
  <si>
    <t>Martha Kontos</t>
  </si>
  <si>
    <t>802 Brunswick Dr.</t>
  </si>
  <si>
    <t>martha_77018@yahoo.com</t>
  </si>
  <si>
    <t>Cast Iron Camp Pie Cooker (2)</t>
  </si>
  <si>
    <t>Thrush Muffler Deep Race Tone Inlet 2.25</t>
  </si>
  <si>
    <t>Samsung StormWash 24-in Dishwasher - W3</t>
  </si>
  <si>
    <t>Demissle Fireplace Hearth Rug 27x48 Inch</t>
  </si>
  <si>
    <t>Anne Klein Sandals Size 8.5M Women s</t>
  </si>
  <si>
    <t>Deepa Dubey</t>
  </si>
  <si>
    <t>13818 Dorado Pointe Dr</t>
  </si>
  <si>
    <t>deepa_b01@yahoo.com</t>
  </si>
  <si>
    <t>626-244-9668</t>
  </si>
  <si>
    <t>Viski Gold 17 oz Stainless Shaker with Strainer</t>
  </si>
  <si>
    <t>Katie Nguyen</t>
  </si>
  <si>
    <t>17919 Barton Ridge Lane</t>
  </si>
  <si>
    <t>katienguyenerr@yahoo.com</t>
  </si>
  <si>
    <t>Ganote Animal Print Faux Cowhide Brown Area Rug -</t>
  </si>
  <si>
    <t>365-Gallon 103" Pink Pool Organizer</t>
  </si>
  <si>
    <t>6314 Anna Mills Lane</t>
  </si>
  <si>
    <t>seven12real@yahoo.com</t>
  </si>
  <si>
    <t>Bosch 800 Series 30" Downdraft Stainless-(W3)</t>
  </si>
  <si>
    <t>Basicwise Kids Lap Desk Tray Pink</t>
  </si>
  <si>
    <t>Laurie Lavoie</t>
  </si>
  <si>
    <t>2102 Fountain Drive</t>
  </si>
  <si>
    <t>run4it4@aol.com</t>
  </si>
  <si>
    <t>Traeger Pellet Grill Storage Shelf Pro 22/575</t>
  </si>
  <si>
    <t>Whirlpool 30 in. 4-Burner Recessed Gas Cooktop (W3</t>
  </si>
  <si>
    <t>Harold Clemons</t>
  </si>
  <si>
    <t>402 Claremont Crossing Dr</t>
  </si>
  <si>
    <t>77573-9064</t>
  </si>
  <si>
    <t>hclemons@gmail.com</t>
  </si>
  <si>
    <t>TapeManBlue Carpet Protection Film 24"x200'</t>
  </si>
  <si>
    <t>Joseph Haddad</t>
  </si>
  <si>
    <t>16635 spring cypress rd unit 2288</t>
  </si>
  <si>
    <t>joseph.haddad@hotmail.com</t>
  </si>
  <si>
    <t>346-452-6596</t>
  </si>
  <si>
    <t>Gaahing 14" x 21" Aluminum Shed Window Kit</t>
  </si>
  <si>
    <t>LaRibbons Wrapping Paper Set 4 Rolls</t>
  </si>
  <si>
    <t>Gold Drum Chandelier: Linen Shade 4-Light</t>
  </si>
  <si>
    <t>4-Step Wooden Dog Stairs for High Beds</t>
  </si>
  <si>
    <t>ZLINE MWHZ-24-G Handle</t>
  </si>
  <si>
    <t>Michael Fuselier</t>
  </si>
  <si>
    <t>5011 Pine Prairie Ln</t>
  </si>
  <si>
    <t>mc_fuselier@yahoo.com</t>
  </si>
  <si>
    <t>702-327-0623</t>
  </si>
  <si>
    <t>Whirlpool 30" 4-Burner Gas Cooktop (W3)</t>
  </si>
  <si>
    <t>kenia sosa</t>
  </si>
  <si>
    <t>7638 quail meadow dr</t>
  </si>
  <si>
    <t>ksosa463@gmail.com</t>
  </si>
  <si>
    <t>Mwdz1hcb</t>
  </si>
  <si>
    <t>James McLean</t>
  </si>
  <si>
    <t>PO Box 511</t>
  </si>
  <si>
    <t>jamesp.mclean@yahoo.com</t>
  </si>
  <si>
    <t>GE Microwave Mounting Kit (White)</t>
  </si>
  <si>
    <t>Navy Steel Bottom Panel for 4-Door Fridge</t>
  </si>
  <si>
    <t>DIY Crew 18" Paper Roll Dispenser &amp; Cutter</t>
  </si>
  <si>
    <t>Folding Dough Rolling Machine Manual Sheeter</t>
  </si>
  <si>
    <t>Cynthia Echols</t>
  </si>
  <si>
    <t>3107 Robinson Road</t>
  </si>
  <si>
    <t>nomad0831@gmail.com</t>
  </si>
  <si>
    <t>EGGKITPO Hotel Pans 6-Pack 4" Stainless Trays</t>
  </si>
  <si>
    <t>10509Hanselman</t>
  </si>
  <si>
    <t>cpself@outlook.com</t>
  </si>
  <si>
    <t>713-594-9696</t>
  </si>
  <si>
    <t>Roof Extractor Fan 171 CFM ETL bearings</t>
  </si>
  <si>
    <t>Victor South</t>
  </si>
  <si>
    <t>8418  Quail Run Court</t>
  </si>
  <si>
    <t>4nonesuch81@gmail.com</t>
  </si>
  <si>
    <t>Deep Seat Cushions for Outdoor Patio Beige</t>
  </si>
  <si>
    <t>DEXI Cushioned Anti Fatigue Kitchen Mats</t>
  </si>
  <si>
    <t>Gerardo Medina</t>
  </si>
  <si>
    <t>12306 Gaylawood Dr</t>
  </si>
  <si>
    <t>Piomedina12@msn.com</t>
  </si>
  <si>
    <t>Basicwise Kids Lap Desk Tray Green</t>
  </si>
  <si>
    <t>Staci Miller</t>
  </si>
  <si>
    <t>15401 CR 185</t>
  </si>
  <si>
    <t>millermail1993@yahoo.com</t>
  </si>
  <si>
    <t>281-331-3864</t>
  </si>
  <si>
    <t>Frigidaire 1.6 cu. ft. Over the Range Microwave in</t>
  </si>
  <si>
    <t>Ha Nguyen</t>
  </si>
  <si>
    <t>3424 East Circle Drive</t>
  </si>
  <si>
    <t>hanguyen2468@gmail.com</t>
  </si>
  <si>
    <t>UNCLE WU Potty Trainer + Liners 18M+</t>
  </si>
  <si>
    <t>Newhai Warming Tray   6 Modes Timer 32x18</t>
  </si>
  <si>
    <t>Drain Clog Remover Kit - 25" Drain Snake (3pc)</t>
  </si>
  <si>
    <t>8" Heavy Duty Casters 4-pack 7000lb</t>
  </si>
  <si>
    <t>Commercial Deep Fryer Filter AF45 304 SS</t>
  </si>
  <si>
    <t>GE 27 in. Electric Wall Oven Steam Self-Cleaning</t>
  </si>
  <si>
    <t>Mark Templin</t>
  </si>
  <si>
    <t>9103 Emmott Road Building 1</t>
  </si>
  <si>
    <t>lightbars@aol.com</t>
  </si>
  <si>
    <t>832-545-3473</t>
  </si>
  <si>
    <t>Shower Chair with Suction Cup Feet</t>
  </si>
  <si>
    <t>Snailax Memory Foam Massage Mat with Heat</t>
  </si>
  <si>
    <t>Chris Billips</t>
  </si>
  <si>
    <t>2902 La Rama</t>
  </si>
  <si>
    <t>Ecu942003@yahoo.com</t>
  </si>
  <si>
    <t>113m</t>
  </si>
  <si>
    <t>Magnolia Home by Joanna Gaines x Loloi Gigi Grey /</t>
  </si>
  <si>
    <t>Kenney 3-Shelf Shower Caddy Chrome</t>
  </si>
  <si>
    <t>Handheld Immersion Blender 1000W Orange</t>
  </si>
  <si>
    <t>Reverse Osmosis Countertop Water Filter 75GPD</t>
  </si>
  <si>
    <t>Maytag 24 in Top-Control Tall Tub Dishwasher Black</t>
  </si>
  <si>
    <t>Electric Chafing Dish Buffet Server A-02</t>
  </si>
  <si>
    <t>Universal TV Stand with Power Outlet White</t>
  </si>
  <si>
    <t>4-Quart Slow Cooker with Warm Setting</t>
  </si>
  <si>
    <t>Cheflee Stand Mixer 660W 6.5Qt Bowl (Blue)</t>
  </si>
  <si>
    <t>GBHOME Ceramic Dinnerware Set 4 12p Blue</t>
  </si>
  <si>
    <t>Tommy Do</t>
  </si>
  <si>
    <t>2406 Parkhaven Drive</t>
  </si>
  <si>
    <t>dotommy820@gmail.com</t>
  </si>
  <si>
    <t>36 in. Smart Range Hood with Light Stainless (W3)</t>
  </si>
  <si>
    <t>BEST OZUMBA</t>
  </si>
  <si>
    <t>25539 cartington ln</t>
  </si>
  <si>
    <t>bozumba@gmail.com</t>
  </si>
  <si>
    <t>832-282-1308</t>
  </si>
  <si>
    <t>Kasepie 3mm Clear Table Cover 20 40in</t>
  </si>
  <si>
    <t>Vansa Hanson</t>
  </si>
  <si>
    <t>5914 Conley</t>
  </si>
  <si>
    <t>vansas@gmail.com</t>
  </si>
  <si>
    <t>FOHERE 200W Meat Slicer 7.5" Dual Blade</t>
  </si>
  <si>
    <t>Patricia Gottberg</t>
  </si>
  <si>
    <t>13942 E Cypress Forest Dr</t>
  </si>
  <si>
    <t>gottberg2000@yahoo.com</t>
  </si>
  <si>
    <t>Solid Wood Checkered Cutting Board 16x12</t>
  </si>
  <si>
    <t>Noble Sifat</t>
  </si>
  <si>
    <t>127 WINDSOR DR</t>
  </si>
  <si>
    <t>noblesifat@gmail.com</t>
  </si>
  <si>
    <t>Razor Crazy Cart Shuffle   Kid Go-Kart</t>
  </si>
  <si>
    <t>Stephanie Perez</t>
  </si>
  <si>
    <t>2814 Scottsdale Palms Dr</t>
  </si>
  <si>
    <t>stephaniemariee@yahoo.com</t>
  </si>
  <si>
    <t>Samsung NQ70R5511D 30" Oven w/Microwave (W3)</t>
  </si>
  <si>
    <t>Shawn Pekley</t>
  </si>
  <si>
    <t>16207 Castlegrove Ct</t>
  </si>
  <si>
    <t>slpekley@hotmail.com</t>
  </si>
  <si>
    <t>RUBIES II Harley Quinn Birds of Prey Prop</t>
  </si>
  <si>
    <t>5 in. Plastic Icemaker Installation Kit</t>
  </si>
  <si>
    <t>70L Large Laundry Hamper Cotton Collapsible</t>
  </si>
  <si>
    <t>Wesiti 6 Pcs Stanchion Post Set with Rope</t>
  </si>
  <si>
    <t>Brittany Steadman</t>
  </si>
  <si>
    <t>7323 Irby Cobb Boulevard</t>
  </si>
  <si>
    <t>bsteadman90@gmail.com</t>
  </si>
  <si>
    <t>Architect Series II Dishwasher White-(W3)</t>
  </si>
  <si>
    <t>1714 Chateau Bend Ct</t>
  </si>
  <si>
    <t>yisangho717@gmail.com</t>
  </si>
  <si>
    <t>Titanium Cutting Boards</t>
  </si>
  <si>
    <t>Devonda Davis</t>
  </si>
  <si>
    <t>5509 Park Thicket Ln</t>
  </si>
  <si>
    <t>devondadavis@live.com</t>
  </si>
  <si>
    <t>Chafing Dishes Buffet Set 9QT Gold/Silver</t>
  </si>
  <si>
    <t>Lamosi 12 oz Disposable Cups with Lids (500)</t>
  </si>
  <si>
    <t>Omzer Toddler Bed Rail (3 Sides) Queen</t>
  </si>
  <si>
    <t>Mumufy 4 Pcs 3.5 gal Square Food Bucket</t>
  </si>
  <si>
    <t>Venezia 36" Convertible Wall Hood with LEDs-(W3)</t>
  </si>
  <si>
    <t>4 Pack Black Dusk to Dawn Outdoor Wall Lantern Sco</t>
  </si>
  <si>
    <t>Cheryl Markham</t>
  </si>
  <si>
    <t>8303 COOK ROAD</t>
  </si>
  <si>
    <t>Cherylmarkham1@aol.com</t>
  </si>
  <si>
    <t>Devontaye 3-Light Square / Rectangle Chandelier Ki</t>
  </si>
  <si>
    <t>Haileyville 64' Arched Floor Lamp with Remote Cont</t>
  </si>
  <si>
    <t>Matt Montes</t>
  </si>
  <si>
    <t>5623 Dairybrook Cove</t>
  </si>
  <si>
    <t>matteomontes@gmail.com</t>
  </si>
  <si>
    <t>Gas Pilot Assembly OE 10002265/64 for Majestic</t>
  </si>
  <si>
    <t>William Garrett</t>
  </si>
  <si>
    <t>2301 Estate Drive</t>
  </si>
  <si>
    <t>a74namsrooc@yahoo.com</t>
  </si>
  <si>
    <t>281-384-7813</t>
  </si>
  <si>
    <t>Delta Roman Tub Rough Faucet R2707</t>
  </si>
  <si>
    <t>Studio 36 in. Smart Wall Mount Hood 600 CFM-(W3)</t>
  </si>
  <si>
    <t>Creative Co-Op Woven Cotton Velvet Pillow</t>
  </si>
  <si>
    <t>Non-slip Stair Treads Carpet Stair Runners - Color</t>
  </si>
  <si>
    <t>Bedsure 301gsm Blanket For Couch - Super Soft Cozy</t>
  </si>
  <si>
    <t>Stadiometer 8-85 in / 20-217 cm</t>
  </si>
  <si>
    <t>Sancua Christmas Red 120" Round Tablecloth 8p</t>
  </si>
  <si>
    <t>Pamela Lockett</t>
  </si>
  <si>
    <t>212 Donatto Dr</t>
  </si>
  <si>
    <t>peachez.edwards@yahoo.com</t>
  </si>
  <si>
    <t>30ft 50A RV Cord NEMA 14-50P/R STW UL/ETL</t>
  </si>
  <si>
    <t>Royal Blue 12 Pcs Metal Buckets with Handles</t>
  </si>
  <si>
    <t>200A Generator Transfer Switch 24k/48kW</t>
  </si>
  <si>
    <t>Doug Clabough</t>
  </si>
  <si>
    <t>PO Box 16605</t>
  </si>
  <si>
    <t>dougclabough@peoplepc.com</t>
  </si>
  <si>
    <t>monTEK Slim Heavy Duty TV Wall Mount 37-90"</t>
  </si>
  <si>
    <t>Jonathan Huynh</t>
  </si>
  <si>
    <t>4011 Kinsey Street</t>
  </si>
  <si>
    <t>Jonathanhuynh04@gmail.com</t>
  </si>
  <si>
    <t>AWQ 200LED 66FT C6 Christmas Lights</t>
  </si>
  <si>
    <t>KMINA Toilet Safety Rails for Elderly</t>
  </si>
  <si>
    <t>MALACASA Flora 26-Piece Dinnerware Set</t>
  </si>
  <si>
    <t>Cobalt Blue 7-Pc Enameled Cast Iron Set</t>
  </si>
  <si>
    <t>Coghlan's Green Trash Can 24 in. H X 19 in. W</t>
  </si>
  <si>
    <t>Shawnette Garcia</t>
  </si>
  <si>
    <t>1933 Holton Ave</t>
  </si>
  <si>
    <t>shawnettemgarcia@gmail.com</t>
  </si>
  <si>
    <t>Aucma Stand Mixer 1400W 6.2L with Hooks (Red)</t>
  </si>
  <si>
    <t>Margaret Lynch-Barone</t>
  </si>
  <si>
    <t>403 Woodard St.</t>
  </si>
  <si>
    <t>cmacbar@gmail.com</t>
  </si>
  <si>
    <t>AWQ 200LED 66ft C6 Christmas Lights 8 Modes</t>
  </si>
  <si>
    <t>159m</t>
  </si>
  <si>
    <t>Wood Table Top</t>
  </si>
  <si>
    <t>Delta Trinsic 24-in Champagne Bronze Towel Bar</t>
  </si>
  <si>
    <t>161m</t>
  </si>
  <si>
    <t>LG Top Control Dishwasher Black Stainless TrueStea</t>
  </si>
  <si>
    <t>17.7" Black Drum Ceiling Light Fixture</t>
  </si>
  <si>
    <t>Male Mannequin Torso with Head 76"</t>
  </si>
  <si>
    <t>Lauren Harrison</t>
  </si>
  <si>
    <t>516 Tennie Street</t>
  </si>
  <si>
    <t>laurenskitchen@yahoo.com</t>
  </si>
  <si>
    <t>2026 4-Channel Car Amplifier 6800W</t>
  </si>
  <si>
    <t>Angel Perez</t>
  </si>
  <si>
    <t>26202 Wildflower Drive</t>
  </si>
  <si>
    <t>appaintingap59@gmail.com</t>
  </si>
  <si>
    <t>Rubber Threshold Ramp with Handle (2pcs)</t>
  </si>
  <si>
    <t>Ngoc Nguyen</t>
  </si>
  <si>
    <t>9110 HAMMERLY BLVD</t>
  </si>
  <si>
    <t>ngoc@persim-co.com</t>
  </si>
  <si>
    <t>Fire Bricks WoodStove 2400F 12 pcs White</t>
  </si>
  <si>
    <t>Frank Pannell</t>
  </si>
  <si>
    <t>5104 Halbert</t>
  </si>
  <si>
    <t>frankp@texasvp.com</t>
  </si>
  <si>
    <t>Frigidaire 24 in. Top Control Tall Tub Dishwasher</t>
  </si>
  <si>
    <t>tanya pittman</t>
  </si>
  <si>
    <t>11941 chanteloup dr</t>
  </si>
  <si>
    <t>pittman.tanya@gmail.com</t>
  </si>
  <si>
    <t>100A Generator Transfer Switch 120/240V</t>
  </si>
  <si>
    <t>Famiware Venus Ceramic Dinnerware Set 24pc</t>
  </si>
  <si>
    <t>Convex Corner Mirror - 12" Security Mirror</t>
  </si>
  <si>
    <t>7-in-1 Slushie Machine 88oz Auto-Clean</t>
  </si>
  <si>
    <t>Automatic Egg Incubator 36-Tray with Auto Flip</t>
  </si>
  <si>
    <t>Garland Kubecka</t>
  </si>
  <si>
    <t>14525 ODay rd</t>
  </si>
  <si>
    <t>Garlandkubecka@gmail.com</t>
  </si>
  <si>
    <t>Bosch 500 24-in Self-Cleaning Wall Oven SS (W3)</t>
  </si>
  <si>
    <t>25ft 50A RV Extension Cord NEMA 14-50P-14-50R</t>
  </si>
  <si>
    <t>NM-B 6/2 Wire with Ground 75 ft</t>
  </si>
  <si>
    <t>Zafre Kazi</t>
  </si>
  <si>
    <t>6432 Gulf Freeway</t>
  </si>
  <si>
    <t>Zafrekazi@gmail.com</t>
  </si>
  <si>
    <t>36 x3/4  Universal Jumper Hose 700 PSI</t>
  </si>
  <si>
    <t>Chafing Dish Buffet Server Set (A-01)</t>
  </si>
  <si>
    <t>Samsung DW80F600UTS/AA Built-in Dishwasher-(W3)</t>
  </si>
  <si>
    <t>120Pcs Christmas Cups 12oz Disposable Bowls</t>
  </si>
  <si>
    <t>Black 4-Quart Slow Cooker Manual Warm</t>
  </si>
  <si>
    <t>Weysat 24 Pcs 24 Oz Plastic Fish Bowl + Straws</t>
  </si>
  <si>
    <t>13L Hot Beverage Dispenser Chafer Urn</t>
  </si>
  <si>
    <t>Vamsi Goramanipalli</t>
  </si>
  <si>
    <t>8308 Morning Melody Dr</t>
  </si>
  <si>
    <t>ursvamsikrishna@gmail.com</t>
  </si>
  <si>
    <t>CAROTE 21Pcs Pots &amp; Pans Set Nonstick - (D)</t>
  </si>
  <si>
    <t>Mario Sarmiento</t>
  </si>
  <si>
    <t>2016 Borthwick Ln</t>
  </si>
  <si>
    <t>77301-4320</t>
  </si>
  <si>
    <t>msarmientodls@gmail.com</t>
  </si>
  <si>
    <t>GE 1.7 cu. ft. Over-the-Range Convection Microwave</t>
  </si>
  <si>
    <t>Vintage Amber 11oz Embossed Wine Glasses (24)</t>
  </si>
  <si>
    <t>Beth Wise</t>
  </si>
  <si>
    <t>1711 Teal Brook Lane</t>
  </si>
  <si>
    <t>bbethwise@gmail.com</t>
  </si>
  <si>
    <t>Black Marble Dish Drying Mat - Fast Dry 17x13</t>
  </si>
  <si>
    <t>Kichgather Sushi Rice Bowl with Lid Hangiri</t>
  </si>
  <si>
    <t>Allgala 3-Piece Wedding Cake Stands Gold</t>
  </si>
  <si>
    <t>Kitchen Induction Cookware &amp; Bakeware Set</t>
  </si>
  <si>
    <t>Whirlpool 30 in. Single Electric Wall Oven   Black</t>
  </si>
  <si>
    <t>Extra Large Cutting Board Stainless Steel</t>
  </si>
  <si>
    <t>Tiny Land Outdoor Mud Kitchen for Kids</t>
  </si>
  <si>
    <t>Food Dehydrator for Jerky 12 Trays 1200W</t>
  </si>
  <si>
    <t>Bavni 6x9 Machine Washable Rug Gray Beige</t>
  </si>
  <si>
    <t>Daniel Poland</t>
  </si>
  <si>
    <t>13954 Hollowgreen Drive</t>
  </si>
  <si>
    <t>dkpoland@gmail.com</t>
  </si>
  <si>
    <t>Electrolux 30" Over-the-Range Convection Microwave</t>
  </si>
  <si>
    <t>GE 7.4 cu ft 120V White Gas Vented Dryer ENERGY ST</t>
  </si>
  <si>
    <t>Esteban Pacheco</t>
  </si>
  <si>
    <t>5740 W Airport BLVD</t>
  </si>
  <si>
    <t>estebanp103@gmail.com</t>
  </si>
  <si>
    <t>GE Front Control Tall Tub Dishwasher in White - (W</t>
  </si>
  <si>
    <t>CAROTE 26-Pcs Pots &amp; Pans Set Nonstick</t>
  </si>
  <si>
    <t>VIVOHOME 6-in-1 Stand Mixer 8.5 Qt Red</t>
  </si>
  <si>
    <t>Luis Gonzalez</t>
  </si>
  <si>
    <t>6026 lynn lane</t>
  </si>
  <si>
    <t>luisgon78@yahoo.com</t>
  </si>
  <si>
    <t>Stove Top Cover 30x22  3 in 1 Tray</t>
  </si>
  <si>
    <t>TheTerra Ceramic Dinnerware Set for 6 18pc</t>
  </si>
  <si>
    <t>Noel Cardenas</t>
  </si>
  <si>
    <t>1616 W Dallas St Apt 126</t>
  </si>
  <si>
    <t>noel.cardenas@live.com</t>
  </si>
  <si>
    <t>Whynter BWR-1662SD 166 Wine Refrigerator - (W3)</t>
  </si>
  <si>
    <t>Weesire Kitchen Mats Set 2 Grey Stripe</t>
  </si>
  <si>
    <t>Ike Solid 70%-85% Blackout Rod Pocket Back Curtain</t>
  </si>
  <si>
    <t>Regina Tobar</t>
  </si>
  <si>
    <t>2735 Colony Dr</t>
  </si>
  <si>
    <t>regina.tobar@yahoo.com</t>
  </si>
  <si>
    <t>832-495-2175</t>
  </si>
  <si>
    <t>2 - Light Dimmable Vanity Light - Finish: Black</t>
  </si>
  <si>
    <t>Nadene Washable Oriental Indoor Rug - Rug Size: Ru</t>
  </si>
  <si>
    <t>Charlotte Bennett</t>
  </si>
  <si>
    <t>4018 Levonshire Drive Apartment 701</t>
  </si>
  <si>
    <t>Cbencce@aol.com</t>
  </si>
  <si>
    <t>Melamine Serving Tray with Handles (2) White</t>
  </si>
  <si>
    <t>Kelly Hernandez</t>
  </si>
  <si>
    <t>1604 Hickory bend Lane</t>
  </si>
  <si>
    <t>kellys0903@gmail.com</t>
  </si>
  <si>
    <t>Bosch SHS5AV56UC 24" Dishwasher - (W3)</t>
  </si>
  <si>
    <t>Chafing Dishes Buffet Set 4-Pack 9QT</t>
  </si>
  <si>
    <t>Katlyn Noravong</t>
  </si>
  <si>
    <t>33506 buckshot lane</t>
  </si>
  <si>
    <t>Katlynnoravong@gmail.com</t>
  </si>
  <si>
    <t>Vero Gold 8" Widespread Faucet Bronze</t>
  </si>
  <si>
    <t>YOSUKATA 14" Carbon Steel Wok Pre-Seasoned</t>
  </si>
  <si>
    <t>Kenney Fast Fit No Tools 7/16" Spring Rod Set</t>
  </si>
  <si>
    <t>Zen Botanical Double Roll - Color: Navy/Copper 33L</t>
  </si>
  <si>
    <t>Dawain Linen Solid Textured 100% Blackout Window D</t>
  </si>
  <si>
    <t>Carissa Reyes</t>
  </si>
  <si>
    <t>706 Loire Ln</t>
  </si>
  <si>
    <t>carissa.reyes@ymail.com</t>
  </si>
  <si>
    <t>Crystal Coupe Glasses 6 7oz Short Stem</t>
  </si>
  <si>
    <t>Mohamed Ammar</t>
  </si>
  <si>
    <t>1660 Katy Gap Road</t>
  </si>
  <si>
    <t>mohamedammarak@gmail.com</t>
  </si>
  <si>
    <t>Samsung 30 in Wall Mount Range Hood with LED Light</t>
  </si>
  <si>
    <t>Downluxe Chair Cushions 16x16x2 Brown 6 Pack</t>
  </si>
  <si>
    <t>Adrian Morales</t>
  </si>
  <si>
    <t>12306 palmway st</t>
  </si>
  <si>
    <t>shinyautocare25@gmail.com</t>
  </si>
  <si>
    <t>832-946-1030</t>
  </si>
  <si>
    <t>WRAPAHOLIC 30" Peacock Wrapping Paper Roll (3)</t>
  </si>
  <si>
    <t>Hughlek Aluminum Decorative Bowl in Gold</t>
  </si>
  <si>
    <t>Sana Ahmed</t>
  </si>
  <si>
    <t>2035 plantation bend dr</t>
  </si>
  <si>
    <t>sana2025ahmed@gmail.com</t>
  </si>
  <si>
    <t>504-509-9522</t>
  </si>
  <si>
    <t>Whirlpool 30 in. 4-Burner Gas Cooktop Black SpeedH</t>
  </si>
  <si>
    <t>Clear Charger Plates 13" Acrylic (50 pc)</t>
  </si>
  <si>
    <t>Chris Loves Julia x Loloi Polly Rug 5  x7 6  - (W2</t>
  </si>
  <si>
    <t>JXGRIDL230 Griddle Parts for GE Stove</t>
  </si>
  <si>
    <t>Terry Thompson</t>
  </si>
  <si>
    <t>5604 FM 2004 Rd</t>
  </si>
  <si>
    <t>Maxman4life@gmail.com</t>
  </si>
  <si>
    <t>Outdoor Projector Screen with Stand 120"</t>
  </si>
  <si>
    <t>Rfiver Swivel Floor TV Stand 32-60" 88 lb</t>
  </si>
  <si>
    <t>KERRY REYES</t>
  </si>
  <si>
    <t>15806 DEL NORTE DR</t>
  </si>
  <si>
    <t>kerry331@gmail.com</t>
  </si>
  <si>
    <t>MyGift 33" Wide Spice Shelf Shabby White/Black Ra</t>
  </si>
  <si>
    <t>GE 36 in. Coil Electric Cooktop with 4 Elements -(</t>
  </si>
  <si>
    <t>Michelle Moore</t>
  </si>
  <si>
    <t>2939 AN County Road 181</t>
  </si>
  <si>
    <t>Pfot952@yahoo.com</t>
  </si>
  <si>
    <t>903-480-1269</t>
  </si>
  <si>
    <t>IMACONE Chafing Dish Buffet Set 2x8QT</t>
  </si>
  <si>
    <t>227m</t>
  </si>
  <si>
    <t>Zephyr Essential Breeze I 36" 250 CFM Hood White -</t>
  </si>
  <si>
    <t>1200TC Premium Cotton-Blend Ultra-Soft Sateen King</t>
  </si>
  <si>
    <t>Buchanan 66-120 in. Nickel Curtain Rod</t>
  </si>
  <si>
    <t>Arlene Pereira</t>
  </si>
  <si>
    <t>23330 Briarstone Harbor Trail Katy TX 77493</t>
  </si>
  <si>
    <t>arlenesouzab@gmail.com</t>
  </si>
  <si>
    <t>XINYAO Electric Ceiling TV Mount with Remote</t>
  </si>
  <si>
    <t>BINO Stackable Storage Drawers Large - 2 Pack</t>
  </si>
  <si>
    <t>Fisher Paykel DD24SCTX9 24" Tall DishDrawer Dishwa</t>
  </si>
  <si>
    <t>Projector Screen with Stand 70" 4K HD</t>
  </si>
  <si>
    <t>Avanti Beverage Cooler - SS &amp; Glass-(W3)</t>
  </si>
  <si>
    <t>SAMSUNG HW-S60D 5.0ch Soundbar w/Dolby Atmos (B)</t>
  </si>
  <si>
    <t>600 CFM Integral Blower-(W3)</t>
  </si>
  <si>
    <t>7.5 cu.ft. Vented Front Load Dryer White (W3)</t>
  </si>
  <si>
    <t>Jenn-Air JJW3430DP 30" Wall Oven 5 cu ft (W3)</t>
  </si>
  <si>
    <t>276m</t>
  </si>
  <si>
    <t>GE 30 in. Electric Wall Oven Self-Cleaning Slate</t>
  </si>
  <si>
    <t>281m</t>
  </si>
  <si>
    <t>286m</t>
  </si>
  <si>
    <t>296m</t>
  </si>
  <si>
    <t>LG 5.2 cu ft Front Load Washer ENERGY STAR-(W3)</t>
  </si>
  <si>
    <t>5918 San Felipe St Apt 8</t>
  </si>
  <si>
    <t>needatafi@gmail.com</t>
  </si>
  <si>
    <t>Samsung 30" Over-the-Range Microwave 1.9 cu ft B</t>
  </si>
  <si>
    <t>30 in. Electric Cooktop Black 5 Elements-(W3)</t>
  </si>
  <si>
    <t>Matthew Bessey</t>
  </si>
  <si>
    <t>3507 Cypressdale Drive</t>
  </si>
  <si>
    <t>mbessey@hotmail.com</t>
  </si>
  <si>
    <t>281-905-1324</t>
  </si>
  <si>
    <t>Samsung Bespoke 1.9 cu ft Over-the-Range Microwave</t>
  </si>
  <si>
    <t>Constance Sirtautas</t>
  </si>
  <si>
    <t>24402 Anderson St</t>
  </si>
  <si>
    <t>csirtautas@gmail.com</t>
  </si>
  <si>
    <t>210-410-4522</t>
  </si>
  <si>
    <t>317m</t>
  </si>
  <si>
    <t>Midnight Chase Lounge-(DE)</t>
  </si>
  <si>
    <t>LG 7.4-cu ft Stackable Gas Dryer</t>
  </si>
  <si>
    <t>Tony Kalajo</t>
  </si>
  <si>
    <t>3107 Westwick Drive</t>
  </si>
  <si>
    <t>tonykalajosfacebook@gmail.com</t>
  </si>
  <si>
    <t>322m</t>
  </si>
  <si>
    <t>Caf  1.7 cu. ft. Over-the-Range Microwave (Black S</t>
  </si>
  <si>
    <t>327m</t>
  </si>
  <si>
    <t>Bosch 500 24-in Convertible Hood with Filter (W3)</t>
  </si>
  <si>
    <t>SPT 10000 BTU Portable AC with Heater-(W3)</t>
  </si>
  <si>
    <t>332m</t>
  </si>
  <si>
    <t>LG Sidekick 1-cu ft 29-in Pedestal Washer (W3)</t>
  </si>
  <si>
    <t>333m</t>
  </si>
  <si>
    <t>Crowe Hand Loomed Wool Sage Area Rug - Rug Size: R</t>
  </si>
  <si>
    <t>Tony MacLeod</t>
  </si>
  <si>
    <t>13 Westpoint Dr</t>
  </si>
  <si>
    <t>tmacleod919@gmail.com</t>
  </si>
  <si>
    <t>337m</t>
  </si>
  <si>
    <t>Frigidaire Gallery 2.2-cu ft Microwave with Sensor</t>
  </si>
  <si>
    <t>342m</t>
  </si>
  <si>
    <t>Broan 36-in Ductless 50-CFM Range Hood (W3)</t>
  </si>
  <si>
    <t>6631 Gleneagles dr</t>
  </si>
  <si>
    <t>davidacorbett@hotmail.com</t>
  </si>
  <si>
    <t>347m</t>
  </si>
  <si>
    <t>Steve Madden Women's Laila Dress - Light Lilac SIZ</t>
  </si>
  <si>
    <t>352m</t>
  </si>
  <si>
    <t>Thermador LINER36 Liner for 36" Range Hood (W3)</t>
  </si>
  <si>
    <t>Utoplike 30x20in Bamboo Cutting Board</t>
  </si>
  <si>
    <t>Feihe 17" Small Android Smart TV for Kitchen</t>
  </si>
  <si>
    <t>Sam Edelman Women s Leigh Size 5 Boots</t>
  </si>
  <si>
    <t>Dolce Vita Womens Geo Size 10</t>
  </si>
  <si>
    <t>357m</t>
  </si>
  <si>
    <t>Bosch 500 30-in 4-Burner Gas Cooktop (W3)</t>
  </si>
  <si>
    <t>NORTHING 17.2" Portable TV for Camping</t>
  </si>
  <si>
    <t>Nantucket Sinks Over Sink Soap Dish Holder</t>
  </si>
  <si>
    <t>30" Bamboo Cutting Board with Juice Groove</t>
  </si>
  <si>
    <t>Simpli-Magic 50L Soft-Close Trash Can - B</t>
  </si>
  <si>
    <t>362m</t>
  </si>
  <si>
    <t>Frigidaire 36 in. Under-Cabinet Convertible Range</t>
  </si>
  <si>
    <t>367m</t>
  </si>
  <si>
    <t>372m</t>
  </si>
  <si>
    <t>AX Waber Mobile TV Stand for 27 65" TVs</t>
  </si>
  <si>
    <t>Stainless Steel Cutting Board Non Toxic 16x11</t>
  </si>
  <si>
    <t>377m</t>
  </si>
  <si>
    <t>Whirlpool 36" Gas Cooktop Stainless (W3)</t>
  </si>
  <si>
    <t>Stone Dish Drying Mats 21.5x15.5 Non-Slip</t>
  </si>
  <si>
    <t>Greenstell TV Stand with Power Outlet 27-65"</t>
  </si>
  <si>
    <t>Reneyro Terc</t>
  </si>
  <si>
    <t>12900 Shadow Creek Pkwy Apt 1101</t>
  </si>
  <si>
    <t>reneyroterc@gmail.com</t>
  </si>
  <si>
    <t>380m</t>
  </si>
  <si>
    <t>Profile 24 2.2 cu ft Built-In Microwave Oven</t>
  </si>
  <si>
    <t>382m</t>
  </si>
  <si>
    <t>Insignia HV Capacitor for Microwave AC (W3)</t>
  </si>
  <si>
    <t>383m</t>
  </si>
  <si>
    <t>Whirlpool WRT311FZDW06 20.5 Cubic Fridge - (MD)</t>
  </si>
  <si>
    <t>Brian Kurtz</t>
  </si>
  <si>
    <t>17607 Auction Barn Road</t>
  </si>
  <si>
    <t>briankurtz0658@gmail.com</t>
  </si>
  <si>
    <t>384m</t>
  </si>
  <si>
    <t>GE 5.0 cu. ft. Smart Front-Load Steam Washer</t>
  </si>
  <si>
    <t>387m</t>
  </si>
  <si>
    <t>Thermador Masterpiece 36 in. Radiant Cooktop Black</t>
  </si>
  <si>
    <t>392m</t>
  </si>
  <si>
    <t>Pivot Frameless Shower Door Matte Black 60x71 (D)</t>
  </si>
  <si>
    <t>397m</t>
  </si>
  <si>
    <t>Tuscany Ivory 6 ft. x 9 ft. Indoor Rug (W2)</t>
  </si>
  <si>
    <t>402m</t>
  </si>
  <si>
    <t>Faustina Performance Abstract Rug Round 5 3  (W2)</t>
  </si>
  <si>
    <t>407m</t>
  </si>
  <si>
    <t>412m</t>
  </si>
  <si>
    <t>Insignia 14-Bottle Wine Cooler</t>
  </si>
  <si>
    <t>417m</t>
  </si>
  <si>
    <t>Samsung 1.6-cu ft 1000W OTR Microwave SS (W3)</t>
  </si>
  <si>
    <t>Robert Knighton</t>
  </si>
  <si>
    <t>2351 Rushbrook Dr</t>
  </si>
  <si>
    <t>rek1914@sbcglobal.net</t>
  </si>
  <si>
    <t>422m</t>
  </si>
  <si>
    <t>GE Profile 2.2 cu ft 1100W Smart Microwave Gray (</t>
  </si>
  <si>
    <t>427m</t>
  </si>
  <si>
    <t>432m</t>
  </si>
  <si>
    <t>LG 30 in Smart Wall Mount Hood with LED (W3)</t>
  </si>
  <si>
    <t>437m</t>
  </si>
  <si>
    <t>442m</t>
  </si>
  <si>
    <t>GE Profile 2.2 cu ft 1100W Smart Microwave Black</t>
  </si>
  <si>
    <t>mary morgan</t>
  </si>
  <si>
    <t>1215 timber lane</t>
  </si>
  <si>
    <t>marydoggettmorgan@yahoo.com</t>
  </si>
  <si>
    <t>281-736-3133</t>
  </si>
  <si>
    <t>444m</t>
  </si>
  <si>
    <t>Sabrina Soto Prism Indoor/Outdoor Rug - Rug Size:</t>
  </si>
  <si>
    <t>447m</t>
  </si>
  <si>
    <t>Kohler 60x42 in. Soaking Tub Right Drain (W3)</t>
  </si>
  <si>
    <t>460m</t>
  </si>
  <si>
    <t>Frigidaire 30" 5.3 cu. ft Self-Cleaning Convection</t>
  </si>
  <si>
    <t>480m</t>
  </si>
  <si>
    <t>GE 27 in. Smart Double Wall Oven</t>
  </si>
  <si>
    <t>490m</t>
  </si>
  <si>
    <t>Samsung 6.3 cu.ft. 5-Burner Electric Range</t>
  </si>
  <si>
    <t>500m</t>
  </si>
  <si>
    <t>GE Profile 27 in. Electric Wall Oven - (W3)</t>
  </si>
  <si>
    <t>501m</t>
  </si>
  <si>
    <t>Petmate Indigo Large Dog House Black/Taupe - (W3)</t>
  </si>
  <si>
    <t>502m</t>
  </si>
  <si>
    <t>Mirage Hand Loomed Viscose Solid Color Rug - Rug S</t>
  </si>
  <si>
    <t>Denise Piedras</t>
  </si>
  <si>
    <t>12431 May st</t>
  </si>
  <si>
    <t>Dpiedras86@gmail.com</t>
  </si>
  <si>
    <t>550m</t>
  </si>
  <si>
    <t>Safavieh Natural Fiber Rug 6' x 9' - (W2)</t>
  </si>
  <si>
    <t>551m</t>
  </si>
  <si>
    <t>Samsung DW80M9960US Premium Plus Dishwasher - (W3)</t>
  </si>
  <si>
    <t>Tricia Phillips</t>
  </si>
  <si>
    <t>140 Phillips Lake Road</t>
  </si>
  <si>
    <t>8b5x65mx69@privaterelay.appleid.com</t>
  </si>
  <si>
    <t>600m</t>
  </si>
  <si>
    <t>Swonder 3-Person Towable Tube for Boats - (W3)</t>
  </si>
  <si>
    <t>404 Insurance Rd</t>
  </si>
  <si>
    <t>jdmoney64@yahoo.com</t>
  </si>
  <si>
    <t>601m</t>
  </si>
  <si>
    <t>Safavieh Natura Reba Rug 6x9ft - (W2)</t>
  </si>
  <si>
    <t>611m</t>
  </si>
  <si>
    <t>SATECH Adhesive Mat 26"x45" Gray (4 mats) - D</t>
  </si>
  <si>
    <t>612m</t>
  </si>
  <si>
    <t>PADOOR 8x10 Area Rug Soft Beige - B</t>
  </si>
  <si>
    <t>651m</t>
  </si>
  <si>
    <t>Maytag MEDC215EW-WW 7.0 CuFt Electric Dryer - (W3)</t>
  </si>
  <si>
    <t>666m</t>
  </si>
  <si>
    <t>LG 7.4 cu. ft. Gas Dryer with Sensor Dry - (W3)</t>
  </si>
  <si>
    <t>David Rioux</t>
  </si>
  <si>
    <t>9627 Padon Road</t>
  </si>
  <si>
    <t>djrioux@icloud.com</t>
  </si>
  <si>
    <t>691m</t>
  </si>
  <si>
    <t>Whirlpool 7.4 cu ft 240V Stackable uChrome Dryer</t>
  </si>
  <si>
    <t>701m</t>
  </si>
  <si>
    <t>Samsung NA36N9755TM/AA 36" Chef Gas Cooktop - (W3)</t>
  </si>
  <si>
    <t>800m</t>
  </si>
  <si>
    <t>Whirlpool 7.4-cu ft Stackable Electric Dryer (Whit</t>
  </si>
  <si>
    <t>900m</t>
  </si>
  <si>
    <t>LG DLEX3370W 7.4 cu ft SteamDryer NFC White - (W3)</t>
  </si>
  <si>
    <t>Aide Barroso</t>
  </si>
  <si>
    <t>1156 ANGUS TRL</t>
  </si>
  <si>
    <t>pebarroso77@gmail.com</t>
  </si>
  <si>
    <t>979-888-8291</t>
  </si>
  <si>
    <t>7777m</t>
  </si>
  <si>
    <t>Tina2 Basic V11 3D Printer Auto Leveling - (A)</t>
  </si>
  <si>
    <t>s20</t>
  </si>
  <si>
    <t>s21</t>
  </si>
  <si>
    <t>s22</t>
  </si>
  <si>
    <t>s23</t>
  </si>
  <si>
    <t>s24</t>
  </si>
  <si>
    <t>Zassenhaus Adjustable Bread Slicer 11.75"</t>
  </si>
  <si>
    <t>3D Hologram Fan 85cm Projector with Remote (Needs</t>
  </si>
  <si>
    <t>Wayne Do</t>
  </si>
  <si>
    <t>24989 Parsons Mill</t>
  </si>
  <si>
    <t>Waynedow1432200@gmail.com</t>
  </si>
  <si>
    <t>Eldon Sivley</t>
  </si>
  <si>
    <t>3501 Greenwood Pl</t>
  </si>
  <si>
    <t>esivley@comcast.net</t>
  </si>
  <si>
    <t>832-651-3044</t>
  </si>
  <si>
    <t>Childcraft Mobile Cubby Unit 24 Tray with 24 Cle</t>
  </si>
  <si>
    <t>Oneluck Extra Large Cat Litter Box 27.5in (BE)</t>
  </si>
  <si>
    <t>Bear Electric Steamer 8.5qt 1200W 2-tier</t>
  </si>
  <si>
    <t>Pamapic 8-Drawers Vanity Desk with Mirror-(CE)</t>
  </si>
  <si>
    <t>MTEN Pickleball Net Portable 22 Ft USAPA</t>
  </si>
  <si>
    <t>InSinkErator Badger 5XP 3/4 HP Disposal Cord (Main</t>
  </si>
  <si>
    <t>Mike Tillman</t>
  </si>
  <si>
    <t>1020 baker rd.</t>
  </si>
  <si>
    <t>Miketillman63@yahoo.com</t>
  </si>
  <si>
    <t>281-236-3610</t>
  </si>
  <si>
    <t>Priline 3D Filament Dryer with Blower</t>
  </si>
  <si>
    <t>Ismael Delossantos</t>
  </si>
  <si>
    <t>1418 Horatio Street</t>
  </si>
  <si>
    <t>ismaeldelossantos@yahoo.com</t>
  </si>
  <si>
    <t>Oneluck Extra Large Cat Litter Box 27.5in - (D)</t>
  </si>
  <si>
    <t>Sharon Troquille</t>
  </si>
  <si>
    <t>114 Nicholas Rd</t>
  </si>
  <si>
    <t>sharontroquille@gmail.com</t>
  </si>
  <si>
    <t>Sarah J. Frank</t>
  </si>
  <si>
    <t>10847 Pioneer Rest Lane</t>
  </si>
  <si>
    <t>sjbroc@gmail.com</t>
  </si>
  <si>
    <t>Washable Rugs 6x9 Non Slip Area Rug - Brown</t>
  </si>
  <si>
    <t>Melvin Ruiz</t>
  </si>
  <si>
    <t>749 East Princeton Lane</t>
  </si>
  <si>
    <t>fox_in_the_hound@ymail.com</t>
  </si>
  <si>
    <t>Solera Super Shade 10' X 13'</t>
  </si>
  <si>
    <t>Hubert cheng</t>
  </si>
  <si>
    <t>704 Reinerman St</t>
  </si>
  <si>
    <t>hubertc80@gmail.com</t>
  </si>
  <si>
    <t>6-Lights Rustic Metal Ceiling Light Black</t>
  </si>
  <si>
    <t>Frayed Lattice 72 in. Oatmeal Shower Curtain</t>
  </si>
  <si>
    <t>Air Hose Reel 3/8 x65  Auto Rewind 300PSI (D)</t>
  </si>
  <si>
    <t>Patrick Kappel</t>
  </si>
  <si>
    <t>18418 Glenn Haven Estates Drive</t>
  </si>
  <si>
    <t>patrick.kappel@yahoo.com</t>
  </si>
  <si>
    <t xml:space="preserve"> Thicket Wildflowers  by Timothy O' Toole Painti</t>
  </si>
  <si>
    <t>Garland Brown Oatmeal Upholstered Chairs (2) (D)</t>
  </si>
  <si>
    <t>Jeremy Lowrance</t>
  </si>
  <si>
    <t>3718 alberta</t>
  </si>
  <si>
    <t>jeremylowrancefxd@gmail.com</t>
  </si>
  <si>
    <t>858-429-8545</t>
  </si>
  <si>
    <t>Whirlpool 30-in Black Range Hood</t>
  </si>
  <si>
    <t>Artestia Electric Warming Tray 17.5"x12.2"</t>
  </si>
  <si>
    <t>Propane Tank Dolly Cart for 5lb/20lb</t>
  </si>
  <si>
    <t>Shiraly Durdyyev</t>
  </si>
  <si>
    <t>12323 Glenmeadow dr</t>
  </si>
  <si>
    <t>durdyyev24@gmail.com</t>
  </si>
  <si>
    <t>(346) 606-1270</t>
  </si>
  <si>
    <t>20 Pack Matte Black &amp; Champagne Cabinet Knobs</t>
  </si>
  <si>
    <t>Razor MX650 Dirt Rocket eBike - 17 mph/10 mi - (A)</t>
  </si>
  <si>
    <t>Sandra Board</t>
  </si>
  <si>
    <t>3107 Belton Ln</t>
  </si>
  <si>
    <t>Doggiestylz4u@hotmail.com</t>
  </si>
  <si>
    <t>365 Gallon 103" Pink Pool Storage Bin Organizer</t>
  </si>
  <si>
    <t>Maitland Smith Leather Executive Chair - (S)</t>
  </si>
  <si>
    <t>225A Generator Transfer Switch 3P General-Duty Do</t>
  </si>
  <si>
    <t>Insignia 17 Cu. Ft Garage Upright Freezer - (MD)</t>
  </si>
  <si>
    <t>Tredre Fire Tongs &amp; Poker Set Stainless Steel</t>
  </si>
  <si>
    <t>Flash Furniture Beverly White Chair</t>
  </si>
  <si>
    <t>Odette Landry</t>
  </si>
  <si>
    <t>3902 Silver Ridge Blvd</t>
  </si>
  <si>
    <t>Alohaodette@hotmail.com</t>
  </si>
  <si>
    <t>Bounce House Mat with Ground Tarp &amp; Stakes</t>
  </si>
  <si>
    <t>Tail treasures Dog Car Seat Cover Car</t>
  </si>
  <si>
    <t>Coavas One Way Window Film 23.6x118.1 in</t>
  </si>
  <si>
    <t>Wallace &amp; Williamson Teak Shower Stool</t>
  </si>
  <si>
    <t>Nina Giannini</t>
  </si>
  <si>
    <t>8502 Hidalgo Drive</t>
  </si>
  <si>
    <t>nina@hudsonbuildingsystems.com</t>
  </si>
  <si>
    <t>Insulated 5-Gallon Beverage Dispenser</t>
  </si>
  <si>
    <t>Alan Stubbs</t>
  </si>
  <si>
    <t>3 Regent Court</t>
  </si>
  <si>
    <t>alanstubbs@comcast.net</t>
  </si>
  <si>
    <t>713-816-6418</t>
  </si>
  <si>
    <t>HZZEDNG Folding Cane with Seat 400 lb</t>
  </si>
  <si>
    <t>Ajay joseph</t>
  </si>
  <si>
    <t>511 Whitney Oaks Lane</t>
  </si>
  <si>
    <t>ajaypj33@gmail.com</t>
  </si>
  <si>
    <t>VIVOHOME 660W 6-Qt Stand Mixer Blue</t>
  </si>
  <si>
    <t>Khalil Rahwan</t>
  </si>
  <si>
    <t>943 Brunswick Circle</t>
  </si>
  <si>
    <t>Krahwan@hotmail.com</t>
  </si>
  <si>
    <t>GE 7.8-cu ft Gas Dryer Satin Nickel (M)</t>
  </si>
  <si>
    <t>Rosie Pierce</t>
  </si>
  <si>
    <t>9406 Crystal Bay Lane</t>
  </si>
  <si>
    <t>rosiempierce@gmail.com</t>
  </si>
  <si>
    <t>(805) 444-6543</t>
  </si>
  <si>
    <t>Toilet Seat Elongated</t>
  </si>
  <si>
    <t>Aucma 8QT Stand Mixer 900W 6-Speed Black</t>
  </si>
  <si>
    <t>Angelica Reyes</t>
  </si>
  <si>
    <t>19234 Sandelford Dr</t>
  </si>
  <si>
    <t>reyesa12@gmail.com</t>
  </si>
  <si>
    <t>L-Shaped Kitchen Rug Non-Slip 39"x59"</t>
  </si>
  <si>
    <t>IMACONE 7QT Soup Chafer Set (4)</t>
  </si>
  <si>
    <t>Schleich Peppertree Riding Arena Playset</t>
  </si>
  <si>
    <t>Octonauts Above &amp; Beyond Octoray Playset 7P</t>
  </si>
  <si>
    <t>Melissa &amp; Doug Chef's Kitchen - Charcoal-(D)</t>
  </si>
  <si>
    <t>Wayna Newsome</t>
  </si>
  <si>
    <t>3327 Farrel Hill St</t>
  </si>
  <si>
    <t>waynanewsome@gmail.com</t>
  </si>
  <si>
    <t>Livex Everett 1-Light Semi-Flush Nickel</t>
  </si>
  <si>
    <t>365 Gallon 103" Pool Storage Bin Organizer</t>
  </si>
  <si>
    <t>Le Bos Womens 3-Piece Elegant Social Pant Set Size</t>
  </si>
  <si>
    <t>Duane Tillis</t>
  </si>
  <si>
    <t>5243 Dewberry Street</t>
  </si>
  <si>
    <t>duanetillis2014@gmail.com</t>
  </si>
  <si>
    <t>832-989-6571</t>
  </si>
  <si>
    <t>59" x 30" White Freestanding Tub (DE)</t>
  </si>
  <si>
    <t>Perfectware Popcorn Kit: Salt Kernels Oil Shake</t>
  </si>
  <si>
    <t>1311 Musselburgh Court</t>
  </si>
  <si>
    <t>zuripeeples@gmail.com</t>
  </si>
  <si>
    <t>Conner Mullins</t>
  </si>
  <si>
    <t>13615 Oak Bend Forest Drive</t>
  </si>
  <si>
    <t>connerrmullins@gmail.com</t>
  </si>
  <si>
    <t>Entina TINA2Plus V3 3D Printer WiFi - FOR PARTS A</t>
  </si>
  <si>
    <t>Daniel Valdez</t>
  </si>
  <si>
    <t>115 Oxford Ct</t>
  </si>
  <si>
    <t>valdezdaniel79@yahoo.com</t>
  </si>
  <si>
    <t>GE 30" Telescoping Black Downdraft Range Hood (B)</t>
  </si>
  <si>
    <t>Biboraya 2-Pack 21" Pull Out Cabinet Storage</t>
  </si>
  <si>
    <t>1.6L Head Gasket Set for Select Ford Vehicles 2013</t>
  </si>
  <si>
    <t>11903 Davis Mountain Drive</t>
  </si>
  <si>
    <t>mkakbani@gmail.com</t>
  </si>
  <si>
    <t>Kitchen in the Box Stand Mixer 6.5QT Black</t>
  </si>
  <si>
    <t>James Filaroska</t>
  </si>
  <si>
    <t>9819 sand pass lane</t>
  </si>
  <si>
    <t>Jroska730@gmail.com</t>
  </si>
  <si>
    <t>7.5 qt 6-Speed Blue 9-in-1 Stand Mixer</t>
  </si>
  <si>
    <t>Sydney bowles</t>
  </si>
  <si>
    <t>3423 BEACON HILL DR</t>
  </si>
  <si>
    <t>srbowles88@yahoo.com</t>
  </si>
  <si>
    <t>Essa 55' Solid Wood Console Table (D)</t>
  </si>
  <si>
    <t>Darathy 1.125" dia. Single Curtain Rod - Color: Si</t>
  </si>
  <si>
    <t>unique Anderson</t>
  </si>
  <si>
    <t>3203 chalfont</t>
  </si>
  <si>
    <t>shopcitysearch@gmail.com</t>
  </si>
  <si>
    <t>upsimples 22x30 Picture Frame with Mat Black</t>
  </si>
  <si>
    <t>Plexiglass Round Sheet 18"   Clear 2 pcs</t>
  </si>
  <si>
    <t>Robert Helfinstine</t>
  </si>
  <si>
    <t>8807 Stroud Dr.</t>
  </si>
  <si>
    <t>swimmingpoolbob@gmail.com</t>
  </si>
  <si>
    <t>Chef Crafts Stand Mixer 6.5 QT</t>
  </si>
  <si>
    <t>Anatole Fry Cutter 1/4-1/2" Wedges Blades</t>
  </si>
  <si>
    <t>ZLINE KB-36 36" Wall Mount Vent Hood-(M)</t>
  </si>
  <si>
    <t>Double Arm 50FT Pressure Washer Reel (Reel and Lea</t>
  </si>
  <si>
    <t>Applied Technologies 20' Fast Set Crack Kit</t>
  </si>
  <si>
    <t>Zolpoyia 3 in 1 Folding Hand Truck Dolly 660lbs</t>
  </si>
  <si>
    <t>Chenault Soft Absorbent Microfiber Non-Slip Backin</t>
  </si>
  <si>
    <t>Henri Olivier</t>
  </si>
  <si>
    <t>2011 West T C Jester Blvd</t>
  </si>
  <si>
    <t>henri.olivier@sbcglobal.net</t>
  </si>
  <si>
    <t>11 Rolls of Bamboo Toliet Paper</t>
  </si>
  <si>
    <t>Interlocking PVC Garage Tiles 60 Pack</t>
  </si>
  <si>
    <t>RESARE Area Rug 8x10 - Olive Green - (D)</t>
  </si>
  <si>
    <t>jeremy bowman</t>
  </si>
  <si>
    <t>13123 Suzanne St</t>
  </si>
  <si>
    <t>yerem09@gmail.com</t>
  </si>
  <si>
    <t>Hong Kong Night Pillow Cover 12x20</t>
  </si>
  <si>
    <t>Welnek 1800W 4-in-1 Bath Exhaust Fan with Light</t>
  </si>
  <si>
    <t>Halloween Artificial Flower Decor: Spider/Bat</t>
  </si>
  <si>
    <t>Samsung Bespoke 4-Door French Door Refrigerator -</t>
  </si>
  <si>
    <t>SANSUI 25 QHD Gaming Monitor 300Hz</t>
  </si>
  <si>
    <t>LG 30-in Ducted Black Stainless Range Hood-(D)</t>
  </si>
  <si>
    <t>Dominator 40 Lb. Charcoal Gray Polymeric Sand</t>
  </si>
  <si>
    <t>Recessed Toilet Paper Holder</t>
  </si>
  <si>
    <t>Zonon 41" Grocery Roll Bag Holder Dispenser Black</t>
  </si>
  <si>
    <t>VIVOHOME Water Distiller 4L 750W White</t>
  </si>
  <si>
    <t>Jay G</t>
  </si>
  <si>
    <t>140 Disney St</t>
  </si>
  <si>
    <t>77583-2782</t>
  </si>
  <si>
    <t>jay_gala_94@yahoo.com</t>
  </si>
  <si>
    <t>Heavy Duty PVC Garage Floor Tiles 60 Pack</t>
  </si>
  <si>
    <t>Changshade 100% Blackout Roller Shades 21"x72" Bl</t>
  </si>
  <si>
    <t>PLA Classic Black 1.75mm (5 Packs)</t>
  </si>
  <si>
    <t>Wilfredo Dasta</t>
  </si>
  <si>
    <t>9307 Janda Rd</t>
  </si>
  <si>
    <t>wildasta@gmail.com</t>
  </si>
  <si>
    <t>281-704-4905</t>
  </si>
  <si>
    <t>Cold Press Juicer 5.5" Wide Feed Chute Black</t>
  </si>
  <si>
    <t>PLA Classic Black 1.75mm (5pks)</t>
  </si>
  <si>
    <t>Yousoontic Gothic Halloween Yard Sign</t>
  </si>
  <si>
    <t>Sourdough Bread Slicer Adjustable Thickness</t>
  </si>
  <si>
    <t>Wojciech Bielecki</t>
  </si>
  <si>
    <t>721 Shady Hollow Dr.</t>
  </si>
  <si>
    <t>wojtektexas@gmail.com</t>
  </si>
  <si>
    <t>Shed Ramps 27.6" x 37.4" Threshold Ramps - C</t>
  </si>
  <si>
    <t>TOCRETOARE 100 Pack 26" Aluminum Balusters</t>
  </si>
  <si>
    <t>Coconut 32" Long T Post Driver Handles Black</t>
  </si>
  <si>
    <t>Matt Lyssy</t>
  </si>
  <si>
    <t>7110 Brazos Lakes Dr</t>
  </si>
  <si>
    <t>melyssy@gmail.com</t>
  </si>
  <si>
    <t>Sage Green Doster Table Runner  72x16</t>
  </si>
  <si>
    <t>ANYCUBIC Photon Mono 4 Resin 3D Printer</t>
  </si>
  <si>
    <t>Purewell 3-Stage Gravity Water Filter (PW-OB-K)-(B</t>
  </si>
  <si>
    <t>Nellie Cass</t>
  </si>
  <si>
    <t>P.O. Box 842</t>
  </si>
  <si>
    <t>Vajkasen@yahoo.com</t>
  </si>
  <si>
    <t>Henoyso 50 Pcs Menu Covers 8.5x11 A4 Black</t>
  </si>
  <si>
    <t>Thereye 7-Stage RO Countertop Purifier</t>
  </si>
  <si>
    <t>ZYZCLES 4-Channel Car Amp 6800W Max</t>
  </si>
  <si>
    <t>Chris Burrell</t>
  </si>
  <si>
    <t>5822 Heatherbloom</t>
  </si>
  <si>
    <t>marquise1980@gmail.com</t>
  </si>
  <si>
    <t>Equator 7.6cf Smart Dryer Closet 4Hangers-(CE)</t>
  </si>
  <si>
    <t>Baking Steel - Original Pizza Stone</t>
  </si>
  <si>
    <t>Commercial Soup Warmer with Hinged Lid</t>
  </si>
  <si>
    <t>Melodie Halfen</t>
  </si>
  <si>
    <t>1706 Sabine Ln</t>
  </si>
  <si>
    <t>Melhalfen@gmail.com</t>
  </si>
  <si>
    <t>99m</t>
  </si>
  <si>
    <t>Insignia 3.5 cu.ft Chest Freezer-(W3)</t>
  </si>
  <si>
    <t>Luz Guevara</t>
  </si>
  <si>
    <t>7909 S Sam Houston Pkwy E apt 728</t>
  </si>
  <si>
    <t>luzguevara0428@gmail.com</t>
  </si>
  <si>
    <t>832-988-8016</t>
  </si>
  <si>
    <t>GHV Cordless Zebra Blinds 32x64</t>
  </si>
  <si>
    <t>KOHLER Memoirs 2-Piece Toilet 1.28 Gpf (D)</t>
  </si>
  <si>
    <t>Rubie's Bilbo Baggins Sword Costume Accessory</t>
  </si>
  <si>
    <t>Delfina Scott</t>
  </si>
  <si>
    <t>314 Apache Field Lane</t>
  </si>
  <si>
    <t>delfinascott@gmail.com</t>
  </si>
  <si>
    <t>6-Light Vanity Lights with Clear Glass Shades (D)</t>
  </si>
  <si>
    <t>103m</t>
  </si>
  <si>
    <t>Stupell Triceratops Dinosaur Canvas Wall Art</t>
  </si>
  <si>
    <t>105m</t>
  </si>
  <si>
    <t>Anti-Slip Aluminum Stair Edging Black (6 pc) 35.5i</t>
  </si>
  <si>
    <t>Creative Co-Op Woven Cotton Slub Pillow Grey</t>
  </si>
  <si>
    <t>LazBlinds Custom Cordless Roller Window Shades (1</t>
  </si>
  <si>
    <t>Natwind 3 Tier Printer Stand Rolling Table - (D)</t>
  </si>
  <si>
    <t>LG 7.4 cu. ft. Vented Gas Dryer - Black Steel - (M</t>
  </si>
  <si>
    <t>Orlimar ATS Junior Girl's Golf Clubs RH</t>
  </si>
  <si>
    <t>Lita Maria Cruz</t>
  </si>
  <si>
    <t>4606 Perry Street</t>
  </si>
  <si>
    <t>lita_maria_cruz@yahoo.com</t>
  </si>
  <si>
    <t>(832) 904-7880</t>
  </si>
  <si>
    <t>Mainstays Cordless Light Filtering Shade 27x72</t>
  </si>
  <si>
    <t>Red-Full Brim 4 Pt Ratchet Suspension</t>
  </si>
  <si>
    <t>Thomas Thomas</t>
  </si>
  <si>
    <t>17910 Asphodel ln</t>
  </si>
  <si>
    <t>tnthomas66@gmail.com</t>
  </si>
  <si>
    <t>Better Than Paper Bulletin Board Roll</t>
  </si>
  <si>
    <t>Stephen Wells</t>
  </si>
  <si>
    <t>726 Gavin Walker Dr</t>
  </si>
  <si>
    <t>stephenwellsjr@hotmail.com</t>
  </si>
  <si>
    <t>Stupell Howling Brown Dog Portrait Dyachenko</t>
  </si>
  <si>
    <t>Insignia Mini Fridge 4.4Cubic FT (C)</t>
  </si>
  <si>
    <t>Zahra Hussain</t>
  </si>
  <si>
    <t>10888 Huntington Estates Drive</t>
  </si>
  <si>
    <t>zahra.hussain@rocketmail.com</t>
  </si>
  <si>
    <t>PacknWood Coffee Lid Fits 8oz Cups D: 3.15"</t>
  </si>
  <si>
    <t>Stupell Beach Life Text Palm Tree Outline</t>
  </si>
  <si>
    <t>Dacor ADMWTK301S 30 Trim Kit for DMW2420 Microwave</t>
  </si>
  <si>
    <t>Indoor Soccer Game Set Kick and Stick 2ft</t>
  </si>
  <si>
    <t>Traditional Asian Wall Poster 43.3x16.5</t>
  </si>
  <si>
    <t>Whirlpool Smart Capable 7.4-cu ft Dryer - (MD)</t>
  </si>
  <si>
    <t>Stupell Abstract Vintage Horse Canvas Wall Art</t>
  </si>
  <si>
    <t>Frosted Table Cover 22x40 1.5mm PVC Mat</t>
  </si>
  <si>
    <t>vicky Nall</t>
  </si>
  <si>
    <t>8144 Blase Rd</t>
  </si>
  <si>
    <t>vickycnall@gmail.com</t>
  </si>
  <si>
    <t>Stupell New York Pennant Black Wall Art</t>
  </si>
  <si>
    <t>White Cordless Vinyl Blind 30x36</t>
  </si>
  <si>
    <t>Kenney Baked Enamel White Curtain Rod 28x48 in</t>
  </si>
  <si>
    <t>LG 27" W 1 cu ft Pedestal Washer Black(D)</t>
  </si>
  <si>
    <t>RUBIES II Harley Quinn Birds of Prey Costume</t>
  </si>
  <si>
    <t>Restart - by Gordon Korman (Paperback)</t>
  </si>
  <si>
    <t>Komzer Hinged Knee Brace Post-Op ROM</t>
  </si>
  <si>
    <t>LG 29 in. Laundry Pedestal with Storage Drawer (B)</t>
  </si>
  <si>
    <t>Alan Macha</t>
  </si>
  <si>
    <t>2227 10th St</t>
  </si>
  <si>
    <t>alanmacha@gmail.com</t>
  </si>
  <si>
    <t>281-917-5822</t>
  </si>
  <si>
    <t>LS'BABQ Cooking Grate for Cuisinart CGG-306</t>
  </si>
  <si>
    <t>Craftersmark Outdoor Ceiling Light with Motion</t>
  </si>
  <si>
    <t>UBMOVE TV Moving Box up to 70" Adjustable Box</t>
  </si>
  <si>
    <t>Samsung 27 in. Laundry Pedestal with Drawer</t>
  </si>
  <si>
    <t>30" x 36" Green and White Be Merry Canvas Art</t>
  </si>
  <si>
    <t>ZELUS 8' Folding Balance Beam w/Carry Handles - (D</t>
  </si>
  <si>
    <t>Leslie Goffney</t>
  </si>
  <si>
    <t>8014 Split Pine Drive</t>
  </si>
  <si>
    <t>Lgoffneycomp@yahoo.com</t>
  </si>
  <si>
    <t>kaiyomi 8Pcs Stanchions with Ropes</t>
  </si>
  <si>
    <t>RUSPEPA Yellow Wrapping Paper - 30"x32.8'</t>
  </si>
  <si>
    <t>Mary Dilger-Rogge</t>
  </si>
  <si>
    <t>12214 CARRIAGE HILL DR</t>
  </si>
  <si>
    <t>mr0474@swbell.net</t>
  </si>
  <si>
    <t>Whirlpool 30 in. Non-Vented Range Hood - Stainless</t>
  </si>
  <si>
    <t>Farmhouse Fall Pillow Cover 18x18 CC1670</t>
  </si>
  <si>
    <t>LG 7.3 Cu. Ft. Vented Gas Dryer with Sensor Dry (M</t>
  </si>
  <si>
    <t>CREWORKS 30L Ultrasonic Cleaner 600W</t>
  </si>
  <si>
    <t>Lyndon Video Game Controllers Wall Decor Set</t>
  </si>
  <si>
    <t>GII Cordless Vinyl Mini Blind 1in Slats</t>
  </si>
  <si>
    <t>BONTEC TV Wall Mount with 40.9" Ext 132lbs</t>
  </si>
  <si>
    <t>Wynwood Studio Abstract Canvas Art 20"x24"</t>
  </si>
  <si>
    <t>Fiberglass Antenna Kit for Helium Hotspot</t>
  </si>
  <si>
    <t>Cold Therapy System: Quiet Knee Ice Machine</t>
  </si>
  <si>
    <t>Traci Slagle</t>
  </si>
  <si>
    <t>5210 Knight Road</t>
  </si>
  <si>
    <t>Tslagle15@gmail.com</t>
  </si>
  <si>
    <t>Aesthetic Canvas Wall Art Set of 3 (Pink)</t>
  </si>
  <si>
    <t>Stupell Lily of Valley Flower Hair 20x16</t>
  </si>
  <si>
    <t>Samsung 7.5 Cu. Ft. Electric Dryer Sensor Dry (M)</t>
  </si>
  <si>
    <t>Mirsad Pintol</t>
  </si>
  <si>
    <t>10419 Falling River Dr</t>
  </si>
  <si>
    <t>mpintol@yahoo.com</t>
  </si>
  <si>
    <t>Farberware Potato Masher Stainless Steel</t>
  </si>
  <si>
    <t>BAOSHISHAN NDJ-1 Rotary Viscometer 10-100k</t>
  </si>
  <si>
    <t>LG Chrome Stacking Kit for Washer and Dryer</t>
  </si>
  <si>
    <t>Enboya D60+ Robot Vacuum with Self-Empty Base</t>
  </si>
  <si>
    <t>Bosch 800 Series 24" Stainless Dishwasher 42 dBA</t>
  </si>
  <si>
    <t>Arthur Schmitt</t>
  </si>
  <si>
    <t>2135 Windmill Dr</t>
  </si>
  <si>
    <t>arthurschmitt277@gmail.com</t>
  </si>
  <si>
    <t>Teak Cutting Board - 19.7x12.2" Extra Thick</t>
  </si>
  <si>
    <t>Michael Edgar</t>
  </si>
  <si>
    <t>2426 Jasmine Ridge Ct</t>
  </si>
  <si>
    <t>michael.h.edgar@gmail.com</t>
  </si>
  <si>
    <t>Moen Preston Chrome Towel Bar 18 in. L Zinc</t>
  </si>
  <si>
    <t>Rubber Stair Treads Non-Slip 42 x10  (5-Pack)</t>
  </si>
  <si>
    <t>Slushie Machine 88oz Frozen Drink &amp; Ice Cream</t>
  </si>
  <si>
    <t>Vintage Carved Wall Mirror 36"x24" Silver</t>
  </si>
  <si>
    <t>New Air Dual Zone 15 in. 29-Bottle Wine Cooler Fri</t>
  </si>
  <si>
    <t>Emilianna Geometric Indoor Rug</t>
  </si>
  <si>
    <t>EASTPUS 68oz Slushie Machine 6 Presets</t>
  </si>
  <si>
    <t>Hiteemer 36" Food Heat Lamp 1000W Silver</t>
  </si>
  <si>
    <t>EIBOS Filament Dryer Box 360  Heating</t>
  </si>
  <si>
    <t>KIMODE Cushioned Anti Fatigue Mats Set 2</t>
  </si>
  <si>
    <t>Outdoor Umbrella-(C)</t>
  </si>
  <si>
    <t>Kaleb Van Kampen</t>
  </si>
  <si>
    <t>3 County Road 6491</t>
  </si>
  <si>
    <t>k_vankampen009@yahoo.com</t>
  </si>
  <si>
    <t>Oneluck Extra Large Cat Litter Box 27.5in -(D)</t>
  </si>
  <si>
    <t>Whirlpool 36" Wall Range Hood Black Steel-(D)</t>
  </si>
  <si>
    <t>Hollaway Floral Handmade Tufted Wool Red/Orange Ar</t>
  </si>
  <si>
    <t>Oriental Weavers Maharaja Rug 5091Q - 5 3  x 7 6</t>
  </si>
  <si>
    <t>T McFadden</t>
  </si>
  <si>
    <t>7035 W Grand Parkway S Suite 85</t>
  </si>
  <si>
    <t>tsofla@hotmail.com</t>
  </si>
  <si>
    <t>832-552-2118</t>
  </si>
  <si>
    <t>GE 28 in. Laundry Pedestal in Blue with Pedestal (</t>
  </si>
  <si>
    <t>Black+Decker 0.9 cu ft White Steel Washer - (D)</t>
  </si>
  <si>
    <t>4.5 cu ft Mini Fridge with Freezer - (MD)</t>
  </si>
  <si>
    <t>Electrolux Washer/Dryer Laundry Pedestal Blue - (M</t>
  </si>
  <si>
    <t>GE 27 in. Built-In Trim Kit Stainless Steel (C)</t>
  </si>
  <si>
    <t>Rizzo Oak Dining Table - (W3)</t>
  </si>
  <si>
    <t>C5G1216 5th Wheel Gooseneck Adapter 20k GVW - Ele</t>
  </si>
  <si>
    <t>247m</t>
  </si>
  <si>
    <t>GE Profile Washer/Dryer Pedestal Carbon Graphite</t>
  </si>
  <si>
    <t>Samsung - Bespoke 27-in Laundry Pedestal with Stor</t>
  </si>
  <si>
    <t>keith tucker</t>
  </si>
  <si>
    <t>13810 ivymist court</t>
  </si>
  <si>
    <t>keith.tucker223@gmail.com</t>
  </si>
  <si>
    <t>Oneluck Extra Large Cat Litter Box 27.5in -(A)</t>
  </si>
  <si>
    <t>Pontoon Bimini Top Fits 92-102" W - (D)</t>
  </si>
  <si>
    <t>Zephyr 36" Stainless Steel Range Hood Insert (BE)</t>
  </si>
  <si>
    <t>291m</t>
  </si>
  <si>
    <t>Chimney Extension for Bosch Wall Range Hood (B)</t>
  </si>
  <si>
    <t>Amara Tempered Glass and Aluminum Alloy Framed Fre</t>
  </si>
  <si>
    <t>GE Washer/Dryer 7" Pedestal Sapphire Blue (B)</t>
  </si>
  <si>
    <t>305m</t>
  </si>
  <si>
    <t>Classic Retro 23.8" 11.7 cu ft Refrigerator (MD)</t>
  </si>
  <si>
    <t>1803 Chase Street</t>
  </si>
  <si>
    <t>jackwitte@protonmail.com</t>
  </si>
  <si>
    <t>LG 5.0 cu. ft. Top Load Washer (W3)</t>
  </si>
  <si>
    <t>LG 7.4 Cu. Ft. Smart Electric Dryer</t>
  </si>
  <si>
    <t>323m</t>
  </si>
  <si>
    <t>LG 7.4-cu ft Stackable Gas Dryer - W3E</t>
  </si>
  <si>
    <t>324m</t>
  </si>
  <si>
    <t>Thermador Sapphire 24" Dishwasher - (W3)</t>
  </si>
  <si>
    <t>Brushed Black 7.4 cu. ft. Dryer - (MD)</t>
  </si>
  <si>
    <t>CAMMOO 4 Pans Stainless Buffet Chafing Dishes -(MC</t>
  </si>
  <si>
    <t>Shelia Frank</t>
  </si>
  <si>
    <t>30018 Cherry Sage Ln</t>
  </si>
  <si>
    <t>threesisterscajunspecialtz@gmail.com</t>
  </si>
  <si>
    <t>Kikcoin Pots and Pans Set Non-Stick 31-Piece -(MC)</t>
  </si>
  <si>
    <t>MAONAME 100 PCS Foil Gold Charger Plates -(MC)</t>
  </si>
  <si>
    <t>HXCFYP NSF Stainless Steel Table 30x24 -(MC)</t>
  </si>
  <si>
    <t>Joseph Horodyski</t>
  </si>
  <si>
    <t>2610 Ash Road</t>
  </si>
  <si>
    <t>jhorodyski@hotmail.com</t>
  </si>
  <si>
    <t>VEVOR Stainless Utility Sink 1 Compartment -(MC)</t>
  </si>
  <si>
    <t>Dumeteisen Portable Wheelchair Ramp 4FT -C</t>
  </si>
  <si>
    <t>386m</t>
  </si>
  <si>
    <t>36" Floating Vanity with Sink -(MC)</t>
  </si>
  <si>
    <t>405m</t>
  </si>
  <si>
    <t>420m</t>
  </si>
  <si>
    <t>HGD 20" Smokeless Fire Pit with Grill- D</t>
  </si>
  <si>
    <t>GE 27 in. Smart Double Wall Oven - W3</t>
  </si>
  <si>
    <t>Samsung 6.3 cu.ft. 5-Burner Electric Range - W2</t>
  </si>
  <si>
    <t>496m</t>
  </si>
  <si>
    <t>GE Profile 4.9 cu. ft. Smart Top Load Washer - (W3</t>
  </si>
  <si>
    <t>505m</t>
  </si>
  <si>
    <t>Paul Steinman</t>
  </si>
  <si>
    <t>2612 Michael Wayne Road</t>
  </si>
  <si>
    <t>paul.steinman@gmail.com</t>
  </si>
  <si>
    <t>511m</t>
  </si>
  <si>
    <t>Profile 4.9 cu. ft. Smart Top Load Washer - (W3)</t>
  </si>
  <si>
    <t>516m</t>
  </si>
  <si>
    <t>LG 5.2 cu ft Front Load Washer w/ Steam - (W3)</t>
  </si>
  <si>
    <t>531m</t>
  </si>
  <si>
    <t>556m</t>
  </si>
  <si>
    <t>Ferraycle 8 Pcs Prom Stanchions 5 ft Rope Silver-</t>
  </si>
  <si>
    <t>605m</t>
  </si>
  <si>
    <t>Professional Series 30" Double Oven-(md)</t>
  </si>
  <si>
    <t>omar farhoud</t>
  </si>
  <si>
    <t>8204 longdraw drive</t>
  </si>
  <si>
    <t>omar_farhoud@hotmail.com</t>
  </si>
  <si>
    <t>705m</t>
  </si>
  <si>
    <t>777m</t>
  </si>
  <si>
    <t>ANYCUBIC Photon Mono 4 Resin 3D Printer - (A)</t>
  </si>
  <si>
    <t>801m</t>
  </si>
  <si>
    <t>Samsung 2.1 cu ft 1000W OTR Microwave - (W3)</t>
  </si>
  <si>
    <t>856m</t>
  </si>
  <si>
    <t>COLAMY Velvet Accent Chairs 3-Leg Black-(C)</t>
  </si>
  <si>
    <t>IMACONE 4-Pack Chafing Dish Set 8QT/5QT</t>
  </si>
  <si>
    <t>Annette Dickens</t>
  </si>
  <si>
    <t>14422 Alrover</t>
  </si>
  <si>
    <t>annettesimple@gmail.com</t>
  </si>
  <si>
    <t>BRENTON HOLTON</t>
  </si>
  <si>
    <t>326 CARLISLE PARK CIR</t>
  </si>
  <si>
    <t>bholton7600@gmail.com</t>
  </si>
  <si>
    <t>Oneluck Extra Large Cat Litter Box 27.5in - C</t>
  </si>
  <si>
    <t>3942 TURNBERRY DR</t>
  </si>
  <si>
    <t>liuzh3942@gmail.com</t>
  </si>
  <si>
    <t>281-802-5322</t>
  </si>
  <si>
    <t>Quebec Reversible Bedspread Set - Color/Pattern: P</t>
  </si>
  <si>
    <t>Todd and Martha Sparks</t>
  </si>
  <si>
    <t>381 CR 452</t>
  </si>
  <si>
    <t>a1000hills@hotmail.com</t>
  </si>
  <si>
    <t>4-pack Outdoor dusk-to-dawn sensor Wall Light with</t>
  </si>
  <si>
    <t>Cherita Mayes Cherita Mayes</t>
  </si>
  <si>
    <t>2818 Feather Green Trl</t>
  </si>
  <si>
    <t>rita7573@gmail.com</t>
  </si>
  <si>
    <t>Bormia Green Monstera Wall Mural 108"x75"</t>
  </si>
  <si>
    <t>Corrinne Saenz</t>
  </si>
  <si>
    <t>5011 W Plum St</t>
  </si>
  <si>
    <t>corrinnesaenz@hotmail.com</t>
  </si>
  <si>
    <t>832-465-1560</t>
  </si>
  <si>
    <t>Geekpure 5-Stage Whole House Filter with UV - C</t>
  </si>
  <si>
    <t>Mostafa Natour</t>
  </si>
  <si>
    <t>9214 Bristlebrook</t>
  </si>
  <si>
    <t>mostafanatour@yahoo.com</t>
  </si>
  <si>
    <t>LLDEPLL TV Stand with Power Outlet White</t>
  </si>
  <si>
    <t>Ruben Gutierrez</t>
  </si>
  <si>
    <t>11502 South Dr</t>
  </si>
  <si>
    <t>rgutierrez510@gmail.com</t>
  </si>
  <si>
    <t>Samsung Bespoke AI Laundry Hub Washer - W2</t>
  </si>
  <si>
    <t>Kitchenville Glass Cutting Board 20x16</t>
  </si>
  <si>
    <t>12603 Executive Drive</t>
  </si>
  <si>
    <t>atxsugarland@gmail.com</t>
  </si>
  <si>
    <t>Afaloona Rolling TV Stand 32-75" 110 lb</t>
  </si>
  <si>
    <t>Windyun Reusable Grocery Bags with Handles</t>
  </si>
  <si>
    <t>3123 old Masters dr</t>
  </si>
  <si>
    <t>tsandoval@circuloasesor.com.mx</t>
  </si>
  <si>
    <t>Vintage Carved Wall Mirror 36"x24" Silver - D</t>
  </si>
  <si>
    <t>Kelly Hamel</t>
  </si>
  <si>
    <t>1541 Colton Way</t>
  </si>
  <si>
    <t>Kelkel34@sbcglobal.net</t>
  </si>
  <si>
    <t>Terra Ceramic Dinnerware Sets for 6 White</t>
  </si>
  <si>
    <t>ECOTINY Ultra Slim TV Floor Stand 37 86" -(D)</t>
  </si>
  <si>
    <t>Frigidaire ReadyCook 30" Air Fry Tray + Basket</t>
  </si>
  <si>
    <t>Power Lift Recliner Chair with Massage and Heat fo</t>
  </si>
  <si>
    <t>Sam Lopez</t>
  </si>
  <si>
    <t>3127 Prosperity South Drive</t>
  </si>
  <si>
    <t>slopez46@yahoo.com</t>
  </si>
  <si>
    <t>Giklux 6 PCS Wire Rack Covers (24x16)</t>
  </si>
  <si>
    <t>FREESOO Honda Accord Seat Covers 2023-25</t>
  </si>
  <si>
    <t>YCJKJDZ Framed Canvas Art Set of 3 16x24</t>
  </si>
  <si>
    <t>brandon henderson</t>
  </si>
  <si>
    <t>14314 Rolling Hills Lane</t>
  </si>
  <si>
    <t>brandon10919@gmail.com</t>
  </si>
  <si>
    <t>Electric Heat Warming Tray 20"x15" Thermostat</t>
  </si>
  <si>
    <t>Monica Washington</t>
  </si>
  <si>
    <t>902 Winding Creek Place</t>
  </si>
  <si>
    <t>washington.monica@gmail.com</t>
  </si>
  <si>
    <t>GGIU Chafing Dishes Buffet Set with Lids</t>
  </si>
  <si>
    <t>Sonya Patterson</t>
  </si>
  <si>
    <t>206 Saint Finans Way</t>
  </si>
  <si>
    <t>sonyap408@gmail.com</t>
  </si>
  <si>
    <t>FREESOO 1:1 Custom Fit Camry Seat Covers Black</t>
  </si>
  <si>
    <t>Whirlpool 36 in. SxS Refrigerator White with TruC</t>
  </si>
  <si>
    <t>Crelinda shynett</t>
  </si>
  <si>
    <t>P.O. Box 11036</t>
  </si>
  <si>
    <t>cshy3005@gmail.com</t>
  </si>
  <si>
    <t>Better Trends Bath Rug 20x20 Contour - Silver</t>
  </si>
  <si>
    <t>SZQINJI 3-Panel Wood Divider Black - C</t>
  </si>
  <si>
    <t>116 fiery skipper ln</t>
  </si>
  <si>
    <t>clintb13@yahoo.com</t>
  </si>
  <si>
    <t>Machine Washable Non-Slip Kitchen Mat - Color: Gra</t>
  </si>
  <si>
    <t>Slavo 1-Light Pendant With Clear Glass Shade</t>
  </si>
  <si>
    <t>13001 Balsam Breeze Lane</t>
  </si>
  <si>
    <t>bootstobarcodes@gmail.com</t>
  </si>
  <si>
    <t>Deviled Egg Trays with Snap-On Lids (Set of 2)</t>
  </si>
  <si>
    <t>KES 30-Inch Wall Mounted Pan Rack BK</t>
  </si>
  <si>
    <t>Sango Siterra 16-Piece Dinnerware Set White</t>
  </si>
  <si>
    <t>Larisa ChavarrÃ­a</t>
  </si>
  <si>
    <t>Summer Garden Drive</t>
  </si>
  <si>
    <t>draflarich@gmail.com</t>
  </si>
  <si>
    <t>Interlocking Deck Tiles 12" x 12" Charcoal</t>
  </si>
  <si>
    <t>Garvee Stainless Wall Mount Shelf 12x24 180 lb</t>
  </si>
  <si>
    <t>White Primed Smooth Solid Wood Core Shadow Louver</t>
  </si>
  <si>
    <t>Lighted Collapsible Tree with Lights</t>
  </si>
  <si>
    <t>twigpigs@earthlink.net</t>
  </si>
  <si>
    <t>Agri-Fab 6" Leaf Vacuum Hose 84" Long</t>
  </si>
  <si>
    <t>Anthony Veasey</t>
  </si>
  <si>
    <t>1607 Summer Rain Dr.</t>
  </si>
  <si>
    <t>Cveasey.auctions@gmail.com</t>
  </si>
  <si>
    <t>713-517-5100</t>
  </si>
  <si>
    <t>Hamilton Hills Gold Framed Mirror 20x30</t>
  </si>
  <si>
    <t>NORMAN NORRIS</t>
  </si>
  <si>
    <t>1909 Limestone Trail</t>
  </si>
  <si>
    <t>normannorris@gmail.com</t>
  </si>
  <si>
    <t>Floor-to-Ceiling Transfer Pole Black</t>
  </si>
  <si>
    <t>Jeff Garner</t>
  </si>
  <si>
    <t>1105 Fern Ln</t>
  </si>
  <si>
    <t>garnerjl@gmail.com</t>
  </si>
  <si>
    <t>713-922-4831</t>
  </si>
  <si>
    <t>Yaheetech Twin XL Metal Platform Bed Black</t>
  </si>
  <si>
    <t>DICMIC Tri-Fold Tonneau for Dodge Ram 5.7ft</t>
  </si>
  <si>
    <t>Didaey Cylinder Vases Set (3.3x5.9")</t>
  </si>
  <si>
    <t>39m</t>
  </si>
  <si>
    <t>Nathan James Iris Wood Sideboard Cabinet</t>
  </si>
  <si>
    <t>40m</t>
  </si>
  <si>
    <t>Elongated Toilet Seat 18.5  Soft-Close White</t>
  </si>
  <si>
    <t>Willinglong Pink Ribbon Tumblers 24oz (48)</t>
  </si>
  <si>
    <t>One Way Privacy Window Tint Film (23.6")</t>
  </si>
  <si>
    <t>Kids Lap Desk Tray Portable Activity Table</t>
  </si>
  <si>
    <t>Halseey 63in Rectangular Desk with Storage -(MC)</t>
  </si>
  <si>
    <t>Basicwise Green/Plastic Kid's Play Table</t>
  </si>
  <si>
    <t>Will M</t>
  </si>
  <si>
    <t>3603 Sweetbriar Drive</t>
  </si>
  <si>
    <t>wrm1123@gmail.com</t>
  </si>
  <si>
    <t>Cheri Bocox</t>
  </si>
  <si>
    <t>2002 Kerry Dr.</t>
  </si>
  <si>
    <t>Cbocox@gmail.com</t>
  </si>
  <si>
    <t>Green Kids Lap Desk Tray Portable Table</t>
  </si>
  <si>
    <t>Ricardo Watson</t>
  </si>
  <si>
    <t>318 Saunter Dr.</t>
  </si>
  <si>
    <t>2rw19655@gmail.com</t>
  </si>
  <si>
    <t>Flortlias Floral Window Sticker Banana Leaves</t>
  </si>
  <si>
    <t>Flortlias Transparent Leaf Window Sticker</t>
  </si>
  <si>
    <t>Eshell 17.5' H Solid Wood Side Chair - Color: Brow</t>
  </si>
  <si>
    <t>VCQIEO Floating Magnetic Shelf White</t>
  </si>
  <si>
    <t>AISIMEE Blank Magnetic Sheet Roll 24 x5</t>
  </si>
  <si>
    <t>Neoaider Slatwall Panel 4x4 White Board</t>
  </si>
  <si>
    <t>Insignia 18.6 Cu. Ft. Bottom Freezer Ref</t>
  </si>
  <si>
    <t>DECOSIS Laptop Desk for Bed with USB &amp; Storage</t>
  </si>
  <si>
    <t>Monogram 2.2 Cu. Ft. Built-in Microwave</t>
  </si>
  <si>
    <t>Koshkarbaev 37</t>
  </si>
  <si>
    <t xml:space="preserve">  </t>
  </si>
  <si>
    <t xml:space="preserve">Z 01F9A8  </t>
  </si>
  <si>
    <t>atamekensultanov@gmail.com</t>
  </si>
  <si>
    <t>BISSELL CleanView Compact Turbo Vacuum 3437F</t>
  </si>
  <si>
    <t>26' W Nightstand</t>
  </si>
  <si>
    <t>FEINEPRO Jeep Wrangler Seat Covers JL</t>
  </si>
  <si>
    <t>9220 Clarewood dr Apt 2126</t>
  </si>
  <si>
    <t>sulygarcia27@gmail.com</t>
  </si>
  <si>
    <t>Window Door Awning Canopy UPF 51+ Aluminum</t>
  </si>
  <si>
    <t>Greyson Leather Match Power Rocking Recliner with</t>
  </si>
  <si>
    <t>Zonon 4 Pcs Aluminum Flat Bar 1/8 x 1 x 36'</t>
  </si>
  <si>
    <t>Wellmax WM99100 Folding Shopping Cart</t>
  </si>
  <si>
    <t>Valmir 47.31' W 6 - Drawer Dresser - Color: White</t>
  </si>
  <si>
    <t>Art3d WPC Wainscoting Panels 16-Pack Walnut</t>
  </si>
  <si>
    <t>Blank Magnetic Sheet 24x5  30Mil White Vinyl</t>
  </si>
  <si>
    <t>15 x 35.4 x 2.8 in Rubber Curb Ramp</t>
  </si>
  <si>
    <t>Michael Ackers</t>
  </si>
  <si>
    <t>8602 Westbrook Forest Dr</t>
  </si>
  <si>
    <t>yorkie19@comcast.net</t>
  </si>
  <si>
    <t>GE Profile PTS7000SNSS Wall Oven - W3</t>
  </si>
  <si>
    <t>Leather Repair Tape for PU Leather 23.6x79 in</t>
  </si>
  <si>
    <t>Slatwall Panel 4FT x 4FT White PVC Wall Panel</t>
  </si>
  <si>
    <t>HALLY SINKS &amp; TABLES H Stainless Shelf 18x24</t>
  </si>
  <si>
    <t>33.4" Modern Dining Chandelier 4-Light E26</t>
  </si>
  <si>
    <t>Art3d LED Recessed Lighting Kit 6pcs</t>
  </si>
  <si>
    <t>Luxdecor Real Wood Wall Planks - White 10pc</t>
  </si>
  <si>
    <t>Magnussen Lancaster Door Bookcase -(W3)</t>
  </si>
  <si>
    <t>1.2" Rise Rubber Wheelchair Ramp Black</t>
  </si>
  <si>
    <t>Nine Forty 48" Nylon Dust Mop w/ Wood Blue</t>
  </si>
  <si>
    <t>Slatwall Panel 4x4 ft PVC Wall Panel - Black</t>
  </si>
  <si>
    <t>Stainless Steel Prep Table with Undershelf</t>
  </si>
  <si>
    <t>Foot-Operated Toilet Lid Lifter</t>
  </si>
  <si>
    <t>Toan Tran</t>
  </si>
  <si>
    <t>2314 Joel Wheaton Road</t>
  </si>
  <si>
    <t>zitkolong8888@gmail.com</t>
  </si>
  <si>
    <t>Goat Milking Stand with Feed Bin</t>
  </si>
  <si>
    <t>Protable Wheelchair Ramp 3FT Non-Slip Ramp</t>
  </si>
  <si>
    <t>Threshold Doorway Ramp 31x24.5 Aluminum 9.9lb</t>
  </si>
  <si>
    <t>Amazon Basics FSC Paper Towels - 12 Rolls</t>
  </si>
  <si>
    <t>Pangda 3 Pack Pool Noodles Foam Noodles Clamp</t>
  </si>
  <si>
    <t>6035 Hornwood Drive</t>
  </si>
  <si>
    <t>asouth0362@att.net</t>
  </si>
  <si>
    <t>281-413-2892</t>
  </si>
  <si>
    <t>Durham Credenza White 70"   Martin Furniture</t>
  </si>
  <si>
    <t>Tom Corcoran</t>
  </si>
  <si>
    <t>4465 W. Sam Houston Pkwy. N.</t>
  </si>
  <si>
    <t>tom@kidstructures.com</t>
  </si>
  <si>
    <t>713-253-0055</t>
  </si>
  <si>
    <t>JJ CARE IV Pole with Wheels 4 Hooks</t>
  </si>
  <si>
    <t>447 Woodhaven Forest Drive</t>
  </si>
  <si>
    <t>reserva.j@yahoo.com</t>
  </si>
  <si>
    <t>ANYCUBIC Photon Mono 4 Resin 3D Printer - PARTS/AS</t>
  </si>
  <si>
    <t>Art3d WPC Wainscoting 16-Pack 48x6" Teak</t>
  </si>
  <si>
    <t>Renso Pena</t>
  </si>
  <si>
    <t>4738 Abercorn St</t>
  </si>
  <si>
    <t>77583-0109</t>
  </si>
  <si>
    <t>rensopena0@gmail.com</t>
  </si>
  <si>
    <t>5279 Wickwillow</t>
  </si>
  <si>
    <t>anabird7777@yahoo.com</t>
  </si>
  <si>
    <t>832 221-7485</t>
  </si>
  <si>
    <t>Art3d Peel &amp; Stick 3D Wall Panels (Pack 20)</t>
  </si>
  <si>
    <t>Liberty River Place Trestle Table Base (W3)</t>
  </si>
  <si>
    <t>SS316 Cable Railing Post 36" Deck Post</t>
  </si>
  <si>
    <t>CALPALMY 2 Pack 1/4" Clear Acrylic Sheets</t>
  </si>
  <si>
    <t>VOLISUN Battery Operated Wall Sconces 2-Pack</t>
  </si>
  <si>
    <t>SmartSign 18x18 STOP Paddle Red/White</t>
  </si>
  <si>
    <t>Jose Gonzalez</t>
  </si>
  <si>
    <t>12604 Rio Bravo St.</t>
  </si>
  <si>
    <t>JoseG7@Gmail.com</t>
  </si>
  <si>
    <t>Cordless Roller Shades Blackout White (74x72) -(A</t>
  </si>
  <si>
    <t>Freddie Khalid</t>
  </si>
  <si>
    <t>3330 Shadowwalk drive</t>
  </si>
  <si>
    <t>freddiekhalid@gmail.com</t>
  </si>
  <si>
    <t>Art3d Peel &amp; Stick 3D Wall Panels (20 Panels) - Wh</t>
  </si>
  <si>
    <t>KIMODE Anti-Fatigue Kitchen Mat 17x47/29</t>
  </si>
  <si>
    <t>Vero 3-Setting Shower Handle Diverter Trim Kit Di</t>
  </si>
  <si>
    <t>35.75 in Silver Hanukkah Menorah 9-Branch</t>
  </si>
  <si>
    <t>Gary Kitmacher</t>
  </si>
  <si>
    <t>411 McConn Ct</t>
  </si>
  <si>
    <t>gkitmach@hotmail.com</t>
  </si>
  <si>
    <t>ROTHLEY Stainless Pot &amp; Pan Hanger Rack</t>
  </si>
  <si>
    <t>Acacia Wood Entertaining Board with Knives</t>
  </si>
  <si>
    <t>Elate rVertical Toilet Paper Holder Wall-Mount Ba</t>
  </si>
  <si>
    <t>Billiards Cue Rack Wall Mount 6 Cues</t>
  </si>
  <si>
    <t>Walnut Stove Top Cover 30"x22" Noodle Board</t>
  </si>
  <si>
    <t>27 in. Double Wall Oven w/Microwave SS-(MD)</t>
  </si>
  <si>
    <t>ROTHLEY 39.4" Stainless Pot Rack with S Hooks</t>
  </si>
  <si>
    <t>Ed Wudi</t>
  </si>
  <si>
    <t>12311 adams Run drive</t>
  </si>
  <si>
    <t>yikes1961@yahoo.com</t>
  </si>
  <si>
    <t>713-444-2172</t>
  </si>
  <si>
    <t>Front Exterior Prehung Steel Door / Deux 1755 Blac</t>
  </si>
  <si>
    <t>ROBERT Vorhees</t>
  </si>
  <si>
    <t>3838 ROWLOCK VINE DRIVE</t>
  </si>
  <si>
    <t>rmvtrebor@gmail.com</t>
  </si>
  <si>
    <t>SIAMESE Bulldog Clips 16 Pack Bronze Clamps</t>
  </si>
  <si>
    <t>Samsung Bespoke Counter-Depth Family Hub 23-cu ft</t>
  </si>
  <si>
    <t>Lilibeth Escobar</t>
  </si>
  <si>
    <t>7510 Water Glen Ln</t>
  </si>
  <si>
    <t>steff_819@hotmail.com</t>
  </si>
  <si>
    <t>Stainless Steel Gas Stove Top Cover 30x22x2.7"</t>
  </si>
  <si>
    <t>Sapphire  Dishwasher 24" Pro SS (-MC)</t>
  </si>
  <si>
    <t>Utoplike XL Acacia Wood Tray 23.6" Round</t>
  </si>
  <si>
    <t>Kikcoin 24" Bamboo Cutting Board with Groove</t>
  </si>
  <si>
    <t>14 ft Inflatable Projector Screen for Outdoors</t>
  </si>
  <si>
    <t>Clear Silicone Countertop Protector Mat</t>
  </si>
  <si>
    <t>Bamboo Noodle Board Stove Top Cover 30x22</t>
  </si>
  <si>
    <t>liz gunther</t>
  </si>
  <si>
    <t>254 E Sunset Dr</t>
  </si>
  <si>
    <t>lizza11500@gmail.com</t>
  </si>
  <si>
    <t>713-933-7940</t>
  </si>
  <si>
    <t>Cast Iron Griddle for Grills &amp; Stove Top</t>
  </si>
  <si>
    <t>Lillian Covernale</t>
  </si>
  <si>
    <t>2708 Norman St.</t>
  </si>
  <si>
    <t>lcovernale@sbcglobal.net</t>
  </si>
  <si>
    <t>Pilates Ring Kit for Women: 8 Pcs Accessories</t>
  </si>
  <si>
    <t>Samsung 7.2 cu. ft. Gas Dryer with Sensor Dry-(MD)</t>
  </si>
  <si>
    <t>Stainless Steel Cutting Board 12" x 18"</t>
  </si>
  <si>
    <t>Pizza Stone Set 16" with Handles &amp; Peel</t>
  </si>
  <si>
    <t>Vicki Doyle</t>
  </si>
  <si>
    <t>13822 Lynnwood Ln</t>
  </si>
  <si>
    <t>msslsanta@gmail.com</t>
  </si>
  <si>
    <t>RUSPEPA Purple Wrapping Paper   30" x 32.8 ft</t>
  </si>
  <si>
    <t>Toddler Bed Rail 3-Side 74x74x54</t>
  </si>
  <si>
    <t>MYFAMIREA Floor Mat 3'x10' Charcoal Grey</t>
  </si>
  <si>
    <t>Jetec 6 Pcs Throw Pillow Inserts 18x18 &amp; 12x20</t>
  </si>
  <si>
    <t>Tonchean 8" Heavy Duty Casters Set of 4</t>
  </si>
  <si>
    <t>Danny Hoke</t>
  </si>
  <si>
    <t>711 Morton St.</t>
  </si>
  <si>
    <t>danhoke@aol.com</t>
  </si>
  <si>
    <t>Black Stainless 304 Side Mount Corner Post 42"</t>
  </si>
  <si>
    <t>Jeffrey McCarthy</t>
  </si>
  <si>
    <t>1958 knoll st</t>
  </si>
  <si>
    <t>Jstbproperty@hotmail.com</t>
  </si>
  <si>
    <t>Panana 4-Tier Garden Shelving 2 Pack</t>
  </si>
  <si>
    <t>Indoor Gun Rack: Wall Mount Rifle/Shotgun</t>
  </si>
  <si>
    <t>EI 3-Tier Rectangle Plate Set with Stand</t>
  </si>
  <si>
    <t>15411 Stable Oak Dr</t>
  </si>
  <si>
    <t>sbudimir@hotmail.com</t>
  </si>
  <si>
    <t>Consciot 160CFM Bath Exhaust Fan with Light</t>
  </si>
  <si>
    <t>2643 Turning Row Ln</t>
  </si>
  <si>
    <t>chasejanes@yahoo.com</t>
  </si>
  <si>
    <t>Irvinsh Rios</t>
  </si>
  <si>
    <t>326 Pickwick Gardens Ln</t>
  </si>
  <si>
    <t>irvinshrios@gmail.com</t>
  </si>
  <si>
    <t>S05 Iron Balusters 10 pcs Satin Black</t>
  </si>
  <si>
    <t>Adjustable Cabinet Jacks 2-Pack 132 lb</t>
  </si>
  <si>
    <t>Bed Guard Rail for Toddlers: Adjustable</t>
  </si>
  <si>
    <t>Jimmy Howell</t>
  </si>
  <si>
    <t>305 Cr 893 b</t>
  </si>
  <si>
    <t>Howell635@yahoo.com</t>
  </si>
  <si>
    <t>EDOU 20' Telescoping Pressure Wand 4000 PSI</t>
  </si>
  <si>
    <t>Knee Scooter Steerable Walker (Green)</t>
  </si>
  <si>
    <t>145m</t>
  </si>
  <si>
    <t>Heavy Duty Carbon Steel Fence Stretcher Tool</t>
  </si>
  <si>
    <t>Michael Rios</t>
  </si>
  <si>
    <t>4308 Stonebridge Dr</t>
  </si>
  <si>
    <t>msprios@gmail.com</t>
  </si>
  <si>
    <t>832-444-8454</t>
  </si>
  <si>
    <t>Tork 290089 Hand Towels Rolls (6 Rolls)</t>
  </si>
  <si>
    <t>Heated Seat Cushion USB Pad 3 Heat Settings</t>
  </si>
  <si>
    <t>Toddler Bed Rail with Headboard - Queen Size</t>
  </si>
  <si>
    <t>9-in-1 Stand Mixer 1600W 7.3QT Bowl Timer</t>
  </si>
  <si>
    <t>Tamara Woodson</t>
  </si>
  <si>
    <t>5627 Condon Lane</t>
  </si>
  <si>
    <t>yammy3383@gmail.com</t>
  </si>
  <si>
    <t>Window Door Awning Canopy 60x60cm (Black)</t>
  </si>
  <si>
    <t>Geiserailie 6 Pack 34" Traffic Posts</t>
  </si>
  <si>
    <t>Acrylic Podium Stand 49"H with Locks</t>
  </si>
  <si>
    <t>225A Transfer Switch 3P NEMA 3R</t>
  </si>
  <si>
    <t>Oneluck Extra Large Cat Litter Box 27.5in - A</t>
  </si>
  <si>
    <t>Dimmable LED Flush Mount 5-Lights 40W</t>
  </si>
  <si>
    <t>Babyeden Large Dual Line Stunt Kite 84" Wide</t>
  </si>
  <si>
    <t>Bamboo Pendant Light Boho Wicker Chandelier</t>
  </si>
  <si>
    <t>Bed Rails: Adjustable Stainless Bedside Rail</t>
  </si>
  <si>
    <t>6-Light Vanity Light Matte Black 6 Fixtures</t>
  </si>
  <si>
    <t>167m</t>
  </si>
  <si>
    <t>Boat Flooring EVA Foam Decking Brown and Black 44</t>
  </si>
  <si>
    <t>Mikasa Cheers Bordeaux Wine Glasses 24 oz (4)</t>
  </si>
  <si>
    <t>KAYFIA Dual Layer Memory Foam Topper King - A</t>
  </si>
  <si>
    <t>Christian Blessing Dining Room Wall Decor Sign</t>
  </si>
  <si>
    <t>Rita Palomarez</t>
  </si>
  <si>
    <t>10709 Hanselman</t>
  </si>
  <si>
    <t>sunshineplants@hotmail.com</t>
  </si>
  <si>
    <t>Deep Seat Cushions 19x19x3 Blue Chrysanthemums</t>
  </si>
  <si>
    <t>Santa Barbara Footed Plank Bread Board Large</t>
  </si>
  <si>
    <t>Candle Rings (2 Pcs) Pine Rings</t>
  </si>
  <si>
    <t>KAYFIA Dual Layer Memory Foam Topper King</t>
  </si>
  <si>
    <t>Jessica Nuspliger</t>
  </si>
  <si>
    <t>6363 W Airport#124</t>
  </si>
  <si>
    <t>jesslynn0826@gmail.com</t>
  </si>
  <si>
    <t>Acacia Wood Step Stool 3.5" Non-Slip</t>
  </si>
  <si>
    <t>Carlson Extra Tall Pet Gate 4-Pack</t>
  </si>
  <si>
    <t>Electrolux 30" OTR Convection Microwave - (W3)</t>
  </si>
  <si>
    <t>Mike Ratliff</t>
  </si>
  <si>
    <t>4234 Custer Creek Dr</t>
  </si>
  <si>
    <t>ratlim21@gmail.com</t>
  </si>
  <si>
    <t>713.384.4239</t>
  </si>
  <si>
    <t>Abdera Hand-Tufted Wool Dark Blue/Ivory Rug - Rug</t>
  </si>
  <si>
    <t>199m</t>
  </si>
  <si>
    <t>28 in. Laundry Pedestal in Blue with Pedestal-(W3)</t>
  </si>
  <si>
    <t>GE Front Control Tall Dishwasher in White - (W3)</t>
  </si>
  <si>
    <t>203m</t>
  </si>
  <si>
    <t>Hand-Knotted High-Quality Beige Area Rug-(W2)</t>
  </si>
  <si>
    <t>800-Series 30in Convection Microwave SS</t>
  </si>
  <si>
    <t>205m</t>
  </si>
  <si>
    <t>Magnolia Manor Mirror</t>
  </si>
  <si>
    <t>Philip Sechrist</t>
  </si>
  <si>
    <t>1231 Pinecroft Dr</t>
  </si>
  <si>
    <t>philipsechrist@gmail.com</t>
  </si>
  <si>
    <t>806-632-4283</t>
  </si>
  <si>
    <t>4ft Portable Wheelchair Ramp Aluminum Ramp-(C)</t>
  </si>
  <si>
    <t>4ft Portable Wheelchair Ramp 800lb Capacity -(C)</t>
  </si>
  <si>
    <t>Jeffrey Atkin</t>
  </si>
  <si>
    <t>5015 Pacific Ridge Lane</t>
  </si>
  <si>
    <t>anewt89@yahoo.com</t>
  </si>
  <si>
    <t>713-301-6808</t>
  </si>
  <si>
    <t>Stainless Dough Sheeter 40.9x15.5" -(D)</t>
  </si>
  <si>
    <t>Adriana Flores</t>
  </si>
  <si>
    <t>3539 windmoor</t>
  </si>
  <si>
    <t>adriletty2010@gmail.com</t>
  </si>
  <si>
    <t>Art3d 12-Pack Slat 3D Wall Panels 2x4 Walnut -(D)</t>
  </si>
  <si>
    <t>Tom Walker</t>
  </si>
  <si>
    <t>2016 Main StApt. 2202</t>
  </si>
  <si>
    <t>tew254@gmail.com</t>
  </si>
  <si>
    <t>229m</t>
  </si>
  <si>
    <t>ROTCH 200 Pack 7x6x3" White Corrugated Boxes -(A)</t>
  </si>
  <si>
    <t>YEEZOO Adjustable Door Threshold Ramp (3 6") -(A)</t>
  </si>
  <si>
    <t>42" Swage Cable Railing Kit 164ft 1/8" -(A)</t>
  </si>
  <si>
    <t>Art3d 2 Pack Plexiglass Sheets 48x24 PET Clear -(A</t>
  </si>
  <si>
    <t>Kevin Heil</t>
  </si>
  <si>
    <t>3835 Van Ness Dr</t>
  </si>
  <si>
    <t>heilkj0@gmail.com</t>
  </si>
  <si>
    <t>233m</t>
  </si>
  <si>
    <t>Blulu 2 Pack Steel Sheet 24x48 0.036" -(A)</t>
  </si>
  <si>
    <t>Emmanuel Juarez</t>
  </si>
  <si>
    <t>9121 Hammerly Boulevard</t>
  </si>
  <si>
    <t>emmanuel.juarez93@icloud.com</t>
  </si>
  <si>
    <t>Pelopy Stanchion Posts with Rope Set 12/Gold</t>
  </si>
  <si>
    <t>235m</t>
  </si>
  <si>
    <t>FAHKNS Nesting Coffee Tables 2 Round Wood Top -(A</t>
  </si>
  <si>
    <t>hykolity 32" Oval LED Ceiling Light -(A)</t>
  </si>
  <si>
    <t>237m</t>
  </si>
  <si>
    <t>Crestlive Sunbrella Chaise Cushions 72"x21" -(A)</t>
  </si>
  <si>
    <t>36" Freestanding Pet Gate 4 Panels White -(A)</t>
  </si>
  <si>
    <t>239m</t>
  </si>
  <si>
    <t>Amazon Basics Foldable Dog Playpen 8 Panels</t>
  </si>
  <si>
    <t>6-in-1 Toddler Playset with Slide &amp; Hoop -(A)</t>
  </si>
  <si>
    <t>243m</t>
  </si>
  <si>
    <t>Foldable Rollator Walker with Seat 350 lb -(A)</t>
  </si>
  <si>
    <t>KAYFIA Dual Layer Memory Foam Topper King -(A)</t>
  </si>
  <si>
    <t>245m</t>
  </si>
  <si>
    <t>Auston Bilbrey</t>
  </si>
  <si>
    <t>6051 Sea Isle</t>
  </si>
  <si>
    <t>austonbilbrey@gmail.com</t>
  </si>
  <si>
    <t>SAMSUNG HW-S60D 5.0ch Soundbar w/Dolby Atmos (A)</t>
  </si>
  <si>
    <t>255m</t>
  </si>
  <si>
    <t>257m</t>
  </si>
  <si>
    <t>259m</t>
  </si>
  <si>
    <t>263m</t>
  </si>
  <si>
    <t>265m</t>
  </si>
  <si>
    <t>Whirlpool Smart Capable 7.4-cu ft Dryer - (B)</t>
  </si>
  <si>
    <t>Samsung 27 in. Laundry Pedestal with Drawer -(B)</t>
  </si>
  <si>
    <t>SHYFOY Antiqued Baroque Wall Mirror Gold - D</t>
  </si>
  <si>
    <t>John GaitanXJCFAE</t>
  </si>
  <si>
    <t>16521 W Bellfort St Ste C</t>
  </si>
  <si>
    <t>johnanthonygaitan@yahoo.com</t>
  </si>
  <si>
    <t>Rick Brewer</t>
  </si>
  <si>
    <t>710 Baca Street</t>
  </si>
  <si>
    <t>crbrew1@gmail.com</t>
  </si>
  <si>
    <t>401m</t>
  </si>
  <si>
    <t>Insignia 250 Sq. Ft Portable AC - White-(CE)</t>
  </si>
  <si>
    <t>Vintage Carved Bath Mirror 36x24" Gold Frame - D</t>
  </si>
  <si>
    <t>554m</t>
  </si>
  <si>
    <t>555m</t>
  </si>
  <si>
    <t>Turbo Bee 2000 Pack 12oz Plastic Cups Clear-(C)</t>
  </si>
  <si>
    <t>621m</t>
  </si>
  <si>
    <t>Profile 24 2.2 cu ft Built-In Microwave Oven - (W3</t>
  </si>
  <si>
    <t>776m</t>
  </si>
  <si>
    <t>CKE 10ft-15ft Cable Railing Post Kit 3Pack-(A)</t>
  </si>
  <si>
    <t>886m</t>
  </si>
  <si>
    <t>Caistor TV Stand for TVs up to 65"-(B)</t>
  </si>
  <si>
    <t>1906 fergus park ctNone</t>
  </si>
  <si>
    <t>gregory.waligorski@gmail.com</t>
  </si>
  <si>
    <t>887m</t>
  </si>
  <si>
    <t>OAKHAM Comfy Shell Chair Oak Brown-(A)</t>
  </si>
  <si>
    <t>888m</t>
  </si>
  <si>
    <t>Nicole Miller NY Kenmare Patio Rug Danica-(W2)</t>
  </si>
  <si>
    <t>889m</t>
  </si>
  <si>
    <t>24" Self-Cleaning Electric Double Wall Oven - Fini</t>
  </si>
  <si>
    <t>890m</t>
  </si>
  <si>
    <t>Bronx 3 Drawer Credenza - Color: Gold-(W3)</t>
  </si>
  <si>
    <t>891m</t>
  </si>
  <si>
    <t>30 in. 5-Element Freestanding Range</t>
  </si>
  <si>
    <t>892m</t>
  </si>
  <si>
    <t>JennAir JDTS3924SL Dishwasher-(W3)</t>
  </si>
  <si>
    <t>893m</t>
  </si>
  <si>
    <t>894m</t>
  </si>
  <si>
    <t>Terra Wood Round Coffee Table 48L x 48W</t>
  </si>
  <si>
    <t>Michelle Diaz</t>
  </si>
  <si>
    <t>6531 Lodgepole Rd</t>
  </si>
  <si>
    <t>alejandramdiazz@gmail.com</t>
  </si>
  <si>
    <t>895m</t>
  </si>
  <si>
    <t>Dacor 48" Built-in Gas Rangetop 6 Burners-(3W)</t>
  </si>
  <si>
    <t>896m</t>
  </si>
  <si>
    <t>Lillemor Solid Wood Dresser Walnut Black-(W3)</t>
  </si>
  <si>
    <t>LETICIA CASTRO</t>
  </si>
  <si>
    <t>7830 Park Place Blvd</t>
  </si>
  <si>
    <t>letcastro9@gmail.com</t>
  </si>
  <si>
    <t>897m</t>
  </si>
  <si>
    <t>Gallery 30 in. Gas Cooktop Black 5 Burners-(W3)</t>
  </si>
  <si>
    <t>898m</t>
  </si>
  <si>
    <t>899m</t>
  </si>
  <si>
    <t>WashTower Smart Laundry Center 4.5/7.4 cu ft - (MD</t>
  </si>
  <si>
    <t>Jaime Moreno</t>
  </si>
  <si>
    <t>8123 Holiday Lane</t>
  </si>
  <si>
    <t>jaimemoreno2@outlook.com</t>
  </si>
  <si>
    <t>901m</t>
  </si>
  <si>
    <t>24 in. Fingerprint Resistant Dishwasher-(3W)</t>
  </si>
  <si>
    <t>902m</t>
  </si>
  <si>
    <t>24 in. Fingerprint Resistant Dishwasher 47 dBA-(3</t>
  </si>
  <si>
    <t>903m</t>
  </si>
  <si>
    <t>904m</t>
  </si>
  <si>
    <t>LG 18000 BTU 230V Window A/C LW1821HRSM</t>
  </si>
  <si>
    <t>Viking VMOS201SS 24" Countertop Microwave - MD</t>
  </si>
  <si>
    <t>Robert Tijerina</t>
  </si>
  <si>
    <t>8912 Paul B Koonce #236</t>
  </si>
  <si>
    <t>p1aviation@hotmail.com</t>
  </si>
  <si>
    <t>(713) 640-2353</t>
  </si>
  <si>
    <t>Kim Atmar</t>
  </si>
  <si>
    <t>11319 Rock Bridge Lane</t>
  </si>
  <si>
    <t>knelson0602@yahoo.com</t>
  </si>
  <si>
    <t>juan fong</t>
  </si>
  <si>
    <t>5401 CHIMNEY ROCK RD APT 1025</t>
  </si>
  <si>
    <t>Jcfong@jancocleaning.com</t>
  </si>
  <si>
    <t>346-754-4771</t>
  </si>
  <si>
    <t>(MD) -Felicia Clear Glass French White Doors - Siz</t>
  </si>
  <si>
    <t>John Starbuck</t>
  </si>
  <si>
    <t>4403 Cobalt Cross St</t>
  </si>
  <si>
    <t>jmstarbuck4@gmail.com</t>
  </si>
  <si>
    <t>LG STUDIO 42 in. W Side by Side Refrigerator - W3</t>
  </si>
  <si>
    <t>12633 Texas 249</t>
  </si>
  <si>
    <t>jakeoktagon@gmail.com</t>
  </si>
  <si>
    <t>15-Inch Tool Bag with 16 Pockets Foldable</t>
  </si>
  <si>
    <t>Guadalupe Alvear</t>
  </si>
  <si>
    <t>3410 Maryland St</t>
  </si>
  <si>
    <t>alvear2b@yahoo.com</t>
  </si>
  <si>
    <t>Viking 3 Series 30" Electric Range - MD</t>
  </si>
  <si>
    <t>Alberto Hernandez</t>
  </si>
  <si>
    <t>10519 kirkglend</t>
  </si>
  <si>
    <t>Hernandez_joker_90@yahoo.com</t>
  </si>
  <si>
    <t>Outdoor Chaise Cushions Set (Green Stripe)</t>
  </si>
  <si>
    <t>25807 Westheimer Parkway Ste 444</t>
  </si>
  <si>
    <t>sales@tkpsolutions.net</t>
  </si>
  <si>
    <t>832-264-9982</t>
  </si>
  <si>
    <t>832-264-9992</t>
  </si>
  <si>
    <t>LG 26.6-cu ft Side-by-Side Fridge</t>
  </si>
  <si>
    <t>Farzana Azam</t>
  </si>
  <si>
    <t>4159 Falvel Cove Dr</t>
  </si>
  <si>
    <t>farzanaazam@yahoo.com</t>
  </si>
  <si>
    <t>MONOGRAM ZGU366NTSS Cooktop Gas - (W3)</t>
  </si>
  <si>
    <t>NEWTRY 110/120V Electric Hoist with Remotes - D</t>
  </si>
  <si>
    <t>Kevin Devine</t>
  </si>
  <si>
    <t>1170 capote oaks dr</t>
  </si>
  <si>
    <t>papawdevine1967@gmail.com</t>
  </si>
  <si>
    <t>15" Tool Bag with 16 Pockets Organizer</t>
  </si>
  <si>
    <t>Mystery Pallet #1</t>
  </si>
  <si>
    <t>Erica Ojeda</t>
  </si>
  <si>
    <t>13823 Vinehill Drive</t>
  </si>
  <si>
    <t>erigon17@gmail.com</t>
  </si>
  <si>
    <t>Industrial Pipe Bath Hardware Set 5-Piece</t>
  </si>
  <si>
    <t>BOSCH 800 Series 30" Built-in Convection Microwave</t>
  </si>
  <si>
    <t>PodiuMax Pickleball Target Net Portable</t>
  </si>
  <si>
    <t>2209 Kilkenny Lane</t>
  </si>
  <si>
    <t>85mkgwb8zm@privaterelay.appleid.com</t>
  </si>
  <si>
    <t>BBQ-PLUS Grill Parts for Bull/Cal Flame</t>
  </si>
  <si>
    <t>Cast Iron BBQ Grates for Bull Models Set of 4</t>
  </si>
  <si>
    <t>Adebola Bamgboye</t>
  </si>
  <si>
    <t>10592 Fuqua street A311</t>
  </si>
  <si>
    <t>adebolab@gmail.com</t>
  </si>
  <si>
    <t>Roundhill Ioana Grey Wood Night Stand</t>
  </si>
  <si>
    <t>Wiremold Cordmate II Cord Cover Kit White</t>
  </si>
  <si>
    <t>(A)-ZELUS 8' Folding Balance Beam w/Carry Handles</t>
  </si>
  <si>
    <t>PodiuMax 4FT Pickleball Rebounder Net 2-in-1</t>
  </si>
  <si>
    <t>Frigidaire 27 in. Built-In Wall Oven &amp; Microwave i</t>
  </si>
  <si>
    <t>Virginia Sallot</t>
  </si>
  <si>
    <t>11306 Sagecreek Drive</t>
  </si>
  <si>
    <t>shine8880@yahoo.com</t>
  </si>
  <si>
    <t>Nikitta Robinson Kelly</t>
  </si>
  <si>
    <t>4142 Yupon Ridge Drive</t>
  </si>
  <si>
    <t>robinsonkellynikitta@gmail.com</t>
  </si>
  <si>
    <t>Chafing Dishes Buffet 2 Pack 11QT Stainless</t>
  </si>
  <si>
    <t>Round Hill Ioana Grey Wood 5-Drawer Chest</t>
  </si>
  <si>
    <t>Mumufy Metal Beer Bucket with Ice Shovels</t>
  </si>
  <si>
    <t>GE 30" Built-In Convection Wall Oven (W3)</t>
  </si>
  <si>
    <t>Jeff Ong</t>
  </si>
  <si>
    <t>3027 Green Fields Dr.</t>
  </si>
  <si>
    <t>jeffrey.ong85@gmail.com</t>
  </si>
  <si>
    <t>Ioana Antique Grey Wood 6-Drawer Dresser</t>
  </si>
  <si>
    <t>(C)-Oneluck Extra Large Cat Litter Box 27.5in</t>
  </si>
  <si>
    <t>Arcadia Natural Tone Round Dining Table</t>
  </si>
  <si>
    <t>KitchenAid 30" Built-In Double Wall Ovens (W3)</t>
  </si>
  <si>
    <t>Antler Statue Candle Holder - Moose Cabin</t>
  </si>
  <si>
    <t>Chamille 55" Upholstered Accent Bench Beige</t>
  </si>
  <si>
    <t>Manahil Tariq</t>
  </si>
  <si>
    <t>18214 Linden Forest Lane</t>
  </si>
  <si>
    <t>manahilt@gmail.com</t>
  </si>
  <si>
    <t>Round Enameled Toilet Seat Dresden Blue</t>
  </si>
  <si>
    <t>VIHREN KARAYTCHEV</t>
  </si>
  <si>
    <t>14222 Hillvale Dr</t>
  </si>
  <si>
    <t>vihrentx@gmail.com</t>
  </si>
  <si>
    <t>713-363-4336</t>
  </si>
  <si>
    <t>Lisa Eaker</t>
  </si>
  <si>
    <t>812 Jackson hill st</t>
  </si>
  <si>
    <t>lisaeaker86@icloud.com</t>
  </si>
  <si>
    <t>PLA 24 Piece Porcelain Dinnerware Set Service For</t>
  </si>
  <si>
    <t>15314 Merritt Lane</t>
  </si>
  <si>
    <t>bashsc2436@icloud.com</t>
  </si>
  <si>
    <t>EconomyValue ClearVue Round Ring Binder 5/8"</t>
  </si>
  <si>
    <t>JennAir JES1450ML 30" Electric Range - MD</t>
  </si>
  <si>
    <t>Bernard Millette</t>
  </si>
  <si>
    <t>111A Karla Drive</t>
  </si>
  <si>
    <t>bernard@hallbuickgmc.com</t>
  </si>
  <si>
    <t>903-920-7501</t>
  </si>
  <si>
    <t>903-266-7837</t>
  </si>
  <si>
    <t>Thermostatic Shower System w/ Rain Shower</t>
  </si>
  <si>
    <t>Sanho 12-Inch Nonstick Frying Pan Gray</t>
  </si>
  <si>
    <t>(D)- Mofun 14" Rise Ape Hangers Handlebars</t>
  </si>
  <si>
    <t>Kempner Street</t>
  </si>
  <si>
    <t>kydyrbekmir@gmail.com</t>
  </si>
  <si>
    <t>Joseph Joseph Duo Expanding Dish Rack</t>
  </si>
  <si>
    <t>RHONDA LEGGETT</t>
  </si>
  <si>
    <t>11111 PLEASANT COLONY DR #608</t>
  </si>
  <si>
    <t>texastruckingagency@gmail.com</t>
  </si>
  <si>
    <t>832-497-6469</t>
  </si>
  <si>
    <t>(C)- Faux Leather Upholstered Side Dining Chairs -</t>
  </si>
  <si>
    <t>Maddu Uday</t>
  </si>
  <si>
    <t>3030 Dunvale Rd Apt 3105</t>
  </si>
  <si>
    <t>udayshankarmaddu@gmail.com</t>
  </si>
  <si>
    <t>Cat Carrier: Soft Dog Car Seat 900D Oxford</t>
  </si>
  <si>
    <t>Frida Baby 3-in-1 Humidifier with Diffuser</t>
  </si>
  <si>
    <t>Ofiray-home Magnetic Shelf White</t>
  </si>
  <si>
    <t>Benoy Aickareth</t>
  </si>
  <si>
    <t>510 Royal Lakes Blvd</t>
  </si>
  <si>
    <t>benreth@yahoo.com</t>
  </si>
  <si>
    <t>(W3)- Safavieh Flannery Mid-Century Cream Chair</t>
  </si>
  <si>
    <t>11412s autumn hill drive</t>
  </si>
  <si>
    <t>UT</t>
  </si>
  <si>
    <t>contest.kz@gmail.com</t>
  </si>
  <si>
    <t>GE 21 in. Glass Ceramic Cooktop (2 Elements)</t>
  </si>
  <si>
    <t>Steve Silver Furniture Fully Assembled Patio Chair</t>
  </si>
  <si>
    <t>Steve Silver Tamyra Corner Table &amp; Ottoman</t>
  </si>
  <si>
    <t>Solid Wood Dining Chair (2) Natural/Beige</t>
  </si>
  <si>
    <t>Campanelli Single Coffee Table</t>
  </si>
  <si>
    <t>James Preslock</t>
  </si>
  <si>
    <t>6200 Claridge Dr</t>
  </si>
  <si>
    <t>marklocke@msn.com</t>
  </si>
  <si>
    <t>Adcock Faux Olive Tree in White Planter</t>
  </si>
  <si>
    <t>GE 30 in. Smart Wall Oven Stainless Steel (W3)</t>
  </si>
  <si>
    <t>Dashton Upholstered Barrel Chair with Ottoman - Da</t>
  </si>
  <si>
    <t>ZLINE 30" 600 CFM Range Hood Black-Stainless</t>
  </si>
  <si>
    <t>Ana Ballard</t>
  </si>
  <si>
    <t>2231 Briarwest Boulevard</t>
  </si>
  <si>
    <t>houofficeprinting@gmail.com</t>
  </si>
  <si>
    <t>24 in. 14-Bottle Wine Cooler Black Cabinet (MD)</t>
  </si>
  <si>
    <t>Fay Janes-Busse</t>
  </si>
  <si>
    <t>306 Lillie Lange Road</t>
  </si>
  <si>
    <t>fmj262@aol.com</t>
  </si>
  <si>
    <t>Frigidaire 36  Induction CookTop (MD)</t>
  </si>
  <si>
    <t>GE Profile 22.1 cu ft French Door Refrigerator - (</t>
  </si>
  <si>
    <t>(C)- Odriscoll Upholstered Pouf - Upholstery Color</t>
  </si>
  <si>
    <t>Samsung Bespoke 29 cu. ft. 4-Door French Door Refr</t>
  </si>
  <si>
    <t>(D)- Whitaker Point 66.7 in. Maple Desk</t>
  </si>
  <si>
    <t>Erik Termeulen</t>
  </si>
  <si>
    <t>5826 Belrose Dr</t>
  </si>
  <si>
    <t>etermeulen@gmail.com</t>
  </si>
  <si>
    <t>LG 28 cu. ft. 3-Door French Door Fridge(W2)</t>
  </si>
  <si>
    <t>Samsung Bespoke 4-Door French Door - Refrigerator</t>
  </si>
  <si>
    <t>Alyah Extendable Outdoor Table 84"W</t>
  </si>
  <si>
    <t>KitchenAid 5 cu ft Electric Wall Oven &amp; Microwave</t>
  </si>
  <si>
    <t>Wayfair Sleep Heavy Duty Box Spring - Size: Full</t>
  </si>
  <si>
    <t>KitchenAid KOEC530PBS 30" Microwave/Oven -MD</t>
  </si>
  <si>
    <t>luis ruiz</t>
  </si>
  <si>
    <t>4607 Perry st</t>
  </si>
  <si>
    <t>luisr1692@live.com</t>
  </si>
  <si>
    <t>Eulema Oval Metal Base Dining Table</t>
  </si>
  <si>
    <t>GE 27-in Smart Electric Wall Oven Stainless - (MD)</t>
  </si>
  <si>
    <t>Paneled Solid Wood Shaker Standard Door - Size: 30</t>
  </si>
  <si>
    <t>4510 Rodeo Lane</t>
  </si>
  <si>
    <t>alejandro@versafacilitys.com</t>
  </si>
  <si>
    <t>Elegant Lighting 1205G36FG/RC Olivia Pendant</t>
  </si>
  <si>
    <t>Gamaliel Reyes</t>
  </si>
  <si>
    <t>17239 Laguna Trail Dr</t>
  </si>
  <si>
    <t>Gamalielrey@gmail.com</t>
  </si>
  <si>
    <t>KitchenAid 600 CFM 36" Under Cabinet Hood SS - A</t>
  </si>
  <si>
    <t>LG WashTower Laundry Center 5.0/7.4</t>
  </si>
  <si>
    <t>Jesus Flores</t>
  </si>
  <si>
    <t>2306 winrock blvd</t>
  </si>
  <si>
    <t>Jesus.flores@memorialhermann.org</t>
  </si>
  <si>
    <t>713-624-0615</t>
  </si>
  <si>
    <t>139m</t>
  </si>
  <si>
    <t>Rashay Mid-Century Modern Solid Wood Spindle Platf</t>
  </si>
  <si>
    <t>Exquisite Rugs Carmel Handmade Hand-Tufted New Zea</t>
  </si>
  <si>
    <t>(D)-Metal Bed Frame Full with Storage 18" Black</t>
  </si>
  <si>
    <t>Eb1760-231 Ashley Furniture Bermacy Dresser</t>
  </si>
  <si>
    <t>Windster WS-63TB Series 42" Stainless Hood-(BW)</t>
  </si>
  <si>
    <t>(C)- VEVOR Baby Gate: 26-48" Adjustable 36" High</t>
  </si>
  <si>
    <t>Amy Vaquera</t>
  </si>
  <si>
    <t>11222 Ivyridge Rd</t>
  </si>
  <si>
    <t>utamyb@gmail.com</t>
  </si>
  <si>
    <t>GE 30-In Over-the-Range Microwa...</t>
  </si>
  <si>
    <t>Brennen Mist Power Double Reclining Loveseat</t>
  </si>
  <si>
    <t>Sawiris Solid Wood Low Profile Platform Bed - Colo</t>
  </si>
  <si>
    <t>Maylon Upholstered Solid Wood Side Chair Dining Ch</t>
  </si>
  <si>
    <t>Monogram 24" Top Control Dishwasher 39 dBA</t>
  </si>
  <si>
    <t>Harlow Solid Wood Platform Bed - Color: Natural</t>
  </si>
  <si>
    <t>249m</t>
  </si>
  <si>
    <t>(A)- Caf  36" Wall Range Hood Stainless Steel</t>
  </si>
  <si>
    <t>253m</t>
  </si>
  <si>
    <t>Walsunny Pantry Cabinet with Microwave Shelf</t>
  </si>
  <si>
    <t>279m</t>
  </si>
  <si>
    <t>Havalance Flip Top Sofa/Console Table</t>
  </si>
  <si>
    <t>tenille Teeples</t>
  </si>
  <si>
    <t>463 e 950 n</t>
  </si>
  <si>
    <t>tenille6578@gmail.com</t>
  </si>
  <si>
    <t>283m</t>
  </si>
  <si>
    <t>(DE)-Electric Fireplace Mantel TV Stand for 67" TV</t>
  </si>
  <si>
    <t>Mystery Pallet Number #3</t>
  </si>
  <si>
    <t>Jagveer Extendable Solid Wood Dining Table</t>
  </si>
  <si>
    <t>339m</t>
  </si>
  <si>
    <t>60 in Rural Log Wood Farmhouse Table (4-6)</t>
  </si>
  <si>
    <t>350m</t>
  </si>
  <si>
    <t>Belmore Hinged Frameless Shower Door</t>
  </si>
  <si>
    <t>(W3)- ROVSUN 12k BTU Through-Wall A/C w/ Wifi</t>
  </si>
  <si>
    <t>426m</t>
  </si>
  <si>
    <t>Pirouette 48-54" Frameless Shower Door</t>
  </si>
  <si>
    <t>445m</t>
  </si>
  <si>
    <t>Brookelyne Upholstered Side Chair (Set of 4)</t>
  </si>
  <si>
    <t>451m</t>
  </si>
  <si>
    <t>Pallet of Broken TVs (For Parts/As Is)</t>
  </si>
  <si>
    <t>Tim Van</t>
  </si>
  <si>
    <t>12520 Ann Louise rd</t>
  </si>
  <si>
    <t>77086-3402</t>
  </si>
  <si>
    <t>vvddhh@gmail.com</t>
  </si>
  <si>
    <t>281-901-0002</t>
  </si>
  <si>
    <t>571m</t>
  </si>
  <si>
    <t>Brooke Sebastian</t>
  </si>
  <si>
    <t>7014 Clustering Oak Court</t>
  </si>
  <si>
    <t>brookeysebastian@gmail.com</t>
  </si>
  <si>
    <t>LG Vented Gas Dryer: Smart AI Sensor Dry - (MD)</t>
  </si>
  <si>
    <t>640m</t>
  </si>
  <si>
    <t>686m</t>
  </si>
  <si>
    <t>Braya Hydraulic Lift Up Storage Upholstered Platfo</t>
  </si>
  <si>
    <t>731m</t>
  </si>
  <si>
    <t>Keeli Extendable Stone Dining Set (8)</t>
  </si>
  <si>
    <t>David Wohlberg</t>
  </si>
  <si>
    <t>7911 Coachwood drive</t>
  </si>
  <si>
    <t>davidwohlberg@gmail.com</t>
  </si>
  <si>
    <t>718-314-9302</t>
  </si>
  <si>
    <t>Samsung Bespoke 4-Door Flex Refrigerator 29 cu. ft</t>
  </si>
  <si>
    <t>Wendi Walker</t>
  </si>
  <si>
    <t>5115 Glenmeadow drive</t>
  </si>
  <si>
    <t>sapbretto@gmail.com</t>
  </si>
  <si>
    <t>713-410-3165</t>
  </si>
  <si>
    <t>778m</t>
  </si>
  <si>
    <t>Vicini Single 42" Bathroom Vanity Set - Base Color</t>
  </si>
  <si>
    <t>779m</t>
  </si>
  <si>
    <t>831m</t>
  </si>
  <si>
    <t>836m</t>
  </si>
  <si>
    <t>Lewis Terrero</t>
  </si>
  <si>
    <t>6307 Oakburl Lane</t>
  </si>
  <si>
    <t>leter1224@gmail.com</t>
  </si>
  <si>
    <t>999m</t>
  </si>
  <si>
    <t>Caitlyn Rodriquez</t>
  </si>
  <si>
    <t>227 BETH LN</t>
  </si>
  <si>
    <t>Aesthetic.cat02@gmail.com</t>
  </si>
  <si>
    <t>1000m</t>
  </si>
  <si>
    <t>3311 Lively Lane</t>
  </si>
  <si>
    <t>fisetteaustin@gmail.com</t>
  </si>
  <si>
    <t>2918 Almeda Plaza Dr</t>
  </si>
  <si>
    <t>travis_ford@hotmail.com</t>
  </si>
  <si>
    <t>Ndayisenga Metal Box Spring Basics Mattress Found</t>
  </si>
  <si>
    <t>4610 Red Hawk Ct</t>
  </si>
  <si>
    <t>post1@slb.com</t>
  </si>
  <si>
    <t>15" Tool Bag: 16 Pockets Waterproof Black/Orange</t>
  </si>
  <si>
    <t>8223 Cove Timbers Lane</t>
  </si>
  <si>
    <t>atbattista@gmail.com</t>
  </si>
  <si>
    <t>18318 Grayson Bluff Way</t>
  </si>
  <si>
    <t>markagusman@gmail.com</t>
  </si>
  <si>
    <t>9527 Willard</t>
  </si>
  <si>
    <t>deryl_g@hotmail.com</t>
  </si>
  <si>
    <t>12002 Tanglewood ct</t>
  </si>
  <si>
    <t>pyramidsgroup@hotmail.com</t>
  </si>
  <si>
    <t>(C)- Oneluck Extra Large Cat Litter Box 27.5in</t>
  </si>
  <si>
    <t>Fence Posts 7 Ft 16 Pack No Dig U Post Black</t>
  </si>
  <si>
    <t>2102 Scissor Tail Rd</t>
  </si>
  <si>
    <t>hsbhuee@yahoo.com</t>
  </si>
  <si>
    <t>832-757-5275</t>
  </si>
  <si>
    <t>1011 Worthshire st</t>
  </si>
  <si>
    <t>n.anagno@gmail.com</t>
  </si>
  <si>
    <t>14311 Sun Harbor Drive</t>
  </si>
  <si>
    <t>rttijerina1@gmail.com</t>
  </si>
  <si>
    <t>4305 C.R. 138e</t>
  </si>
  <si>
    <t>Phatlady1026@yahoo.com</t>
  </si>
  <si>
    <t>Hexagon EVA Boat Flooring Self-Adhesive</t>
  </si>
  <si>
    <t>1906 Cloud Croft Drive</t>
  </si>
  <si>
    <t>Ninabsingh@yahoo.com</t>
  </si>
  <si>
    <t>3418 Big Horn Ct</t>
  </si>
  <si>
    <t>Ieli2424@yahoo.com</t>
  </si>
  <si>
    <t>Electric Warming Tray 39"x14" 9-Level Temp</t>
  </si>
  <si>
    <t>8259 hwy 326 n</t>
  </si>
  <si>
    <t>jeep383stroker@gmail.com</t>
  </si>
  <si>
    <t>281-221-9983</t>
  </si>
  <si>
    <t>Hexagon EVA Boat Flooring Self-Adhesive (98.4 x37</t>
  </si>
  <si>
    <t>IDL Packaging Kraft Paper Roll 50lb USA-made</t>
  </si>
  <si>
    <t>2702 golden hills court</t>
  </si>
  <si>
    <t>Solademimayowa@yahoo.ie</t>
  </si>
  <si>
    <t>Noodle Board Stove Cover X-Chef 30x22" Bamboo</t>
  </si>
  <si>
    <t>9207 Old Gilbert rd</t>
  </si>
  <si>
    <t>Kcooper011984@gmail.com</t>
  </si>
  <si>
    <t>24"x18" Bamboo Cutting Board Charcuterie Tray</t>
  </si>
  <si>
    <t>1614 Ryon Falls Drive</t>
  </si>
  <si>
    <t>zelalemwldss@gmail.com</t>
  </si>
  <si>
    <t>XL Cutting Board 20x15" Bamboo 1" Thick</t>
  </si>
  <si>
    <t>Natural Black Marble Cutting Board 16x20</t>
  </si>
  <si>
    <t>tobyto Reusable Grocery Bag on Wheels 105L</t>
  </si>
  <si>
    <t>Shallow Dog Food Bowls Non-Slip (2x)</t>
  </si>
  <si>
    <t>GE 30" 5-Burner Electric Range SS - W3</t>
  </si>
  <si>
    <t>GE CAFE 24 in Built-In Dishwasher Matte White - P</t>
  </si>
  <si>
    <t>Profile 30" Smart Wall Oven Convection SS</t>
  </si>
  <si>
    <t>GE Profile 30 in. Warming Drawer SS</t>
  </si>
  <si>
    <t>10615 Briar Forest</t>
  </si>
  <si>
    <t>cj092012@yahoo.com</t>
  </si>
  <si>
    <t>20019 Stone Lake Circle</t>
  </si>
  <si>
    <t>marcyholmes@designsbyholmes.com</t>
  </si>
  <si>
    <t>Samsung 30 in. Electric Wall Oven Wi-Fi - W3</t>
  </si>
  <si>
    <t>42" Swage Cable Railing Kit 164ft 1/8" -(B)</t>
  </si>
  <si>
    <t>Samsung WE402NV Laundry Pedestal Black - C</t>
  </si>
  <si>
    <t>Samsung 36-in 5-Burner Gas Cooktop</t>
  </si>
  <si>
    <t>9210 Barracuda Dr</t>
  </si>
  <si>
    <t>lauboyce@yahoo.com</t>
  </si>
  <si>
    <t>409-289-5747</t>
  </si>
  <si>
    <t>409-289-4782</t>
  </si>
  <si>
    <t>27-in Laundry Pedestal with Storage Drawer</t>
  </si>
  <si>
    <t>DG Casa Reign Boucle Platform Bed Queen -(W4)</t>
  </si>
  <si>
    <t>2423 Eaglerock Dr</t>
  </si>
  <si>
    <t>pete.sprajc@gmail.com</t>
  </si>
  <si>
    <t>LG 27 in. Laundry Pedestal with Storage Drawer</t>
  </si>
  <si>
    <t>KitchenAid 30 in. Gas Cooktop 5 Burners with Dual</t>
  </si>
  <si>
    <t>Urevo Spacewalk E4W Treadmill &amp; Pad - Brown</t>
  </si>
  <si>
    <t>12614 Flaxseed Way</t>
  </si>
  <si>
    <t>jaimehinojosa37@gmail.com</t>
  </si>
  <si>
    <t>Samsung BESPOKE 36" Wall Mount Range Hood - Grey</t>
  </si>
  <si>
    <t>123 Stellar Hills Court</t>
  </si>
  <si>
    <t>brooksjaedon@gmail.com</t>
  </si>
  <si>
    <t>800 Series 42" Island Range Hood -(W4)</t>
  </si>
  <si>
    <t>30 in Smart Wall Mount Hood with LED -(C)</t>
  </si>
  <si>
    <t>LG 27" Pedestal Storage Drawer Smooth Black</t>
  </si>
  <si>
    <t>Whirlpool 30" Gas Cooktop - Stainless Steel</t>
  </si>
  <si>
    <t>Samsung BESPOKE 35" Wall Range Hood</t>
  </si>
  <si>
    <t>GE 30 in. Smart Wall Oven Self-Cleaning</t>
  </si>
  <si>
    <t>ModernLuxe 30" Vanity with Sink Soft Close -(D)</t>
  </si>
  <si>
    <t>NordicTrack T 6.5 S Treadmill 5" Display</t>
  </si>
  <si>
    <t>Maxwell Modern Round Dining Table Sintered Stone</t>
  </si>
  <si>
    <t>7945 Avenue e</t>
  </si>
  <si>
    <t>claro.lopez@gmail.com</t>
  </si>
  <si>
    <t>107 Blanchard loop</t>
  </si>
  <si>
    <t>rachb0901rb@gmail.com</t>
  </si>
  <si>
    <t>1603 Tucker Dr</t>
  </si>
  <si>
    <t>sirwillij@yahoo.com</t>
  </si>
  <si>
    <t>254-681-2420</t>
  </si>
  <si>
    <t>S21</t>
  </si>
  <si>
    <t>S22</t>
  </si>
  <si>
    <t>S23</t>
  </si>
  <si>
    <t>S24</t>
  </si>
  <si>
    <t>S20</t>
  </si>
  <si>
    <t>Повтор</t>
  </si>
  <si>
    <t>25 -name</t>
  </si>
  <si>
    <t>S25 -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</si>
</sst>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b/>
      <sz val="11"/>
      <color theme="1"/>
      <name val="Calibri"/>
      <family val="2"/>
      <scheme val="minor"/>
    </font>
    <font>
      <b/>
      <sz val="11"/>
      <name val="Calibri"/>
      <family val="2"/>
      <scheme val="minor"/>
    </font>
    <font>
      <sz val="8"/>
      <name val="Calibri"/>
      <family val="2"/>
      <charset val="204"/>
      <scheme val="minor"/>
    </font>
    <font>
      <sz val="11"/>
      <color theme="1"/>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rgb="FF92D050"/>
        <bgColor indexed="64"/>
      </patternFill>
    </fill>
    <fill>
      <patternFill patternType="solid">
        <fgColor rgb="FFFFFF00"/>
        <bgColor indexed="64"/>
      </patternFill>
    </fill>
    <fill>
      <patternFill patternType="solid">
        <fgColor rgb="FFC00000"/>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9">
    <xf numFmtId="0" fontId="0" fillId="0" borderId="0" xfId="0"/>
    <xf numFmtId="3" fontId="0" fillId="33" borderId="0" xfId="0" applyNumberFormat="1" applyFill="1"/>
    <xf numFmtId="3" fontId="0" fillId="34" borderId="0" xfId="0" applyNumberFormat="1" applyFill="1" applyAlignment="1">
      <alignment horizontal="center" vertical="center"/>
    </xf>
    <xf numFmtId="0" fontId="0" fillId="0" borderId="0" xfId="0" applyAlignment="1">
      <alignment horizontal="right"/>
    </xf>
    <xf numFmtId="0" fontId="0" fillId="35" borderId="0" xfId="0" applyFill="1" applyAlignment="1">
      <alignment horizontal="center"/>
    </xf>
    <xf numFmtId="3" fontId="0" fillId="0" borderId="0" xfId="0" applyNumberFormat="1"/>
    <xf numFmtId="3" fontId="0" fillId="35" borderId="0" xfId="0" applyNumberFormat="1" applyFill="1" applyAlignment="1">
      <alignment horizontal="center"/>
    </xf>
    <xf numFmtId="3" fontId="14" fillId="0" borderId="0" xfId="0" applyNumberFormat="1" applyFont="1"/>
    <xf numFmtId="3" fontId="0" fillId="35" borderId="0" xfId="0" applyNumberFormat="1" applyFill="1"/>
    <xf numFmtId="0" fontId="0" fillId="36" borderId="0" xfId="0" applyFill="1" applyAlignment="1">
      <alignment horizontal="right"/>
    </xf>
    <xf numFmtId="0" fontId="0" fillId="0" borderId="0" xfId="0" applyFill="1" applyAlignment="1">
      <alignment horizontal="right"/>
    </xf>
    <xf numFmtId="0" fontId="0" fillId="36" borderId="0" xfId="0" applyFill="1"/>
    <xf numFmtId="3" fontId="0" fillId="0" borderId="0" xfId="0" applyNumberFormat="1" applyFill="1" applyAlignment="1">
      <alignment horizontal="center" vertical="center"/>
    </xf>
    <xf numFmtId="3" fontId="0" fillId="37" borderId="0" xfId="0" applyNumberFormat="1" applyFill="1"/>
    <xf numFmtId="3" fontId="0" fillId="38" borderId="0" xfId="0" applyNumberFormat="1" applyFill="1"/>
    <xf numFmtId="3" fontId="0" fillId="39" borderId="0" xfId="0" applyNumberFormat="1" applyFill="1"/>
    <xf numFmtId="0" fontId="0" fillId="35" borderId="0" xfId="0" applyFill="1"/>
    <xf numFmtId="9" fontId="18" fillId="0" borderId="0" xfId="1" applyFont="1" applyFill="1"/>
    <xf numFmtId="3" fontId="0" fillId="0" borderId="0" xfId="0" applyNumberFormat="1" applyFill="1" applyAlignment="1">
      <alignment horizontal="center"/>
    </xf>
    <xf numFmtId="3" fontId="0" fillId="0" borderId="0" xfId="0" applyNumberFormat="1" applyFill="1"/>
    <xf numFmtId="9" fontId="0" fillId="0" borderId="0" xfId="0" applyNumberFormat="1" applyFill="1"/>
    <xf numFmtId="0" fontId="0" fillId="0" borderId="0" xfId="0" applyFill="1"/>
    <xf numFmtId="3" fontId="14" fillId="0" borderId="0" xfId="0" applyNumberFormat="1" applyFont="1" applyFill="1"/>
    <xf numFmtId="164" fontId="0" fillId="35" borderId="0" xfId="0" applyNumberFormat="1" applyFill="1" applyAlignment="1">
      <alignment horizontal="center"/>
    </xf>
    <xf numFmtId="164" fontId="0" fillId="0" borderId="0" xfId="0" applyNumberFormat="1"/>
    <xf numFmtId="0" fontId="0" fillId="35" borderId="0" xfId="0" applyFill="1" applyAlignment="1">
      <alignment horizontal="right"/>
    </xf>
    <xf numFmtId="3" fontId="18" fillId="0" borderId="0" xfId="0" applyNumberFormat="1" applyFont="1"/>
    <xf numFmtId="3" fontId="19" fillId="40" borderId="0" xfId="0" applyNumberFormat="1" applyFont="1" applyFill="1"/>
    <xf numFmtId="3" fontId="18" fillId="40" borderId="0" xfId="0" applyNumberFormat="1" applyFont="1" applyFill="1"/>
    <xf numFmtId="9" fontId="0" fillId="0" borderId="0" xfId="0" applyNumberFormat="1"/>
    <xf numFmtId="1" fontId="0" fillId="0" borderId="0" xfId="0" applyNumberFormat="1"/>
    <xf numFmtId="0" fontId="0" fillId="0" borderId="0" xfId="0" applyAlignment="1">
      <alignment horizontal="center"/>
    </xf>
    <xf numFmtId="1" fontId="0" fillId="0" borderId="0" xfId="0" applyNumberFormat="1" applyAlignment="1">
      <alignment horizontal="center"/>
    </xf>
    <xf numFmtId="1" fontId="0" fillId="0" borderId="0" xfId="0" applyNumberFormat="1" applyFill="1" applyAlignment="1">
      <alignment horizontal="center"/>
    </xf>
    <xf numFmtId="0" fontId="0" fillId="0" borderId="0" xfId="0" applyFill="1" applyAlignment="1">
      <alignment horizontal="center"/>
    </xf>
    <xf numFmtId="1" fontId="14" fillId="0" borderId="0" xfId="0" applyNumberFormat="1" applyFont="1" applyFill="1" applyAlignment="1">
      <alignment horizontal="center"/>
    </xf>
    <xf numFmtId="0" fontId="0" fillId="41" borderId="0" xfId="0" applyFill="1" applyAlignment="1">
      <alignment horizontal="center"/>
    </xf>
    <xf numFmtId="0" fontId="18" fillId="0" borderId="0" xfId="0" applyFont="1" applyAlignment="1">
      <alignment horizontal="center"/>
    </xf>
    <xf numFmtId="0" fontId="18" fillId="0" borderId="0" xfId="0" applyFont="1"/>
    <xf numFmtId="3" fontId="18" fillId="0" borderId="0" xfId="0" applyNumberFormat="1" applyFont="1" applyFill="1"/>
    <xf numFmtId="3" fontId="18" fillId="0" borderId="0" xfId="0" applyNumberFormat="1" applyFont="1" applyFill="1" applyAlignment="1">
      <alignment horizontal="center" vertical="center"/>
    </xf>
    <xf numFmtId="0" fontId="18" fillId="0" borderId="0" xfId="0" applyFont="1" applyFill="1" applyAlignment="1">
      <alignment horizontal="center"/>
    </xf>
    <xf numFmtId="9" fontId="18" fillId="0" borderId="0" xfId="0" applyNumberFormat="1" applyFont="1" applyFill="1" applyAlignment="1">
      <alignment horizontal="center"/>
    </xf>
    <xf numFmtId="9" fontId="18" fillId="0" borderId="0" xfId="0" applyNumberFormat="1" applyFont="1" applyAlignment="1">
      <alignment horizontal="center"/>
    </xf>
    <xf numFmtId="1" fontId="21" fillId="0" borderId="0" xfId="0" applyNumberFormat="1" applyFont="1" applyFill="1" applyAlignment="1">
      <alignment horizontal="center"/>
    </xf>
    <xf numFmtId="1" fontId="0" fillId="35" borderId="0" xfId="0" applyNumberFormat="1" applyFill="1" applyAlignment="1">
      <alignment horizontal="center"/>
    </xf>
    <xf numFmtId="0" fontId="18" fillId="0" borderId="0" xfId="0" applyFont="1" applyFill="1"/>
    <xf numFmtId="3" fontId="18" fillId="0" borderId="0" xfId="0" applyNumberFormat="1" applyFont="1" applyFill="1" applyAlignment="1">
      <alignment horizontal="center"/>
    </xf>
    <xf numFmtId="1" fontId="0" fillId="0" borderId="0" xfId="0" applyNumberFormat="1"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
    <dxf>
      <fill>
        <patternFill patternType="solid">
          <fgColor rgb="FFFFFF00"/>
          <bgColor rgb="FF000000"/>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mazo/Downloads/Overstock%20Product%20Liquidation%20Sugar%20Land%200218%20-%200225%20(3).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stock Product Liquidation S"/>
      <sheetName val="Sheet1"/>
      <sheetName val="Sheet2"/>
    </sheetNames>
    <sheetDataSet>
      <sheetData sheetId="0" refreshError="1"/>
      <sheetData sheetId="1" refreshError="1"/>
      <sheetData sheetId="2">
        <row r="1">
          <cell r="A1" t="str">
            <v>Lot</v>
          </cell>
          <cell r="B1" t="str">
            <v>Title</v>
          </cell>
          <cell r="C1" t="str">
            <v>Time Left</v>
          </cell>
          <cell r="D1" t="str">
            <v>Reserve</v>
          </cell>
          <cell r="E1" t="str">
            <v>Winning Bidder</v>
          </cell>
          <cell r="F1" t="str">
            <v>Name</v>
          </cell>
          <cell r="G1" t="str">
            <v>Address</v>
          </cell>
          <cell r="H1" t="str">
            <v>State</v>
          </cell>
          <cell r="I1" t="str">
            <v>Zip Code</v>
          </cell>
          <cell r="J1" t="str">
            <v>Email</v>
          </cell>
          <cell r="K1" t="str">
            <v>Phone</v>
          </cell>
          <cell r="L1" t="str">
            <v>Phone 2</v>
          </cell>
          <cell r="M1" t="str">
            <v>High Bid</v>
          </cell>
          <cell r="N1" t="str">
            <v>Max Bid</v>
          </cell>
        </row>
        <row r="2">
          <cell r="A2">
            <v>2</v>
          </cell>
          <cell r="B2" t="str">
            <v>GHV Cordless Zebra Blinds 29x64 Gray</v>
          </cell>
          <cell r="C2" t="str">
            <v>Bidding Closed</v>
          </cell>
          <cell r="E2">
            <v>5184</v>
          </cell>
          <cell r="F2" t="str">
            <v>Alma Torres</v>
          </cell>
          <cell r="G2" t="str">
            <v>8950 CR 121</v>
          </cell>
          <cell r="H2" t="str">
            <v>TX</v>
          </cell>
          <cell r="I2">
            <v>77583</v>
          </cell>
          <cell r="J2" t="str">
            <v>torres_a4@yahoo.com</v>
          </cell>
          <cell r="K2">
            <v>8322083621</v>
          </cell>
          <cell r="M2">
            <v>500</v>
          </cell>
          <cell r="N2">
            <v>500</v>
          </cell>
        </row>
        <row r="3">
          <cell r="A3" t="str">
            <v>2m</v>
          </cell>
          <cell r="B3" t="str">
            <v>GE 30 in. Electric Wall Oven Self-Cleaning Slate</v>
          </cell>
          <cell r="C3" t="str">
            <v>Bidding Closed Time Extended</v>
          </cell>
          <cell r="E3">
            <v>5200</v>
          </cell>
          <cell r="F3" t="str">
            <v>Bernard Millette</v>
          </cell>
          <cell r="G3" t="str">
            <v>111A Karla Drive</v>
          </cell>
          <cell r="H3" t="str">
            <v>TX</v>
          </cell>
          <cell r="I3">
            <v>75791</v>
          </cell>
          <cell r="J3" t="str">
            <v>bernard@hallbuickgmc.com</v>
          </cell>
          <cell r="K3" t="str">
            <v>903-920-7501</v>
          </cell>
          <cell r="L3" t="str">
            <v>903-266-7837</v>
          </cell>
          <cell r="M3">
            <v>16600</v>
          </cell>
          <cell r="N3">
            <v>16600</v>
          </cell>
        </row>
        <row r="4">
          <cell r="A4">
            <v>3</v>
          </cell>
          <cell r="B4" t="str">
            <v>Commercial Deep Fryer Filter AF45 304 SS</v>
          </cell>
          <cell r="C4" t="str">
            <v>Bidding Closed</v>
          </cell>
          <cell r="E4">
            <v>5098</v>
          </cell>
          <cell r="F4" t="str">
            <v>Marie Williams</v>
          </cell>
          <cell r="G4" t="str">
            <v>510 Remington Glen Court</v>
          </cell>
          <cell r="H4" t="str">
            <v>TX</v>
          </cell>
          <cell r="I4">
            <v>77073</v>
          </cell>
          <cell r="J4" t="str">
            <v>williamsjay6510@gmail.com</v>
          </cell>
          <cell r="K4">
            <v>8324538242</v>
          </cell>
          <cell r="M4">
            <v>500</v>
          </cell>
          <cell r="N4">
            <v>500</v>
          </cell>
        </row>
        <row r="5">
          <cell r="A5">
            <v>4</v>
          </cell>
          <cell r="B5" t="str">
            <v>InSinkErator EZ Connect Power Cord</v>
          </cell>
          <cell r="C5" t="str">
            <v>Bidding Closed</v>
          </cell>
          <cell r="F5" t="str">
            <v>Floor</v>
          </cell>
          <cell r="M5">
            <v>0</v>
          </cell>
          <cell r="N5">
            <v>0</v>
          </cell>
        </row>
        <row r="6">
          <cell r="A6" t="str">
            <v>4m</v>
          </cell>
          <cell r="B6" t="str">
            <v>NordicTrack T 6.5 S Treadmill</v>
          </cell>
          <cell r="C6" t="str">
            <v>Bidding Closed Time Extended</v>
          </cell>
          <cell r="E6">
            <v>5158</v>
          </cell>
          <cell r="F6" t="str">
            <v>Jack Bates</v>
          </cell>
          <cell r="G6" t="str">
            <v>4722 Broken Elm Dr</v>
          </cell>
          <cell r="H6" t="str">
            <v>TX</v>
          </cell>
          <cell r="I6">
            <v>77388</v>
          </cell>
          <cell r="J6" t="str">
            <v>jlba120267@yahoo.com</v>
          </cell>
          <cell r="K6">
            <v>7133762968</v>
          </cell>
          <cell r="L6">
            <v>7133762968</v>
          </cell>
          <cell r="M6">
            <v>30000</v>
          </cell>
          <cell r="N6">
            <v>30000</v>
          </cell>
        </row>
        <row r="7">
          <cell r="A7">
            <v>5</v>
          </cell>
          <cell r="B7" t="str">
            <v>Hanaive 20Pcs Artificial Anthurium 23.6" Black</v>
          </cell>
          <cell r="C7" t="str">
            <v>Bidding Closed</v>
          </cell>
          <cell r="E7">
            <v>5197</v>
          </cell>
          <cell r="F7" t="str">
            <v>Uyen Bui</v>
          </cell>
          <cell r="G7" t="str">
            <v>1019 Forest Home Dr</v>
          </cell>
          <cell r="H7" t="str">
            <v>TX</v>
          </cell>
          <cell r="I7">
            <v>77077</v>
          </cell>
          <cell r="J7" t="str">
            <v>kira.alpaca@gmail.com</v>
          </cell>
          <cell r="K7" t="str">
            <v>914-987-8752</v>
          </cell>
          <cell r="M7">
            <v>500</v>
          </cell>
          <cell r="N7">
            <v>500</v>
          </cell>
        </row>
        <row r="8">
          <cell r="A8" t="str">
            <v>5m</v>
          </cell>
          <cell r="B8" t="str">
            <v>Christopher Knight Gehry 31" Vanity with Sink</v>
          </cell>
          <cell r="C8" t="str">
            <v>Bidding Closed</v>
          </cell>
          <cell r="E8">
            <v>5059</v>
          </cell>
          <cell r="F8" t="str">
            <v>Ismael Delossantos</v>
          </cell>
          <cell r="G8" t="str">
            <v>1418 Horatio Street</v>
          </cell>
          <cell r="H8" t="str">
            <v>TX</v>
          </cell>
          <cell r="I8">
            <v>77029</v>
          </cell>
          <cell r="J8" t="str">
            <v>ismaeldelossantos@yahoo.com</v>
          </cell>
          <cell r="K8">
            <v>8328058111</v>
          </cell>
          <cell r="M8">
            <v>20000</v>
          </cell>
          <cell r="N8">
            <v>20000</v>
          </cell>
        </row>
        <row r="9">
          <cell r="A9">
            <v>6</v>
          </cell>
          <cell r="B9" t="str">
            <v>White Cordless Vinyl Blind 30x36 (2 pack)</v>
          </cell>
          <cell r="C9" t="str">
            <v>Bidding Closed</v>
          </cell>
          <cell r="E9">
            <v>5027</v>
          </cell>
          <cell r="F9" t="str">
            <v>Kuralay Kateryne</v>
          </cell>
          <cell r="G9" t="str">
            <v>Kempner Street</v>
          </cell>
          <cell r="H9" t="str">
            <v>TX</v>
          </cell>
          <cell r="I9">
            <v>77477</v>
          </cell>
          <cell r="J9" t="str">
            <v>kydyrbekmir@gmail.com</v>
          </cell>
          <cell r="K9">
            <v>7759994244</v>
          </cell>
          <cell r="M9">
            <v>525</v>
          </cell>
          <cell r="N9">
            <v>525</v>
          </cell>
        </row>
        <row r="10">
          <cell r="A10" t="str">
            <v>6m</v>
          </cell>
          <cell r="B10" t="str">
            <v>Bertazzoni 36" Wall Range Hood S/S</v>
          </cell>
          <cell r="C10" t="str">
            <v>Bidding Closed Time Extended</v>
          </cell>
          <cell r="E10">
            <v>5071</v>
          </cell>
          <cell r="F10" t="str">
            <v>Yesset Karayev</v>
          </cell>
          <cell r="G10" t="str">
            <v>11412s autumn hill drive</v>
          </cell>
          <cell r="H10" t="str">
            <v>UT</v>
          </cell>
          <cell r="I10">
            <v>84094</v>
          </cell>
          <cell r="J10" t="str">
            <v>contest.kz@gmail.com</v>
          </cell>
          <cell r="K10">
            <v>8018360895</v>
          </cell>
          <cell r="M10">
            <v>11500</v>
          </cell>
          <cell r="N10">
            <v>21000</v>
          </cell>
        </row>
        <row r="11">
          <cell r="A11">
            <v>7</v>
          </cell>
          <cell r="B11" t="str">
            <v>Bosch Dishwasher Power Cord w/JBox SMZPCJB1UC</v>
          </cell>
          <cell r="C11" t="str">
            <v>Bidding Closed</v>
          </cell>
          <cell r="E11">
            <v>5159</v>
          </cell>
          <cell r="F11" t="str">
            <v>jack witte</v>
          </cell>
          <cell r="G11" t="str">
            <v>1803 Chase Street</v>
          </cell>
          <cell r="H11" t="str">
            <v>TX</v>
          </cell>
          <cell r="I11">
            <v>77026</v>
          </cell>
          <cell r="J11" t="str">
            <v>jackwitte@protonmail.com</v>
          </cell>
          <cell r="K11">
            <v>7135487587</v>
          </cell>
          <cell r="M11">
            <v>500</v>
          </cell>
          <cell r="N11">
            <v>500</v>
          </cell>
        </row>
        <row r="12">
          <cell r="A12" t="str">
            <v>7m</v>
          </cell>
          <cell r="B12" t="str">
            <v>GE Profile 30 in. Smart Wall Oven w/ Convection -</v>
          </cell>
          <cell r="C12" t="str">
            <v>Bidding Closed</v>
          </cell>
          <cell r="E12">
            <v>5027</v>
          </cell>
          <cell r="F12" t="str">
            <v>Kuralay Kateryne</v>
          </cell>
          <cell r="G12" t="str">
            <v>Kempner Street</v>
          </cell>
          <cell r="H12" t="str">
            <v>TX</v>
          </cell>
          <cell r="I12">
            <v>77477</v>
          </cell>
          <cell r="J12" t="str">
            <v>kydyrbekmir@gmail.com</v>
          </cell>
          <cell r="K12">
            <v>7759994244</v>
          </cell>
          <cell r="M12">
            <v>22500</v>
          </cell>
          <cell r="N12">
            <v>34000</v>
          </cell>
        </row>
        <row r="13">
          <cell r="A13">
            <v>8</v>
          </cell>
          <cell r="B13" t="str">
            <v>uxcell Air Vents Cover 2Pcs 650x100mm (White)</v>
          </cell>
          <cell r="C13" t="str">
            <v>Bidding Closed</v>
          </cell>
          <cell r="F13" t="str">
            <v>Floor</v>
          </cell>
          <cell r="M13">
            <v>0</v>
          </cell>
          <cell r="N13">
            <v>0</v>
          </cell>
        </row>
        <row r="14">
          <cell r="A14" t="str">
            <v>8m</v>
          </cell>
          <cell r="B14" t="str">
            <v>Viking 36"W Induction Cooktop-6 Elements -W3</v>
          </cell>
          <cell r="C14" t="str">
            <v>Bidding Closed</v>
          </cell>
          <cell r="E14">
            <v>5027</v>
          </cell>
          <cell r="F14" t="str">
            <v>Kuralay Kateryne</v>
          </cell>
          <cell r="G14" t="str">
            <v>Kempner Street</v>
          </cell>
          <cell r="H14" t="str">
            <v>TX</v>
          </cell>
          <cell r="I14">
            <v>77477</v>
          </cell>
          <cell r="J14" t="str">
            <v>kydyrbekmir@gmail.com</v>
          </cell>
          <cell r="K14">
            <v>7759994244</v>
          </cell>
          <cell r="M14">
            <v>37800</v>
          </cell>
          <cell r="N14">
            <v>38300</v>
          </cell>
        </row>
        <row r="15">
          <cell r="A15">
            <v>9</v>
          </cell>
          <cell r="B15" t="str">
            <v>ProHeal Specimen Pan Toilet Hat 40oz (2-Pack)</v>
          </cell>
          <cell r="C15" t="str">
            <v>Bidding Closed</v>
          </cell>
          <cell r="F15" t="str">
            <v>Floor</v>
          </cell>
          <cell r="M15">
            <v>0</v>
          </cell>
          <cell r="N15">
            <v>0</v>
          </cell>
        </row>
        <row r="16">
          <cell r="A16" t="str">
            <v>9m</v>
          </cell>
          <cell r="B16" t="str">
            <v>LG 6.3 cu.ft. Electric Range with Wi-Fi - W3</v>
          </cell>
          <cell r="C16" t="str">
            <v>Bidding Closed Time Extended</v>
          </cell>
          <cell r="E16">
            <v>5202</v>
          </cell>
          <cell r="F16" t="str">
            <v>Patricio Marquez</v>
          </cell>
          <cell r="G16" t="str">
            <v>7319 universal dr</v>
          </cell>
          <cell r="H16" t="str">
            <v>TX</v>
          </cell>
          <cell r="I16">
            <v>77072</v>
          </cell>
          <cell r="J16" t="str">
            <v>Pato13112008@yahoo.com</v>
          </cell>
          <cell r="K16">
            <v>8323688887</v>
          </cell>
          <cell r="M16">
            <v>15000</v>
          </cell>
          <cell r="N16">
            <v>15000</v>
          </cell>
        </row>
        <row r="17">
          <cell r="A17">
            <v>10</v>
          </cell>
          <cell r="B17" t="str">
            <v>Dishwasher Power Cord with Junction Box</v>
          </cell>
          <cell r="C17" t="str">
            <v>Bidding Closed</v>
          </cell>
          <cell r="E17">
            <v>5159</v>
          </cell>
          <cell r="F17" t="str">
            <v>jack witte</v>
          </cell>
          <cell r="G17" t="str">
            <v>1803 Chase Street</v>
          </cell>
          <cell r="H17" t="str">
            <v>TX</v>
          </cell>
          <cell r="I17">
            <v>77026</v>
          </cell>
          <cell r="J17" t="str">
            <v>jackwitte@protonmail.com</v>
          </cell>
          <cell r="K17">
            <v>7135487587</v>
          </cell>
          <cell r="M17">
            <v>500</v>
          </cell>
          <cell r="N17">
            <v>500</v>
          </cell>
        </row>
        <row r="18">
          <cell r="A18" t="str">
            <v>10m</v>
          </cell>
          <cell r="B18" t="str">
            <v>GE 30 in. Electric Wall Oven w Microwave - W3</v>
          </cell>
          <cell r="C18" t="str">
            <v>Bidding Closed</v>
          </cell>
          <cell r="E18">
            <v>5092</v>
          </cell>
          <cell r="F18" t="str">
            <v>stephen sykes</v>
          </cell>
          <cell r="G18" t="str">
            <v>3547 old massey ranch rd</v>
          </cell>
          <cell r="H18" t="str">
            <v>TX</v>
          </cell>
          <cell r="I18">
            <v>77578</v>
          </cell>
          <cell r="J18" t="str">
            <v>protechplumbing@live.com</v>
          </cell>
          <cell r="K18" t="str">
            <v>281-932-9049</v>
          </cell>
          <cell r="M18">
            <v>65500</v>
          </cell>
          <cell r="N18">
            <v>65500</v>
          </cell>
        </row>
        <row r="19">
          <cell r="A19">
            <v>11</v>
          </cell>
          <cell r="B19" t="str">
            <v>GHV Cordless Zebra Blinds   Flaxen (30x64)</v>
          </cell>
          <cell r="C19" t="str">
            <v>Bidding Closed Time Extended</v>
          </cell>
          <cell r="E19">
            <v>5200</v>
          </cell>
          <cell r="F19" t="str">
            <v>Bernard Millette</v>
          </cell>
          <cell r="G19" t="str">
            <v>111A Karla Drive</v>
          </cell>
          <cell r="H19" t="str">
            <v>TX</v>
          </cell>
          <cell r="I19">
            <v>75791</v>
          </cell>
          <cell r="J19" t="str">
            <v>bernard@hallbuickgmc.com</v>
          </cell>
          <cell r="K19" t="str">
            <v>903-920-7501</v>
          </cell>
          <cell r="L19" t="str">
            <v>903-266-7837</v>
          </cell>
          <cell r="M19">
            <v>575</v>
          </cell>
          <cell r="N19">
            <v>575</v>
          </cell>
        </row>
        <row r="20">
          <cell r="A20" t="str">
            <v>11m</v>
          </cell>
          <cell r="B20" t="str">
            <v>30 in. Smart Double Wall Oven Convection</v>
          </cell>
          <cell r="C20" t="str">
            <v>Bidding Closed</v>
          </cell>
          <cell r="E20">
            <v>5092</v>
          </cell>
          <cell r="F20" t="str">
            <v>stephen sykes</v>
          </cell>
          <cell r="G20" t="str">
            <v>3547 old massey ranch rd</v>
          </cell>
          <cell r="H20" t="str">
            <v>TX</v>
          </cell>
          <cell r="I20">
            <v>77578</v>
          </cell>
          <cell r="J20" t="str">
            <v>protechplumbing@live.com</v>
          </cell>
          <cell r="K20" t="str">
            <v>281-932-9049</v>
          </cell>
          <cell r="M20">
            <v>37500</v>
          </cell>
          <cell r="N20">
            <v>37500</v>
          </cell>
        </row>
        <row r="21">
          <cell r="A21">
            <v>12</v>
          </cell>
          <cell r="B21" t="str">
            <v>Philadelphia Eagles Tiki Totem Garden Statue</v>
          </cell>
          <cell r="C21" t="str">
            <v>Bidding Closed</v>
          </cell>
          <cell r="F21" t="str">
            <v>Floor</v>
          </cell>
          <cell r="M21">
            <v>0</v>
          </cell>
          <cell r="N21">
            <v>0</v>
          </cell>
        </row>
        <row r="22">
          <cell r="A22" t="str">
            <v>12m</v>
          </cell>
          <cell r="B22" t="str">
            <v>LG 6.4 cu. ft. Smart Wall Oven</v>
          </cell>
          <cell r="C22" t="str">
            <v>Bidding Closed</v>
          </cell>
          <cell r="E22">
            <v>5156</v>
          </cell>
          <cell r="F22" t="str">
            <v>Elicia Mackey</v>
          </cell>
          <cell r="G22" t="str">
            <v>5411 White Pine Ln</v>
          </cell>
          <cell r="H22" t="str">
            <v>TX</v>
          </cell>
          <cell r="I22">
            <v>77016</v>
          </cell>
          <cell r="J22" t="str">
            <v>mrsemackey@gmail.com</v>
          </cell>
          <cell r="K22" t="str">
            <v>281-620-5301</v>
          </cell>
          <cell r="M22">
            <v>33000</v>
          </cell>
          <cell r="N22">
            <v>33000</v>
          </cell>
        </row>
        <row r="23">
          <cell r="A23">
            <v>13</v>
          </cell>
          <cell r="B23" t="str">
            <v>38.5"x 18" Cabinet Shelf - Suncast</v>
          </cell>
          <cell r="C23" t="str">
            <v>Bidding Closed</v>
          </cell>
          <cell r="E23">
            <v>5046</v>
          </cell>
          <cell r="F23" t="str">
            <v>Maria Chong</v>
          </cell>
          <cell r="G23" t="str">
            <v>5918 San Felipe St Apt 8</v>
          </cell>
          <cell r="H23" t="str">
            <v>TX</v>
          </cell>
          <cell r="I23">
            <v>77057</v>
          </cell>
          <cell r="J23" t="str">
            <v>needatafi@gmail.com</v>
          </cell>
          <cell r="K23">
            <v>8328585866</v>
          </cell>
          <cell r="M23">
            <v>500</v>
          </cell>
          <cell r="N23">
            <v>500</v>
          </cell>
        </row>
        <row r="24">
          <cell r="A24" t="str">
            <v>13m</v>
          </cell>
          <cell r="B24" t="str">
            <v>LG 9.4 cu. ft. Double Wall Oven</v>
          </cell>
          <cell r="C24" t="str">
            <v>Bidding Closed</v>
          </cell>
          <cell r="E24">
            <v>5071</v>
          </cell>
          <cell r="F24" t="str">
            <v>Yesset Karayev</v>
          </cell>
          <cell r="G24" t="str">
            <v>11412s autumn hill drive</v>
          </cell>
          <cell r="H24" t="str">
            <v>UT</v>
          </cell>
          <cell r="I24">
            <v>84094</v>
          </cell>
          <cell r="J24" t="str">
            <v>contest.kz@gmail.com</v>
          </cell>
          <cell r="K24">
            <v>8018360895</v>
          </cell>
          <cell r="M24">
            <v>16500</v>
          </cell>
          <cell r="N24">
            <v>23000</v>
          </cell>
        </row>
        <row r="25">
          <cell r="A25">
            <v>14</v>
          </cell>
          <cell r="B25" t="str">
            <v>Truform Stockings Donner for Compression Socks</v>
          </cell>
          <cell r="C25" t="str">
            <v>Bidding Closed</v>
          </cell>
          <cell r="F25" t="str">
            <v>Floor</v>
          </cell>
          <cell r="M25">
            <v>0</v>
          </cell>
          <cell r="N25">
            <v>0</v>
          </cell>
        </row>
        <row r="26">
          <cell r="A26" t="str">
            <v>14m</v>
          </cell>
          <cell r="B26" t="str">
            <v>GE 27 in. Smart Wall Oven Self-Cleaning</v>
          </cell>
          <cell r="C26" t="str">
            <v>Bidding Closed</v>
          </cell>
          <cell r="E26">
            <v>5092</v>
          </cell>
          <cell r="F26" t="str">
            <v>stephen sykes</v>
          </cell>
          <cell r="G26" t="str">
            <v>3547 old massey ranch rd</v>
          </cell>
          <cell r="H26" t="str">
            <v>TX</v>
          </cell>
          <cell r="I26">
            <v>77578</v>
          </cell>
          <cell r="J26" t="str">
            <v>protechplumbing@live.com</v>
          </cell>
          <cell r="K26" t="str">
            <v>281-932-9049</v>
          </cell>
          <cell r="M26">
            <v>16000</v>
          </cell>
          <cell r="N26">
            <v>16000</v>
          </cell>
        </row>
        <row r="27">
          <cell r="A27">
            <v>15</v>
          </cell>
          <cell r="B27" t="str">
            <v>Drive Medical Raised Toilet Seat with Arms</v>
          </cell>
          <cell r="C27" t="str">
            <v>Bidding Closed</v>
          </cell>
          <cell r="F27" t="str">
            <v>Floor</v>
          </cell>
          <cell r="M27">
            <v>0</v>
          </cell>
          <cell r="N27">
            <v>0</v>
          </cell>
        </row>
        <row r="28">
          <cell r="A28" t="str">
            <v>15m</v>
          </cell>
          <cell r="B28" t="str">
            <v>Kitchenaid 30 in. 5-Element Slide-In Range</v>
          </cell>
          <cell r="C28" t="str">
            <v>Bidding Closed</v>
          </cell>
          <cell r="E28">
            <v>5092</v>
          </cell>
          <cell r="F28" t="str">
            <v>stephen sykes</v>
          </cell>
          <cell r="G28" t="str">
            <v>3547 old massey ranch rd</v>
          </cell>
          <cell r="H28" t="str">
            <v>TX</v>
          </cell>
          <cell r="I28">
            <v>77578</v>
          </cell>
          <cell r="J28" t="str">
            <v>protechplumbing@live.com</v>
          </cell>
          <cell r="K28" t="str">
            <v>281-932-9049</v>
          </cell>
          <cell r="M28">
            <v>32000</v>
          </cell>
          <cell r="N28">
            <v>32000</v>
          </cell>
        </row>
        <row r="29">
          <cell r="A29">
            <v>16</v>
          </cell>
          <cell r="B29" t="str">
            <v>Independence 36 in. Brushed Nickel Downrod</v>
          </cell>
          <cell r="C29" t="str">
            <v>Bidding Closed</v>
          </cell>
          <cell r="F29" t="str">
            <v>Floor</v>
          </cell>
          <cell r="M29">
            <v>0</v>
          </cell>
          <cell r="N29">
            <v>0</v>
          </cell>
        </row>
        <row r="30">
          <cell r="A30" t="str">
            <v>16m</v>
          </cell>
          <cell r="B30" t="str">
            <v>GE Profile 30 in. Smart Wall Oven w/ Convection</v>
          </cell>
          <cell r="C30" t="str">
            <v>Bidding Closed</v>
          </cell>
          <cell r="E30">
            <v>5092</v>
          </cell>
          <cell r="F30" t="str">
            <v>stephen sykes</v>
          </cell>
          <cell r="G30" t="str">
            <v>3547 old massey ranch rd</v>
          </cell>
          <cell r="H30" t="str">
            <v>TX</v>
          </cell>
          <cell r="I30">
            <v>77578</v>
          </cell>
          <cell r="J30" t="str">
            <v>protechplumbing@live.com</v>
          </cell>
          <cell r="K30" t="str">
            <v>281-932-9049</v>
          </cell>
          <cell r="M30">
            <v>39000</v>
          </cell>
          <cell r="N30">
            <v>39000</v>
          </cell>
        </row>
        <row r="31">
          <cell r="A31">
            <v>17</v>
          </cell>
          <cell r="B31" t="str">
            <v>Drive Medical Raised Toilet Seat with Arms</v>
          </cell>
          <cell r="C31" t="str">
            <v>Bidding Closed</v>
          </cell>
          <cell r="F31" t="str">
            <v>Floor</v>
          </cell>
          <cell r="M31">
            <v>0</v>
          </cell>
          <cell r="N31">
            <v>0</v>
          </cell>
        </row>
        <row r="32">
          <cell r="A32" t="str">
            <v>17m</v>
          </cell>
          <cell r="B32" t="str">
            <v>BOSCH 100 Series 30" Slide-In Electric Range</v>
          </cell>
          <cell r="C32" t="str">
            <v>Bidding Closed</v>
          </cell>
          <cell r="E32">
            <v>5159</v>
          </cell>
          <cell r="F32" t="str">
            <v>jack witte</v>
          </cell>
          <cell r="G32" t="str">
            <v>1803 Chase Street</v>
          </cell>
          <cell r="H32" t="str">
            <v>TX</v>
          </cell>
          <cell r="I32">
            <v>77026</v>
          </cell>
          <cell r="J32" t="str">
            <v>jackwitte@protonmail.com</v>
          </cell>
          <cell r="K32">
            <v>7135487587</v>
          </cell>
          <cell r="M32">
            <v>16000</v>
          </cell>
          <cell r="N32">
            <v>16000</v>
          </cell>
        </row>
        <row r="33">
          <cell r="A33">
            <v>18</v>
          </cell>
          <cell r="B33" t="str">
            <v>Vinyl Moti 2702 Wall Sticker: Fire Rescue 14x28</v>
          </cell>
          <cell r="C33" t="str">
            <v>Bidding Closed</v>
          </cell>
          <cell r="F33" t="str">
            <v>Floor</v>
          </cell>
          <cell r="M33">
            <v>0</v>
          </cell>
          <cell r="N33">
            <v>0</v>
          </cell>
        </row>
        <row r="34">
          <cell r="A34" t="str">
            <v>18m</v>
          </cell>
          <cell r="B34" t="str">
            <v>GE Profile 30" Smart Wall Oven with Convection</v>
          </cell>
          <cell r="C34" t="str">
            <v>Bidding Closed</v>
          </cell>
          <cell r="E34">
            <v>5050</v>
          </cell>
          <cell r="F34" t="str">
            <v>Almata Atastana</v>
          </cell>
          <cell r="G34" t="str">
            <v>12603 Executive Drive</v>
          </cell>
          <cell r="H34" t="str">
            <v>TX</v>
          </cell>
          <cell r="I34">
            <v>77477</v>
          </cell>
          <cell r="J34" t="str">
            <v>atxsugarland@gmail.com</v>
          </cell>
          <cell r="M34">
            <v>22500</v>
          </cell>
          <cell r="N34">
            <v>24000</v>
          </cell>
        </row>
        <row r="35">
          <cell r="A35">
            <v>19</v>
          </cell>
          <cell r="B35" t="str">
            <v>Toilet Tank Cover in White</v>
          </cell>
          <cell r="C35" t="str">
            <v>Bidding Closed</v>
          </cell>
          <cell r="F35" t="str">
            <v>Floor</v>
          </cell>
          <cell r="M35">
            <v>0</v>
          </cell>
          <cell r="N35">
            <v>0</v>
          </cell>
        </row>
        <row r="36">
          <cell r="A36" t="str">
            <v>19m</v>
          </cell>
          <cell r="B36" t="str">
            <v>LG 24-in. Electric Wall Oven w/ Air Fry Black</v>
          </cell>
          <cell r="C36" t="str">
            <v>Bidding Closed Time Extended</v>
          </cell>
          <cell r="E36">
            <v>5177</v>
          </cell>
          <cell r="F36" t="str">
            <v>Erin Hearon</v>
          </cell>
          <cell r="G36" t="str">
            <v>10211 West Hidden Lake Lane</v>
          </cell>
          <cell r="H36" t="str">
            <v>TX</v>
          </cell>
          <cell r="I36">
            <v>77406</v>
          </cell>
          <cell r="J36" t="str">
            <v>5wjmpv5ntx@privaterelay.appleid.com</v>
          </cell>
          <cell r="K36">
            <v>7138985234</v>
          </cell>
          <cell r="M36">
            <v>35500</v>
          </cell>
          <cell r="N36">
            <v>35500</v>
          </cell>
        </row>
        <row r="37">
          <cell r="A37">
            <v>20</v>
          </cell>
          <cell r="B37" t="str">
            <v>Creative Co-Op Woven Cotton Slub Pillow Grey</v>
          </cell>
          <cell r="C37" t="str">
            <v>Bidding Closed</v>
          </cell>
          <cell r="F37" t="str">
            <v>Floor</v>
          </cell>
          <cell r="M37">
            <v>0</v>
          </cell>
          <cell r="N37">
            <v>0</v>
          </cell>
        </row>
        <row r="38">
          <cell r="A38" t="str">
            <v>20m</v>
          </cell>
          <cell r="B38" t="str">
            <v>27 in. Double Wall Oven w/Microwave SS</v>
          </cell>
          <cell r="C38" t="str">
            <v>Bidding Closed Time Extended</v>
          </cell>
          <cell r="E38">
            <v>5036</v>
          </cell>
          <cell r="F38" t="str">
            <v>Jeff Ong</v>
          </cell>
          <cell r="G38" t="str">
            <v>3027 Green Fields Dr.</v>
          </cell>
          <cell r="H38" t="str">
            <v>TX</v>
          </cell>
          <cell r="I38">
            <v>77479</v>
          </cell>
          <cell r="J38" t="str">
            <v>jeffrey.ong85@gmail.com</v>
          </cell>
          <cell r="K38">
            <v>8322121448</v>
          </cell>
          <cell r="M38">
            <v>30200</v>
          </cell>
          <cell r="N38">
            <v>30200</v>
          </cell>
        </row>
        <row r="39">
          <cell r="A39">
            <v>21</v>
          </cell>
          <cell r="B39" t="str">
            <v>225A Generator Transfer Switch 3P General-Duty Do</v>
          </cell>
          <cell r="C39" t="str">
            <v>Bidding Closed</v>
          </cell>
          <cell r="E39">
            <v>5102</v>
          </cell>
          <cell r="F39" t="str">
            <v>Janet Merryman</v>
          </cell>
          <cell r="G39" t="str">
            <v>4305 C.R. 138e</v>
          </cell>
          <cell r="H39" t="str">
            <v>TX</v>
          </cell>
          <cell r="I39">
            <v>77511</v>
          </cell>
          <cell r="J39" t="str">
            <v>Phatlady1026@yahoo.com</v>
          </cell>
          <cell r="K39">
            <v>8326401026</v>
          </cell>
          <cell r="M39">
            <v>8500</v>
          </cell>
          <cell r="N39">
            <v>8500</v>
          </cell>
        </row>
        <row r="40">
          <cell r="A40" t="str">
            <v>21m</v>
          </cell>
          <cell r="B40" t="str">
            <v>LG 30 in. Induction Range w/ ProBake Air Fry</v>
          </cell>
          <cell r="C40" t="str">
            <v>Bidding Closed</v>
          </cell>
          <cell r="E40">
            <v>5092</v>
          </cell>
          <cell r="F40" t="str">
            <v>stephen sykes</v>
          </cell>
          <cell r="G40" t="str">
            <v>3547 old massey ranch rd</v>
          </cell>
          <cell r="H40" t="str">
            <v>TX</v>
          </cell>
          <cell r="I40">
            <v>77578</v>
          </cell>
          <cell r="J40" t="str">
            <v>protechplumbing@live.com</v>
          </cell>
          <cell r="K40" t="str">
            <v>281-932-9049</v>
          </cell>
          <cell r="M40">
            <v>16500</v>
          </cell>
          <cell r="N40">
            <v>16500</v>
          </cell>
        </row>
        <row r="41">
          <cell r="A41">
            <v>22</v>
          </cell>
          <cell r="B41" t="str">
            <v>SUNVIE 5W Anti-Glare LED Path Lights (12)</v>
          </cell>
          <cell r="C41" t="str">
            <v>Bidding Closed</v>
          </cell>
          <cell r="E41">
            <v>5159</v>
          </cell>
          <cell r="F41" t="str">
            <v>jack witte</v>
          </cell>
          <cell r="G41" t="str">
            <v>1803 Chase Street</v>
          </cell>
          <cell r="H41" t="str">
            <v>TX</v>
          </cell>
          <cell r="I41">
            <v>77026</v>
          </cell>
          <cell r="J41" t="str">
            <v>jackwitte@protonmail.com</v>
          </cell>
          <cell r="K41">
            <v>7135487587</v>
          </cell>
          <cell r="M41">
            <v>4700</v>
          </cell>
          <cell r="N41">
            <v>4700</v>
          </cell>
        </row>
        <row r="42">
          <cell r="A42" t="str">
            <v>22m</v>
          </cell>
          <cell r="B42" t="str">
            <v>GE 30 in. Electric Range Self-Clean Oven SS</v>
          </cell>
          <cell r="C42" t="str">
            <v>Bidding Closed</v>
          </cell>
          <cell r="E42">
            <v>5061</v>
          </cell>
          <cell r="F42" t="str">
            <v>Luis Flores</v>
          </cell>
          <cell r="G42" t="str">
            <v>21407 Deerhaven dr</v>
          </cell>
          <cell r="H42" t="str">
            <v>TX</v>
          </cell>
          <cell r="I42">
            <v>77388</v>
          </cell>
          <cell r="J42" t="str">
            <v>luisflores0404@gmail.com</v>
          </cell>
          <cell r="K42">
            <v>8329074600</v>
          </cell>
          <cell r="M42">
            <v>9500</v>
          </cell>
          <cell r="N42">
            <v>10000</v>
          </cell>
        </row>
        <row r="43">
          <cell r="A43">
            <v>23</v>
          </cell>
          <cell r="B43" t="str">
            <v>Harley Touring Saddlebag Guards Kit</v>
          </cell>
          <cell r="C43" t="str">
            <v>Bidding Closed</v>
          </cell>
          <cell r="E43">
            <v>5050</v>
          </cell>
          <cell r="F43" t="str">
            <v>Almata Atastana</v>
          </cell>
          <cell r="G43" t="str">
            <v>12603 Executive Drive</v>
          </cell>
          <cell r="H43" t="str">
            <v>TX</v>
          </cell>
          <cell r="I43">
            <v>77477</v>
          </cell>
          <cell r="J43" t="str">
            <v>atxsugarland@gmail.com</v>
          </cell>
          <cell r="M43">
            <v>1700</v>
          </cell>
          <cell r="N43">
            <v>3000</v>
          </cell>
        </row>
        <row r="44">
          <cell r="A44" t="str">
            <v>23m</v>
          </cell>
          <cell r="B44" t="str">
            <v>LG 30 in. 5-Element Slide-In Range in Black SS</v>
          </cell>
          <cell r="C44" t="str">
            <v>Bidding Closed</v>
          </cell>
          <cell r="E44">
            <v>5202</v>
          </cell>
          <cell r="F44" t="str">
            <v>Patricio Marquez</v>
          </cell>
          <cell r="G44" t="str">
            <v>7319 universal dr</v>
          </cell>
          <cell r="H44" t="str">
            <v>TX</v>
          </cell>
          <cell r="I44">
            <v>77072</v>
          </cell>
          <cell r="J44" t="str">
            <v>Pato13112008@yahoo.com</v>
          </cell>
          <cell r="K44">
            <v>8323688887</v>
          </cell>
          <cell r="M44">
            <v>14600</v>
          </cell>
          <cell r="N44">
            <v>15000</v>
          </cell>
        </row>
        <row r="45">
          <cell r="A45">
            <v>24</v>
          </cell>
          <cell r="B45" t="str">
            <v>VIGO Cass Brushed Nickel Sink Faucet</v>
          </cell>
          <cell r="C45" t="str">
            <v>Bidding Closed</v>
          </cell>
          <cell r="F45" t="str">
            <v>Floor</v>
          </cell>
          <cell r="M45">
            <v>0</v>
          </cell>
          <cell r="N45">
            <v>0</v>
          </cell>
        </row>
        <row r="46">
          <cell r="A46" t="str">
            <v>24m</v>
          </cell>
          <cell r="B46" t="str">
            <v>Thermador T36IR905S 36" Fridge WIFI</v>
          </cell>
          <cell r="C46" t="str">
            <v>Bidding Closed Time Extended</v>
          </cell>
          <cell r="E46">
            <v>5057</v>
          </cell>
          <cell r="F46" t="str">
            <v>Nikos Anagnostopoulos</v>
          </cell>
          <cell r="G46" t="str">
            <v>1011 Worthshire st</v>
          </cell>
          <cell r="H46" t="str">
            <v>TX</v>
          </cell>
          <cell r="I46">
            <v>77008</v>
          </cell>
          <cell r="J46" t="str">
            <v>n.anagno@gmail.com</v>
          </cell>
          <cell r="K46">
            <v>9194551411</v>
          </cell>
          <cell r="M46">
            <v>149750</v>
          </cell>
          <cell r="N46">
            <v>150000</v>
          </cell>
        </row>
        <row r="47">
          <cell r="A47">
            <v>25</v>
          </cell>
          <cell r="B47" t="str">
            <v>Indoor Soccer Game Set Kick and Stick 2ft</v>
          </cell>
          <cell r="C47" t="str">
            <v>Bidding Closed</v>
          </cell>
          <cell r="E47">
            <v>5027</v>
          </cell>
          <cell r="F47" t="str">
            <v>Kuralay Kateryne</v>
          </cell>
          <cell r="G47" t="str">
            <v>Kempner Street</v>
          </cell>
          <cell r="H47" t="str">
            <v>TX</v>
          </cell>
          <cell r="I47">
            <v>77477</v>
          </cell>
          <cell r="J47" t="str">
            <v>kydyrbekmir@gmail.com</v>
          </cell>
          <cell r="K47">
            <v>7759994244</v>
          </cell>
          <cell r="M47">
            <v>525</v>
          </cell>
          <cell r="N47">
            <v>525</v>
          </cell>
        </row>
        <row r="48">
          <cell r="A48" t="str">
            <v>25m</v>
          </cell>
          <cell r="B48" t="str">
            <v>Samsung French Door Refrigerator with Ice Maker</v>
          </cell>
          <cell r="C48" t="str">
            <v>Bidding Closed</v>
          </cell>
          <cell r="E48">
            <v>5074</v>
          </cell>
          <cell r="F48" t="str">
            <v>Sanzhar Houston</v>
          </cell>
          <cell r="G48" t="str">
            <v>12633 Texas 249</v>
          </cell>
          <cell r="H48" t="str">
            <v>TX</v>
          </cell>
          <cell r="I48">
            <v>77377</v>
          </cell>
          <cell r="J48" t="str">
            <v>jakeoktagon@gmail.com</v>
          </cell>
          <cell r="K48">
            <v>7029605668</v>
          </cell>
          <cell r="M48">
            <v>13000</v>
          </cell>
          <cell r="N48">
            <v>14000</v>
          </cell>
        </row>
        <row r="49">
          <cell r="A49">
            <v>26</v>
          </cell>
          <cell r="B49" t="str">
            <v>TapeManBlue Carpet Protection Film 48"x200'</v>
          </cell>
          <cell r="C49" t="str">
            <v>Bidding Closed</v>
          </cell>
          <cell r="E49">
            <v>5042</v>
          </cell>
          <cell r="F49" t="str">
            <v>Alan Stubbs</v>
          </cell>
          <cell r="G49" t="str">
            <v>3 Regent Court</v>
          </cell>
          <cell r="H49" t="str">
            <v>TX</v>
          </cell>
          <cell r="I49">
            <v>77478</v>
          </cell>
          <cell r="J49" t="str">
            <v>alanstubbs@comcast.net</v>
          </cell>
          <cell r="K49" t="str">
            <v>713-816-6418</v>
          </cell>
          <cell r="M49">
            <v>2100</v>
          </cell>
          <cell r="N49">
            <v>2100</v>
          </cell>
        </row>
        <row r="50">
          <cell r="A50" t="str">
            <v>26m</v>
          </cell>
          <cell r="B50" t="str">
            <v>GE 22.1 cu. ft. French Door Refrigerator Slate -</v>
          </cell>
          <cell r="C50" t="str">
            <v>Bidding Closed</v>
          </cell>
          <cell r="E50">
            <v>5071</v>
          </cell>
          <cell r="F50" t="str">
            <v>Yesset Karayev</v>
          </cell>
          <cell r="G50" t="str">
            <v>11412s autumn hill drive</v>
          </cell>
          <cell r="H50" t="str">
            <v>UT</v>
          </cell>
          <cell r="I50">
            <v>84094</v>
          </cell>
          <cell r="J50" t="str">
            <v>contest.kz@gmail.com</v>
          </cell>
          <cell r="K50">
            <v>8018360895</v>
          </cell>
          <cell r="M50">
            <v>21500</v>
          </cell>
          <cell r="N50">
            <v>22000</v>
          </cell>
        </row>
        <row r="51">
          <cell r="A51">
            <v>27</v>
          </cell>
          <cell r="B51" t="str">
            <v>upsimples 22x30 Picture Frame with Mat Black</v>
          </cell>
          <cell r="C51" t="str">
            <v>Bidding Closed</v>
          </cell>
          <cell r="F51" t="str">
            <v>Floor</v>
          </cell>
          <cell r="M51">
            <v>0</v>
          </cell>
          <cell r="N51">
            <v>0</v>
          </cell>
        </row>
        <row r="52">
          <cell r="A52" t="str">
            <v>27m</v>
          </cell>
          <cell r="B52" t="str">
            <v>KitchenAid 15" Built-In Ice Maker</v>
          </cell>
          <cell r="C52" t="str">
            <v>Bidding Closed Time Extended</v>
          </cell>
          <cell r="E52">
            <v>5027</v>
          </cell>
          <cell r="F52" t="str">
            <v>Kuralay Kateryne</v>
          </cell>
          <cell r="G52" t="str">
            <v>Kempner Street</v>
          </cell>
          <cell r="H52" t="str">
            <v>TX</v>
          </cell>
          <cell r="I52">
            <v>77477</v>
          </cell>
          <cell r="J52" t="str">
            <v>kydyrbekmir@gmail.com</v>
          </cell>
          <cell r="K52">
            <v>7759994244</v>
          </cell>
          <cell r="M52">
            <v>30500</v>
          </cell>
          <cell r="N52">
            <v>31500</v>
          </cell>
        </row>
        <row r="53">
          <cell r="A53">
            <v>28</v>
          </cell>
          <cell r="B53" t="str">
            <v>FICBXRA Roof Extractor Fan 171 CFM Exhaust Fan</v>
          </cell>
          <cell r="C53" t="str">
            <v>Bidding Closed Time Extended</v>
          </cell>
          <cell r="E53">
            <v>5192</v>
          </cell>
          <cell r="F53" t="str">
            <v>Jesus Salinas</v>
          </cell>
          <cell r="G53" t="str">
            <v>10107 Sagecourt</v>
          </cell>
          <cell r="H53" t="str">
            <v>TX</v>
          </cell>
          <cell r="I53">
            <v>77089</v>
          </cell>
          <cell r="J53" t="str">
            <v>jisalinas87@hotmail.com</v>
          </cell>
          <cell r="K53">
            <v>9568002208</v>
          </cell>
          <cell r="M53">
            <v>2200</v>
          </cell>
          <cell r="N53">
            <v>2200</v>
          </cell>
        </row>
        <row r="54">
          <cell r="A54" t="str">
            <v>28m</v>
          </cell>
          <cell r="B54" t="str">
            <v>Insignia 4.4 Cu. Ft. Mini Fridge Black</v>
          </cell>
          <cell r="C54" t="str">
            <v>Bidding Closed Time Extended</v>
          </cell>
          <cell r="E54">
            <v>5156</v>
          </cell>
          <cell r="F54" t="str">
            <v>Elicia Mackey</v>
          </cell>
          <cell r="G54" t="str">
            <v>5411 White Pine Ln</v>
          </cell>
          <cell r="H54" t="str">
            <v>TX</v>
          </cell>
          <cell r="I54">
            <v>77016</v>
          </cell>
          <cell r="J54" t="str">
            <v>mrsemackey@gmail.com</v>
          </cell>
          <cell r="K54" t="str">
            <v>281-620-5301</v>
          </cell>
          <cell r="M54">
            <v>7500</v>
          </cell>
          <cell r="N54">
            <v>7500</v>
          </cell>
        </row>
        <row r="55">
          <cell r="A55">
            <v>29</v>
          </cell>
          <cell r="B55" t="str">
            <v>Crystal Coupe Glasses 6 7oz Short Stem</v>
          </cell>
          <cell r="C55" t="str">
            <v>Bidding Closed</v>
          </cell>
          <cell r="F55" t="str">
            <v>Floor</v>
          </cell>
          <cell r="M55">
            <v>0</v>
          </cell>
          <cell r="N55">
            <v>0</v>
          </cell>
        </row>
        <row r="56">
          <cell r="A56" t="str">
            <v>29m</v>
          </cell>
          <cell r="B56" t="str">
            <v>SUNPAN CELINE DRESSER</v>
          </cell>
          <cell r="C56" t="str">
            <v>Bidding Closed Time Extended</v>
          </cell>
          <cell r="E56">
            <v>5207</v>
          </cell>
          <cell r="F56" t="str">
            <v>Mayowa Solademi</v>
          </cell>
          <cell r="G56" t="str">
            <v>2702 golden hills court</v>
          </cell>
          <cell r="H56" t="str">
            <v>TX</v>
          </cell>
          <cell r="I56">
            <v>77545</v>
          </cell>
          <cell r="J56" t="str">
            <v>Solademimayowa@yahoo.ie</v>
          </cell>
          <cell r="K56">
            <v>3462198760</v>
          </cell>
          <cell r="M56">
            <v>14000</v>
          </cell>
          <cell r="N56">
            <v>14000</v>
          </cell>
        </row>
        <row r="57">
          <cell r="A57">
            <v>30</v>
          </cell>
          <cell r="B57" t="str">
            <v>FunStick Retro Peel &amp; Stick Walnut Tile 5 Pcs</v>
          </cell>
          <cell r="C57" t="str">
            <v>Bidding Closed</v>
          </cell>
          <cell r="F57" t="str">
            <v>Floor</v>
          </cell>
          <cell r="M57">
            <v>0</v>
          </cell>
          <cell r="N57">
            <v>0</v>
          </cell>
        </row>
        <row r="58">
          <cell r="A58" t="str">
            <v>30m</v>
          </cell>
          <cell r="B58" t="str">
            <v>SUNPAN CELINE DRESSER</v>
          </cell>
          <cell r="C58" t="str">
            <v>Bidding Closed</v>
          </cell>
          <cell r="E58">
            <v>5204</v>
          </cell>
          <cell r="F58" t="str">
            <v>Manahil Tariq</v>
          </cell>
          <cell r="G58" t="str">
            <v>18214 Linden Forest Lane</v>
          </cell>
          <cell r="H58" t="str">
            <v>TX</v>
          </cell>
          <cell r="I58">
            <v>77449</v>
          </cell>
          <cell r="J58" t="str">
            <v>manahilt@gmail.com</v>
          </cell>
          <cell r="K58">
            <v>7133409326</v>
          </cell>
          <cell r="M58">
            <v>15500</v>
          </cell>
          <cell r="N58">
            <v>15500</v>
          </cell>
        </row>
        <row r="59">
          <cell r="A59">
            <v>31</v>
          </cell>
          <cell r="B59" t="str">
            <v>Nickel 1-Inch Curtain Rods 28 48"</v>
          </cell>
          <cell r="C59" t="str">
            <v>Bidding Closed</v>
          </cell>
          <cell r="F59" t="str">
            <v>Floor</v>
          </cell>
          <cell r="M59">
            <v>0</v>
          </cell>
          <cell r="N59">
            <v>0</v>
          </cell>
        </row>
        <row r="60">
          <cell r="A60" t="str">
            <v>31m</v>
          </cell>
          <cell r="B60" t="str">
            <v>Bertazzoni 36" Induction Cooktop - (W3)</v>
          </cell>
          <cell r="C60" t="str">
            <v>Bidding Closed</v>
          </cell>
          <cell r="E60">
            <v>5074</v>
          </cell>
          <cell r="F60" t="str">
            <v>Sanzhar Houston</v>
          </cell>
          <cell r="G60" t="str">
            <v>12633 Texas 249</v>
          </cell>
          <cell r="H60" t="str">
            <v>TX</v>
          </cell>
          <cell r="I60">
            <v>77377</v>
          </cell>
          <cell r="J60" t="str">
            <v>jakeoktagon@gmail.com</v>
          </cell>
          <cell r="K60">
            <v>7029605668</v>
          </cell>
          <cell r="M60">
            <v>18000</v>
          </cell>
          <cell r="N60">
            <v>18000</v>
          </cell>
        </row>
        <row r="61">
          <cell r="A61">
            <v>32</v>
          </cell>
          <cell r="B61" t="str">
            <v>Decopolitan 28-48-in Dark Bronze Curtain Rod</v>
          </cell>
          <cell r="C61" t="str">
            <v>Bidding Closed</v>
          </cell>
          <cell r="F61" t="str">
            <v>Floor</v>
          </cell>
          <cell r="M61">
            <v>0</v>
          </cell>
          <cell r="N61">
            <v>0</v>
          </cell>
        </row>
        <row r="62">
          <cell r="A62" t="str">
            <v>32m</v>
          </cell>
          <cell r="B62" t="str">
            <v>30 in. Electric Wall Oven with Convection-(W3)</v>
          </cell>
          <cell r="C62" t="str">
            <v>Bidding Closed</v>
          </cell>
          <cell r="E62">
            <v>5050</v>
          </cell>
          <cell r="F62" t="str">
            <v>Almata Atastana</v>
          </cell>
          <cell r="G62" t="str">
            <v>12603 Executive Drive</v>
          </cell>
          <cell r="H62" t="str">
            <v>TX</v>
          </cell>
          <cell r="I62">
            <v>77477</v>
          </cell>
          <cell r="J62" t="str">
            <v>atxsugarland@gmail.com</v>
          </cell>
          <cell r="M62">
            <v>5250</v>
          </cell>
          <cell r="N62">
            <v>23000</v>
          </cell>
        </row>
        <row r="63">
          <cell r="A63">
            <v>33</v>
          </cell>
          <cell r="B63" t="str">
            <v>Endotracheal Tube Holder 304 Rack (22.44")</v>
          </cell>
          <cell r="C63" t="str">
            <v>Bidding Closed</v>
          </cell>
          <cell r="F63" t="str">
            <v>Floor</v>
          </cell>
          <cell r="M63">
            <v>0</v>
          </cell>
          <cell r="N63">
            <v>0</v>
          </cell>
        </row>
        <row r="64">
          <cell r="A64" t="str">
            <v>33m</v>
          </cell>
          <cell r="B64" t="str">
            <v>27 in. Double Wall Oven w/Microwave SS-(w2)</v>
          </cell>
          <cell r="C64" t="str">
            <v>Bidding Closed</v>
          </cell>
          <cell r="E64">
            <v>5050</v>
          </cell>
          <cell r="F64" t="str">
            <v>Almata Atastana</v>
          </cell>
          <cell r="G64" t="str">
            <v>12603 Executive Drive</v>
          </cell>
          <cell r="H64" t="str">
            <v>TX</v>
          </cell>
          <cell r="I64">
            <v>77477</v>
          </cell>
          <cell r="J64" t="str">
            <v>atxsugarland@gmail.com</v>
          </cell>
          <cell r="M64">
            <v>6250</v>
          </cell>
          <cell r="N64">
            <v>28000</v>
          </cell>
        </row>
        <row r="65">
          <cell r="A65">
            <v>34</v>
          </cell>
          <cell r="B65" t="str">
            <v>Bed Rails for Elderly Safety Rail</v>
          </cell>
          <cell r="C65" t="str">
            <v>Bidding Closed</v>
          </cell>
          <cell r="F65" t="str">
            <v>Floor</v>
          </cell>
          <cell r="M65">
            <v>0</v>
          </cell>
          <cell r="N65">
            <v>0</v>
          </cell>
        </row>
        <row r="66">
          <cell r="A66">
            <v>35</v>
          </cell>
          <cell r="B66" t="str">
            <v>Type B F17T8/CW 24" T8 9W 4100K LED Bulbs (6)</v>
          </cell>
          <cell r="C66" t="str">
            <v>Bidding Closed</v>
          </cell>
          <cell r="F66" t="str">
            <v>Floor</v>
          </cell>
          <cell r="M66">
            <v>0</v>
          </cell>
          <cell r="N66">
            <v>0</v>
          </cell>
        </row>
        <row r="67">
          <cell r="A67">
            <v>36</v>
          </cell>
          <cell r="B67" t="str">
            <v>SELEWARE Landmine Attachments for 2x2/3x3</v>
          </cell>
          <cell r="C67" t="str">
            <v>Bidding Closed</v>
          </cell>
          <cell r="F67" t="str">
            <v>Floor</v>
          </cell>
          <cell r="M67">
            <v>0</v>
          </cell>
          <cell r="N67">
            <v>0</v>
          </cell>
        </row>
        <row r="68">
          <cell r="A68">
            <v>37</v>
          </cell>
          <cell r="B68" t="str">
            <v>ZOEGAA 13.3" Laptop Privacy Screen Filter</v>
          </cell>
          <cell r="C68" t="str">
            <v>Bidding Closed</v>
          </cell>
          <cell r="E68">
            <v>5038</v>
          </cell>
          <cell r="F68" t="str">
            <v>Roxana Colchado</v>
          </cell>
          <cell r="G68" t="str">
            <v>1318 Lakes Edge lane</v>
          </cell>
          <cell r="H68" t="str">
            <v>TX</v>
          </cell>
          <cell r="I68">
            <v>77459</v>
          </cell>
          <cell r="J68" t="str">
            <v>roximdm15@gmail.com</v>
          </cell>
          <cell r="K68">
            <v>8323960919</v>
          </cell>
          <cell r="M68">
            <v>525</v>
          </cell>
          <cell r="N68">
            <v>525</v>
          </cell>
        </row>
        <row r="69">
          <cell r="A69">
            <v>38</v>
          </cell>
          <cell r="B69" t="str">
            <v>Copen Wall Light By Alcott Hill</v>
          </cell>
          <cell r="C69" t="str">
            <v>Bidding Closed Time Extended</v>
          </cell>
          <cell r="E69">
            <v>5200</v>
          </cell>
          <cell r="F69" t="str">
            <v>Bernard Millette</v>
          </cell>
          <cell r="G69" t="str">
            <v>111A Karla Drive</v>
          </cell>
          <cell r="H69" t="str">
            <v>TX</v>
          </cell>
          <cell r="I69">
            <v>75791</v>
          </cell>
          <cell r="J69" t="str">
            <v>bernard@hallbuickgmc.com</v>
          </cell>
          <cell r="K69" t="str">
            <v>903-920-7501</v>
          </cell>
          <cell r="L69" t="str">
            <v>903-266-7837</v>
          </cell>
          <cell r="M69">
            <v>550</v>
          </cell>
          <cell r="N69">
            <v>550</v>
          </cell>
        </row>
        <row r="70">
          <cell r="A70">
            <v>39</v>
          </cell>
          <cell r="B70" t="str">
            <v>15-Inch Tool Bag with 16 Pockets Foldable</v>
          </cell>
          <cell r="C70" t="str">
            <v>Bidding Closed</v>
          </cell>
          <cell r="E70">
            <v>5158</v>
          </cell>
          <cell r="F70" t="str">
            <v>Jack Bates</v>
          </cell>
          <cell r="G70" t="str">
            <v>4722 Broken Elm Dr</v>
          </cell>
          <cell r="H70" t="str">
            <v>TX</v>
          </cell>
          <cell r="I70">
            <v>77388</v>
          </cell>
          <cell r="J70" t="str">
            <v>jlba120267@yahoo.com</v>
          </cell>
          <cell r="K70">
            <v>7133762968</v>
          </cell>
          <cell r="L70">
            <v>7133762968</v>
          </cell>
          <cell r="M70">
            <v>2700</v>
          </cell>
          <cell r="N70">
            <v>2700</v>
          </cell>
        </row>
        <row r="71">
          <cell r="A71">
            <v>40</v>
          </cell>
          <cell r="B71" t="str">
            <v>PIRTA 60-Pack 32 oz Meal Prep Containers</v>
          </cell>
          <cell r="C71" t="str">
            <v>Bidding Closed</v>
          </cell>
          <cell r="E71">
            <v>5100</v>
          </cell>
          <cell r="F71" t="str">
            <v>Richard Stell</v>
          </cell>
          <cell r="G71" t="str">
            <v>7806 springberry court</v>
          </cell>
          <cell r="H71" t="str">
            <v>TX</v>
          </cell>
          <cell r="I71">
            <v>77379</v>
          </cell>
          <cell r="J71" t="str">
            <v>rstell0@gmail.com</v>
          </cell>
          <cell r="K71">
            <v>2818252480</v>
          </cell>
          <cell r="L71">
            <v>2818252480</v>
          </cell>
          <cell r="M71">
            <v>1350</v>
          </cell>
          <cell r="N71">
            <v>1350</v>
          </cell>
        </row>
        <row r="72">
          <cell r="A72">
            <v>41</v>
          </cell>
          <cell r="B72" t="str">
            <v>Badger 5XP Lift &amp; Latch Disposer 3/4 HP</v>
          </cell>
          <cell r="C72" t="str">
            <v>Bidding Closed Time Extended</v>
          </cell>
          <cell r="E72">
            <v>5200</v>
          </cell>
          <cell r="F72" t="str">
            <v>Bernard Millette</v>
          </cell>
          <cell r="G72" t="str">
            <v>111A Karla Drive</v>
          </cell>
          <cell r="H72" t="str">
            <v>TX</v>
          </cell>
          <cell r="I72">
            <v>75791</v>
          </cell>
          <cell r="J72" t="str">
            <v>bernard@hallbuickgmc.com</v>
          </cell>
          <cell r="K72" t="str">
            <v>903-920-7501</v>
          </cell>
          <cell r="L72" t="str">
            <v>903-266-7837</v>
          </cell>
          <cell r="M72">
            <v>4000</v>
          </cell>
          <cell r="N72">
            <v>4000</v>
          </cell>
        </row>
        <row r="73">
          <cell r="A73">
            <v>42</v>
          </cell>
          <cell r="B73" t="str">
            <v>Norwegian Lefse Kit: Rolling Pins &amp; Cloths</v>
          </cell>
          <cell r="C73" t="str">
            <v>Bidding Closed Time Extended</v>
          </cell>
          <cell r="E73">
            <v>5085</v>
          </cell>
          <cell r="F73" t="str">
            <v>Cynthia Echols</v>
          </cell>
          <cell r="G73" t="str">
            <v>3107 Robinson Road</v>
          </cell>
          <cell r="H73" t="str">
            <v>TX</v>
          </cell>
          <cell r="I73">
            <v>77459</v>
          </cell>
          <cell r="J73" t="str">
            <v>twigpigs@earthlink.net</v>
          </cell>
          <cell r="K73">
            <v>2812029040</v>
          </cell>
          <cell r="M73">
            <v>2175</v>
          </cell>
          <cell r="N73">
            <v>2475</v>
          </cell>
        </row>
        <row r="74">
          <cell r="A74" t="str">
            <v>42m</v>
          </cell>
          <cell r="B74" t="str">
            <v>SUPERJARE Nightstands with Charging Station -(C)</v>
          </cell>
          <cell r="C74" t="str">
            <v>Bidding Closed Time Extended</v>
          </cell>
          <cell r="E74">
            <v>5024</v>
          </cell>
          <cell r="F74" t="str">
            <v>patrick lemke</v>
          </cell>
          <cell r="G74" t="str">
            <v>627 Beverly Circle</v>
          </cell>
          <cell r="H74" t="str">
            <v>TX</v>
          </cell>
          <cell r="I74">
            <v>77477</v>
          </cell>
          <cell r="J74" t="str">
            <v>fjp292f4kh@privaterelay.appleid.com</v>
          </cell>
          <cell r="K74">
            <v>3616766214</v>
          </cell>
          <cell r="M74">
            <v>4000</v>
          </cell>
          <cell r="N74">
            <v>4000</v>
          </cell>
        </row>
        <row r="75">
          <cell r="A75" t="str">
            <v>43m</v>
          </cell>
          <cell r="B75" t="str">
            <v>2 Pack Rubber Curb Ramp Thresholds -(A)</v>
          </cell>
          <cell r="C75" t="str">
            <v>Bidding Closed Time Extended</v>
          </cell>
          <cell r="E75">
            <v>5122</v>
          </cell>
          <cell r="F75" t="str">
            <v>John Cornelius</v>
          </cell>
          <cell r="G75" t="str">
            <v>2209 Kilkenny Lane</v>
          </cell>
          <cell r="H75" t="str">
            <v>TX</v>
          </cell>
          <cell r="I75">
            <v>77536</v>
          </cell>
          <cell r="J75" t="str">
            <v>85mkgwb8zm@privaterelay.appleid.com</v>
          </cell>
          <cell r="K75">
            <v>8329442772</v>
          </cell>
          <cell r="M75">
            <v>1500</v>
          </cell>
          <cell r="N75">
            <v>1500</v>
          </cell>
        </row>
        <row r="76">
          <cell r="A76" t="str">
            <v>44m</v>
          </cell>
          <cell r="B76" t="str">
            <v>Dacor 48" Externally Vented Hood Graphite - (C)</v>
          </cell>
          <cell r="C76" t="str">
            <v>Bidding Closed</v>
          </cell>
          <cell r="E76">
            <v>5071</v>
          </cell>
          <cell r="F76" t="str">
            <v>Yesset Karayev</v>
          </cell>
          <cell r="G76" t="str">
            <v>11412s autumn hill drive</v>
          </cell>
          <cell r="H76" t="str">
            <v>UT</v>
          </cell>
          <cell r="I76">
            <v>84094</v>
          </cell>
          <cell r="J76" t="str">
            <v>contest.kz@gmail.com</v>
          </cell>
          <cell r="K76">
            <v>8018360895</v>
          </cell>
          <cell r="M76">
            <v>8250</v>
          </cell>
          <cell r="N76">
            <v>10000</v>
          </cell>
        </row>
        <row r="77">
          <cell r="A77" t="str">
            <v>45m</v>
          </cell>
          <cell r="B77" t="str">
            <v>Whirlpool 30 inch Single Electric Wall Oven (D)</v>
          </cell>
          <cell r="C77" t="str">
            <v>Bidding Closed</v>
          </cell>
          <cell r="E77">
            <v>5074</v>
          </cell>
          <cell r="F77" t="str">
            <v>Sanzhar Houston</v>
          </cell>
          <cell r="G77" t="str">
            <v>12633 Texas 249</v>
          </cell>
          <cell r="H77" t="str">
            <v>TX</v>
          </cell>
          <cell r="I77">
            <v>77377</v>
          </cell>
          <cell r="J77" t="str">
            <v>jakeoktagon@gmail.com</v>
          </cell>
          <cell r="K77">
            <v>7029605668</v>
          </cell>
          <cell r="M77">
            <v>550</v>
          </cell>
          <cell r="N77">
            <v>6000</v>
          </cell>
        </row>
        <row r="78">
          <cell r="A78" t="str">
            <v>46m</v>
          </cell>
          <cell r="B78" t="str">
            <v>Magnolia Manor Mirror (MD)</v>
          </cell>
          <cell r="C78" t="str">
            <v>Bidding Closed Time Extended</v>
          </cell>
          <cell r="E78">
            <v>5027</v>
          </cell>
          <cell r="F78" t="str">
            <v>Kuralay Kateryne</v>
          </cell>
          <cell r="G78" t="str">
            <v>Kempner Street</v>
          </cell>
          <cell r="H78" t="str">
            <v>TX</v>
          </cell>
          <cell r="I78">
            <v>77477</v>
          </cell>
          <cell r="J78" t="str">
            <v>kydyrbekmir@gmail.com</v>
          </cell>
          <cell r="K78">
            <v>7759994244</v>
          </cell>
          <cell r="M78">
            <v>2200</v>
          </cell>
          <cell r="N78">
            <v>3500</v>
          </cell>
        </row>
        <row r="79">
          <cell r="A79" t="str">
            <v>47m</v>
          </cell>
          <cell r="B79" t="str">
            <v>Samsung 30 in. Electric Wall Oven Wi-Fi - W3</v>
          </cell>
          <cell r="C79" t="str">
            <v>Bidding Closed Time Extended</v>
          </cell>
          <cell r="E79">
            <v>5200</v>
          </cell>
          <cell r="F79" t="str">
            <v>Bernard Millette</v>
          </cell>
          <cell r="G79" t="str">
            <v>111A Karla Drive</v>
          </cell>
          <cell r="H79" t="str">
            <v>TX</v>
          </cell>
          <cell r="I79">
            <v>75791</v>
          </cell>
          <cell r="J79" t="str">
            <v>bernard@hallbuickgmc.com</v>
          </cell>
          <cell r="K79" t="str">
            <v>903-920-7501</v>
          </cell>
          <cell r="L79" t="str">
            <v>903-266-7837</v>
          </cell>
          <cell r="M79">
            <v>21375</v>
          </cell>
          <cell r="N79">
            <v>21375</v>
          </cell>
        </row>
        <row r="80">
          <cell r="A80" t="str">
            <v>48m</v>
          </cell>
          <cell r="B80" t="str">
            <v>$6700 Retail - JennAir JOEDC730RL 30" Electric Ove</v>
          </cell>
          <cell r="C80" t="str">
            <v>Bidding Closed Time Extended</v>
          </cell>
          <cell r="E80">
            <v>5074</v>
          </cell>
          <cell r="F80" t="str">
            <v>Sanzhar Houston</v>
          </cell>
          <cell r="G80" t="str">
            <v>12633 Texas 249</v>
          </cell>
          <cell r="H80" t="str">
            <v>TX</v>
          </cell>
          <cell r="I80">
            <v>77377</v>
          </cell>
          <cell r="J80" t="str">
            <v>jakeoktagon@gmail.com</v>
          </cell>
          <cell r="K80">
            <v>7029605668</v>
          </cell>
          <cell r="M80">
            <v>62000</v>
          </cell>
          <cell r="N80">
            <v>130000</v>
          </cell>
        </row>
        <row r="81">
          <cell r="A81" t="str">
            <v>49m</v>
          </cell>
          <cell r="B81" t="str">
            <v>LAZYBOY Leather Match Power Rocking Recliner with</v>
          </cell>
          <cell r="C81" t="str">
            <v>Bidding Closed</v>
          </cell>
          <cell r="E81">
            <v>5122</v>
          </cell>
          <cell r="F81" t="str">
            <v>John Cornelius</v>
          </cell>
          <cell r="G81" t="str">
            <v>2209 Kilkenny Lane</v>
          </cell>
          <cell r="H81" t="str">
            <v>TX</v>
          </cell>
          <cell r="I81">
            <v>77536</v>
          </cell>
          <cell r="J81" t="str">
            <v>85mkgwb8zm@privaterelay.appleid.com</v>
          </cell>
          <cell r="K81">
            <v>8329442772</v>
          </cell>
          <cell r="M81">
            <v>20500</v>
          </cell>
          <cell r="N81">
            <v>20500</v>
          </cell>
        </row>
        <row r="82">
          <cell r="A82" t="str">
            <v>50m</v>
          </cell>
          <cell r="B82" t="str">
            <v>Remy 90' Upholstered Sofa</v>
          </cell>
          <cell r="C82" t="str">
            <v>Bidding Closed</v>
          </cell>
          <cell r="E82">
            <v>5143</v>
          </cell>
          <cell r="F82" t="str">
            <v>Rochelle Pedraza</v>
          </cell>
          <cell r="G82" t="str">
            <v>2318 Hopkins Rd</v>
          </cell>
          <cell r="H82" t="str">
            <v>TX</v>
          </cell>
          <cell r="I82">
            <v>77417</v>
          </cell>
          <cell r="J82" t="str">
            <v>rochelleolamit@icloud.com</v>
          </cell>
          <cell r="K82" t="str">
            <v>346-702-9715</v>
          </cell>
          <cell r="M82">
            <v>50001</v>
          </cell>
          <cell r="N82">
            <v>50001</v>
          </cell>
        </row>
        <row r="83">
          <cell r="A83" t="str">
            <v>51m</v>
          </cell>
          <cell r="B83" t="str">
            <v>Urevo Spacewalk 1 Lite Treadmill - D</v>
          </cell>
          <cell r="C83" t="str">
            <v>Bidding Closed</v>
          </cell>
          <cell r="E83">
            <v>5050</v>
          </cell>
          <cell r="F83" t="str">
            <v>Almata Atastana</v>
          </cell>
          <cell r="G83" t="str">
            <v>12603 Executive Drive</v>
          </cell>
          <cell r="H83" t="str">
            <v>TX</v>
          </cell>
          <cell r="I83">
            <v>77477</v>
          </cell>
          <cell r="J83" t="str">
            <v>atxsugarland@gmail.com</v>
          </cell>
          <cell r="M83">
            <v>500</v>
          </cell>
          <cell r="N83">
            <v>2500</v>
          </cell>
        </row>
        <row r="84">
          <cell r="A84" t="str">
            <v>52m</v>
          </cell>
          <cell r="B84" t="str">
            <v>Zephr Siena Pro 48 in Wall Mount Range Hood (W3)</v>
          </cell>
          <cell r="C84" t="str">
            <v>Bidding Closed</v>
          </cell>
          <cell r="E84">
            <v>5071</v>
          </cell>
          <cell r="F84" t="str">
            <v>Yesset Karayev</v>
          </cell>
          <cell r="G84" t="str">
            <v>11412s autumn hill drive</v>
          </cell>
          <cell r="H84" t="str">
            <v>UT</v>
          </cell>
          <cell r="I84">
            <v>84094</v>
          </cell>
          <cell r="J84" t="str">
            <v>contest.kz@gmail.com</v>
          </cell>
          <cell r="K84">
            <v>8018360895</v>
          </cell>
          <cell r="M84">
            <v>8250</v>
          </cell>
          <cell r="N84">
            <v>10000</v>
          </cell>
        </row>
        <row r="85">
          <cell r="A85" t="str">
            <v>53m</v>
          </cell>
          <cell r="B85" t="str">
            <v>Bosch 800 Series Convection Microwave -(W3)</v>
          </cell>
          <cell r="C85" t="str">
            <v>Bidding Closed</v>
          </cell>
          <cell r="E85">
            <v>5159</v>
          </cell>
          <cell r="F85" t="str">
            <v>jack witte</v>
          </cell>
          <cell r="G85" t="str">
            <v>1803 Chase Street</v>
          </cell>
          <cell r="H85" t="str">
            <v>TX</v>
          </cell>
          <cell r="I85">
            <v>77026</v>
          </cell>
          <cell r="J85" t="str">
            <v>jackwitte@protonmail.com</v>
          </cell>
          <cell r="K85">
            <v>7135487587</v>
          </cell>
          <cell r="M85">
            <v>7250</v>
          </cell>
          <cell r="N85">
            <v>7250</v>
          </cell>
        </row>
        <row r="86">
          <cell r="A86" t="str">
            <v>54m</v>
          </cell>
          <cell r="B86" t="str">
            <v>Monogram 36-Inch Natural Gas Rangetop</v>
          </cell>
          <cell r="C86" t="str">
            <v>Bidding Closed Time Extended</v>
          </cell>
          <cell r="E86">
            <v>5218</v>
          </cell>
          <cell r="F86" t="str">
            <v>joel wadley</v>
          </cell>
          <cell r="G86" t="str">
            <v>1603 Tucker Dr</v>
          </cell>
          <cell r="H86" t="str">
            <v>TX</v>
          </cell>
          <cell r="I86">
            <v>76543</v>
          </cell>
          <cell r="J86" t="str">
            <v>sirwillij@yahoo.com</v>
          </cell>
          <cell r="K86" t="str">
            <v>254-681-2420</v>
          </cell>
          <cell r="M86">
            <v>57000</v>
          </cell>
          <cell r="N86">
            <v>57000</v>
          </cell>
        </row>
        <row r="87">
          <cell r="A87" t="str">
            <v>55m</v>
          </cell>
          <cell r="B87" t="str">
            <v>Kitchenaid 30 in. Electric Wall Oven with Air Fry</v>
          </cell>
          <cell r="C87" t="str">
            <v>Bidding Closed Time Extended</v>
          </cell>
          <cell r="E87">
            <v>5074</v>
          </cell>
          <cell r="F87" t="str">
            <v>Sanzhar Houston</v>
          </cell>
          <cell r="G87" t="str">
            <v>12633 Texas 249</v>
          </cell>
          <cell r="H87" t="str">
            <v>TX</v>
          </cell>
          <cell r="I87">
            <v>77377</v>
          </cell>
          <cell r="J87" t="str">
            <v>jakeoktagon@gmail.com</v>
          </cell>
          <cell r="K87">
            <v>7029605668</v>
          </cell>
          <cell r="M87">
            <v>27075</v>
          </cell>
          <cell r="N87">
            <v>33000</v>
          </cell>
        </row>
        <row r="88">
          <cell r="A88" t="str">
            <v>56m</v>
          </cell>
          <cell r="B88" t="str">
            <v>Samsung BESPOKE 35" Wall Range Hood -(B)</v>
          </cell>
          <cell r="C88" t="str">
            <v>Bidding Closed</v>
          </cell>
          <cell r="E88">
            <v>5071</v>
          </cell>
          <cell r="F88" t="str">
            <v>Yesset Karayev</v>
          </cell>
          <cell r="G88" t="str">
            <v>11412s autumn hill drive</v>
          </cell>
          <cell r="H88" t="str">
            <v>UT</v>
          </cell>
          <cell r="I88">
            <v>84094</v>
          </cell>
          <cell r="J88" t="str">
            <v>contest.kz@gmail.com</v>
          </cell>
          <cell r="K88">
            <v>8018360895</v>
          </cell>
          <cell r="M88">
            <v>12500</v>
          </cell>
          <cell r="N88">
            <v>14000</v>
          </cell>
        </row>
        <row r="89">
          <cell r="A89" t="str">
            <v>57m</v>
          </cell>
          <cell r="B89" t="str">
            <v>Bosch 800 Series 42" Island Range Hood -(B)</v>
          </cell>
          <cell r="C89" t="str">
            <v>Bidding Closed Time Extended</v>
          </cell>
          <cell r="E89">
            <v>5138</v>
          </cell>
          <cell r="F89" t="str">
            <v>Nelson Morales</v>
          </cell>
          <cell r="G89" t="str">
            <v>14735 Ramblebrook Lane</v>
          </cell>
          <cell r="H89" t="str">
            <v>TX</v>
          </cell>
          <cell r="I89">
            <v>77396</v>
          </cell>
          <cell r="J89" t="str">
            <v>lastuar@yahoo.com</v>
          </cell>
          <cell r="K89">
            <v>2819010298</v>
          </cell>
          <cell r="M89">
            <v>28000</v>
          </cell>
          <cell r="N89">
            <v>28000</v>
          </cell>
        </row>
        <row r="90">
          <cell r="A90" t="str">
            <v>58m</v>
          </cell>
          <cell r="B90" t="str">
            <v>Whirlpool 36" Stainless 5-Burner Gas Cooktop-(W3)</v>
          </cell>
          <cell r="C90" t="str">
            <v>Bidding Closed Time Extended</v>
          </cell>
          <cell r="E90">
            <v>5200</v>
          </cell>
          <cell r="F90" t="str">
            <v>Bernard Millette</v>
          </cell>
          <cell r="G90" t="str">
            <v>111A Karla Drive</v>
          </cell>
          <cell r="H90" t="str">
            <v>TX</v>
          </cell>
          <cell r="I90">
            <v>75791</v>
          </cell>
          <cell r="J90" t="str">
            <v>bernard@hallbuickgmc.com</v>
          </cell>
          <cell r="K90" t="str">
            <v>903-920-7501</v>
          </cell>
          <cell r="L90" t="str">
            <v>903-266-7837</v>
          </cell>
          <cell r="M90">
            <v>20000</v>
          </cell>
          <cell r="N90">
            <v>20000</v>
          </cell>
        </row>
        <row r="91">
          <cell r="A91" t="str">
            <v>59m</v>
          </cell>
          <cell r="B91" t="str">
            <v>Bosch 800 Series 30" Built-In Oven SS - W2</v>
          </cell>
          <cell r="C91" t="str">
            <v>Bidding Closed</v>
          </cell>
          <cell r="E91">
            <v>5027</v>
          </cell>
          <cell r="F91" t="str">
            <v>Kuralay Kateryne</v>
          </cell>
          <cell r="G91" t="str">
            <v>Kempner Street</v>
          </cell>
          <cell r="H91" t="str">
            <v>TX</v>
          </cell>
          <cell r="I91">
            <v>77477</v>
          </cell>
          <cell r="J91" t="str">
            <v>kydyrbekmir@gmail.com</v>
          </cell>
          <cell r="K91">
            <v>7759994244</v>
          </cell>
          <cell r="M91">
            <v>20500</v>
          </cell>
          <cell r="N91">
            <v>46000</v>
          </cell>
        </row>
        <row r="92">
          <cell r="A92" t="str">
            <v>60m</v>
          </cell>
          <cell r="B92" t="str">
            <v>Whirlpool 30 in. Under-Cab Hood w/ LED - C</v>
          </cell>
          <cell r="C92" t="str">
            <v>Bidding Closed</v>
          </cell>
          <cell r="E92">
            <v>5050</v>
          </cell>
          <cell r="F92" t="str">
            <v>Almata Atastana</v>
          </cell>
          <cell r="G92" t="str">
            <v>12603 Executive Drive</v>
          </cell>
          <cell r="H92" t="str">
            <v>TX</v>
          </cell>
          <cell r="I92">
            <v>77477</v>
          </cell>
          <cell r="J92" t="str">
            <v>atxsugarland@gmail.com</v>
          </cell>
          <cell r="M92">
            <v>500</v>
          </cell>
          <cell r="N92">
            <v>2500</v>
          </cell>
        </row>
        <row r="93">
          <cell r="A93" t="str">
            <v>61m</v>
          </cell>
          <cell r="B93" t="str">
            <v>Frigidaire 30" Microwave Convection Oven -(W3)</v>
          </cell>
          <cell r="C93" t="str">
            <v>Bidding Closed</v>
          </cell>
          <cell r="E93">
            <v>5074</v>
          </cell>
          <cell r="F93" t="str">
            <v>Sanzhar Houston</v>
          </cell>
          <cell r="G93" t="str">
            <v>12633 Texas 249</v>
          </cell>
          <cell r="H93" t="str">
            <v>TX</v>
          </cell>
          <cell r="I93">
            <v>77377</v>
          </cell>
          <cell r="J93" t="str">
            <v>jakeoktagon@gmail.com</v>
          </cell>
          <cell r="K93">
            <v>7029605668</v>
          </cell>
          <cell r="M93">
            <v>26500</v>
          </cell>
          <cell r="N93">
            <v>33000</v>
          </cell>
        </row>
        <row r="94">
          <cell r="A94" t="str">
            <v>62m</v>
          </cell>
          <cell r="B94" t="str">
            <v>KitchenAid 30" Built-In Oven w Air Fry - W3</v>
          </cell>
          <cell r="C94" t="str">
            <v>Bidding Closed Time Extended</v>
          </cell>
          <cell r="E94">
            <v>5200</v>
          </cell>
          <cell r="F94" t="str">
            <v>Bernard Millette</v>
          </cell>
          <cell r="G94" t="str">
            <v>111A Karla Drive</v>
          </cell>
          <cell r="H94" t="str">
            <v>TX</v>
          </cell>
          <cell r="I94">
            <v>75791</v>
          </cell>
          <cell r="J94" t="str">
            <v>bernard@hallbuickgmc.com</v>
          </cell>
          <cell r="K94" t="str">
            <v>903-920-7501</v>
          </cell>
          <cell r="L94" t="str">
            <v>903-266-7837</v>
          </cell>
          <cell r="M94">
            <v>24000</v>
          </cell>
          <cell r="N94">
            <v>24000</v>
          </cell>
        </row>
        <row r="95">
          <cell r="A95" t="str">
            <v>63m</v>
          </cell>
          <cell r="B95" t="str">
            <v>GE Profile 2.2 Cu. Ft Built-In Microwave Oven -(W3</v>
          </cell>
          <cell r="C95" t="str">
            <v>Bidding Closed</v>
          </cell>
          <cell r="E95">
            <v>5016</v>
          </cell>
          <cell r="F95" t="str">
            <v>Steven green</v>
          </cell>
          <cell r="G95" t="str">
            <v>28915 South Plum Creek Drive</v>
          </cell>
          <cell r="H95" t="str">
            <v>TX</v>
          </cell>
          <cell r="I95">
            <v>77386</v>
          </cell>
          <cell r="J95" t="str">
            <v>Mclemorecharles457@gmail.com</v>
          </cell>
          <cell r="K95" t="str">
            <v>901-210-3976</v>
          </cell>
          <cell r="M95">
            <v>3100</v>
          </cell>
          <cell r="N95">
            <v>3200</v>
          </cell>
        </row>
        <row r="96">
          <cell r="A96" t="str">
            <v>64m</v>
          </cell>
          <cell r="B96" t="str">
            <v>JennAir JED3430G 30" Electric Cooktop - W3</v>
          </cell>
          <cell r="C96" t="str">
            <v>Bidding Closed</v>
          </cell>
          <cell r="E96">
            <v>5131</v>
          </cell>
          <cell r="F96" t="str">
            <v>Delroy Worrell jr</v>
          </cell>
          <cell r="G96" t="str">
            <v>9123 Rocky Valley Drive</v>
          </cell>
          <cell r="H96" t="str">
            <v>TX</v>
          </cell>
          <cell r="I96">
            <v>77083</v>
          </cell>
          <cell r="J96" t="str">
            <v>dworrelljr72@gmail.com</v>
          </cell>
          <cell r="K96">
            <v>2812357093</v>
          </cell>
          <cell r="M96">
            <v>31500</v>
          </cell>
          <cell r="N96">
            <v>31500</v>
          </cell>
        </row>
        <row r="97">
          <cell r="A97" t="str">
            <v>65m</v>
          </cell>
          <cell r="B97" t="str">
            <v>GE CAFE 24 in Built-In Dishwasher Matte White - P</v>
          </cell>
          <cell r="C97" t="str">
            <v>Bidding Closed Time Extended</v>
          </cell>
          <cell r="E97">
            <v>5074</v>
          </cell>
          <cell r="F97" t="str">
            <v>Sanzhar Houston</v>
          </cell>
          <cell r="G97" t="str">
            <v>12633 Texas 249</v>
          </cell>
          <cell r="H97" t="str">
            <v>TX</v>
          </cell>
          <cell r="I97">
            <v>77377</v>
          </cell>
          <cell r="J97" t="str">
            <v>jakeoktagon@gmail.com</v>
          </cell>
          <cell r="K97">
            <v>7029605668</v>
          </cell>
          <cell r="M97">
            <v>7250</v>
          </cell>
          <cell r="N97">
            <v>11000</v>
          </cell>
        </row>
        <row r="98">
          <cell r="A98" t="str">
            <v>66m</v>
          </cell>
          <cell r="B98" t="str">
            <v>Insignia 250 Sq. Ft Portable AC - White -(W3)</v>
          </cell>
          <cell r="C98" t="str">
            <v>Bidding Closed Time Extended</v>
          </cell>
          <cell r="E98">
            <v>5218</v>
          </cell>
          <cell r="F98" t="str">
            <v>joel wadley</v>
          </cell>
          <cell r="G98" t="str">
            <v>1603 Tucker Dr</v>
          </cell>
          <cell r="H98" t="str">
            <v>TX</v>
          </cell>
          <cell r="I98">
            <v>76543</v>
          </cell>
          <cell r="J98" t="str">
            <v>sirwillij@yahoo.com</v>
          </cell>
          <cell r="K98" t="str">
            <v>254-681-2420</v>
          </cell>
          <cell r="M98">
            <v>5250</v>
          </cell>
          <cell r="N98">
            <v>5250</v>
          </cell>
        </row>
        <row r="99">
          <cell r="A99" t="str">
            <v>67m</v>
          </cell>
          <cell r="B99" t="str">
            <v>GE Profile 2.2 cu ft 1100W Smart Microwave Gray (</v>
          </cell>
          <cell r="C99" t="str">
            <v>Bidding Closed Time Extended</v>
          </cell>
          <cell r="E99">
            <v>5192</v>
          </cell>
          <cell r="F99" t="str">
            <v>Jesus Salinas</v>
          </cell>
          <cell r="G99" t="str">
            <v>10107 Sagecourt</v>
          </cell>
          <cell r="H99" t="str">
            <v>TX</v>
          </cell>
          <cell r="I99">
            <v>77089</v>
          </cell>
          <cell r="J99" t="str">
            <v>jisalinas87@hotmail.com</v>
          </cell>
          <cell r="K99">
            <v>9568002208</v>
          </cell>
          <cell r="M99">
            <v>6000</v>
          </cell>
          <cell r="N99">
            <v>6000</v>
          </cell>
        </row>
        <row r="100">
          <cell r="A100" t="str">
            <v>68m</v>
          </cell>
          <cell r="B100" t="str">
            <v>Thermador Masterpiece 36 in. Convertible Range Hoo</v>
          </cell>
          <cell r="C100" t="str">
            <v>Bidding Closed Time Extended</v>
          </cell>
          <cell r="E100">
            <v>5199</v>
          </cell>
          <cell r="F100" t="str">
            <v>Raul Tijerina</v>
          </cell>
          <cell r="G100" t="str">
            <v>14311 Sun Harbor Drive</v>
          </cell>
          <cell r="H100" t="str">
            <v>TX</v>
          </cell>
          <cell r="I100">
            <v>77062</v>
          </cell>
          <cell r="J100" t="str">
            <v>rttijerina1@gmail.com</v>
          </cell>
          <cell r="K100">
            <v>2819482921</v>
          </cell>
          <cell r="M100">
            <v>24000</v>
          </cell>
          <cell r="N100">
            <v>24000</v>
          </cell>
        </row>
        <row r="101">
          <cell r="A101" t="str">
            <v>69m</v>
          </cell>
          <cell r="B101" t="str">
            <v>GE Profile 30 in. Warming Drawer SS</v>
          </cell>
          <cell r="C101" t="str">
            <v>Bidding Closed Time Extended</v>
          </cell>
          <cell r="E101">
            <v>5074</v>
          </cell>
          <cell r="F101" t="str">
            <v>Sanzhar Houston</v>
          </cell>
          <cell r="G101" t="str">
            <v>12633 Texas 249</v>
          </cell>
          <cell r="H101" t="str">
            <v>TX</v>
          </cell>
          <cell r="I101">
            <v>77377</v>
          </cell>
          <cell r="J101" t="str">
            <v>jakeoktagon@gmail.com</v>
          </cell>
          <cell r="K101">
            <v>7029605668</v>
          </cell>
          <cell r="M101">
            <v>21000</v>
          </cell>
          <cell r="N101">
            <v>22000</v>
          </cell>
        </row>
        <row r="102">
          <cell r="A102" t="str">
            <v>70m</v>
          </cell>
          <cell r="B102" t="str">
            <v>Insignia 350 Sq. Ft. Portable A/C - White - W3</v>
          </cell>
          <cell r="C102" t="str">
            <v>Bidding Closed</v>
          </cell>
          <cell r="E102">
            <v>5111</v>
          </cell>
          <cell r="F102" t="str">
            <v>Joseph Mastrangelo</v>
          </cell>
          <cell r="G102" t="str">
            <v>603 Muirwood Lane</v>
          </cell>
          <cell r="H102" t="str">
            <v>TX</v>
          </cell>
          <cell r="I102">
            <v>77498</v>
          </cell>
          <cell r="J102" t="str">
            <v>catholicjoe@gmail.com</v>
          </cell>
          <cell r="K102">
            <v>2812215234</v>
          </cell>
          <cell r="M102">
            <v>5000</v>
          </cell>
          <cell r="N102">
            <v>5000</v>
          </cell>
        </row>
        <row r="103">
          <cell r="A103" t="str">
            <v>71m</v>
          </cell>
          <cell r="B103" t="str">
            <v>Whirlpool Smart Capable 7.4-cu ft Dryer - (W4)</v>
          </cell>
          <cell r="C103" t="str">
            <v>Bidding Closed</v>
          </cell>
          <cell r="E103">
            <v>5071</v>
          </cell>
          <cell r="F103" t="str">
            <v>Yesset Karayev</v>
          </cell>
          <cell r="G103" t="str">
            <v>11412s autumn hill drive</v>
          </cell>
          <cell r="H103" t="str">
            <v>UT</v>
          </cell>
          <cell r="I103">
            <v>84094</v>
          </cell>
          <cell r="J103" t="str">
            <v>contest.kz@gmail.com</v>
          </cell>
          <cell r="K103">
            <v>8018360895</v>
          </cell>
          <cell r="M103">
            <v>6250</v>
          </cell>
          <cell r="N103">
            <v>14000</v>
          </cell>
        </row>
        <row r="104">
          <cell r="A104" t="str">
            <v>72m</v>
          </cell>
          <cell r="B104" t="str">
            <v>Frigidaire Gallery 27" Electric Built-In Oven - W3</v>
          </cell>
          <cell r="C104" t="str">
            <v>Bidding Closed Time Extended</v>
          </cell>
          <cell r="E104">
            <v>5071</v>
          </cell>
          <cell r="F104" t="str">
            <v>Yesset Karayev</v>
          </cell>
          <cell r="G104" t="str">
            <v>11412s autumn hill drive</v>
          </cell>
          <cell r="H104" t="str">
            <v>UT</v>
          </cell>
          <cell r="I104">
            <v>84094</v>
          </cell>
          <cell r="J104" t="str">
            <v>contest.kz@gmail.com</v>
          </cell>
          <cell r="K104">
            <v>8018360895</v>
          </cell>
          <cell r="M104">
            <v>7250</v>
          </cell>
          <cell r="N104">
            <v>16000</v>
          </cell>
        </row>
        <row r="105">
          <cell r="A105" t="str">
            <v>73m</v>
          </cell>
          <cell r="B105" t="str">
            <v>Profile 30" Smart Wall Oven Convection SS</v>
          </cell>
          <cell r="C105" t="str">
            <v>Bidding Closed</v>
          </cell>
          <cell r="E105">
            <v>5074</v>
          </cell>
          <cell r="F105" t="str">
            <v>Sanzhar Houston</v>
          </cell>
          <cell r="G105" t="str">
            <v>12633 Texas 249</v>
          </cell>
          <cell r="H105" t="str">
            <v>TX</v>
          </cell>
          <cell r="I105">
            <v>77377</v>
          </cell>
          <cell r="J105" t="str">
            <v>jakeoktagon@gmail.com</v>
          </cell>
          <cell r="K105">
            <v>7029605668</v>
          </cell>
          <cell r="M105">
            <v>21500</v>
          </cell>
          <cell r="N105">
            <v>22000</v>
          </cell>
        </row>
        <row r="106">
          <cell r="A106" t="str">
            <v>74m</v>
          </cell>
          <cell r="B106" t="str">
            <v>Roundhill Ioana Grey Wood Night Stand - (D Rack)</v>
          </cell>
          <cell r="C106" t="str">
            <v>Bidding Closed Time Extended</v>
          </cell>
          <cell r="E106">
            <v>5070</v>
          </cell>
          <cell r="F106" t="str">
            <v>Jeremy Lowrance</v>
          </cell>
          <cell r="G106" t="str">
            <v>3718 alberta</v>
          </cell>
          <cell r="H106" t="str">
            <v>TX</v>
          </cell>
          <cell r="I106">
            <v>77021</v>
          </cell>
          <cell r="J106" t="str">
            <v>jeremylowrancefxd@gmail.com</v>
          </cell>
          <cell r="K106" t="str">
            <v>858-429-8545</v>
          </cell>
          <cell r="M106">
            <v>6000</v>
          </cell>
          <cell r="N106">
            <v>6000</v>
          </cell>
        </row>
        <row r="107">
          <cell r="A107" t="str">
            <v>75m</v>
          </cell>
          <cell r="B107" t="str">
            <v>Safavieh Flannery Mid-Century Cream Chair -(CE)</v>
          </cell>
          <cell r="C107" t="str">
            <v>Bidding Closed Time Extended</v>
          </cell>
          <cell r="E107">
            <v>5185</v>
          </cell>
          <cell r="F107" t="str">
            <v>nelson guandique</v>
          </cell>
          <cell r="G107" t="str">
            <v>5260 Memorial Dr</v>
          </cell>
          <cell r="H107" t="str">
            <v>TX</v>
          </cell>
          <cell r="I107">
            <v>77007</v>
          </cell>
          <cell r="J107" t="str">
            <v>nelsondecompos@yahoo.com</v>
          </cell>
          <cell r="K107">
            <v>2816914766</v>
          </cell>
          <cell r="M107">
            <v>11000</v>
          </cell>
          <cell r="N107">
            <v>11000</v>
          </cell>
        </row>
        <row r="108">
          <cell r="A108" t="str">
            <v>76m</v>
          </cell>
          <cell r="B108" t="str">
            <v>YITAMOTOR 6.5" Running Boards   Ram Crew Cab -(C)</v>
          </cell>
          <cell r="C108" t="str">
            <v>Bidding Closed Time Extended</v>
          </cell>
          <cell r="E108">
            <v>5208</v>
          </cell>
          <cell r="F108" t="str">
            <v>Angelina Santoro</v>
          </cell>
          <cell r="G108" t="str">
            <v>113 Checkerbloom Ct</v>
          </cell>
          <cell r="H108" t="str">
            <v>TX</v>
          </cell>
          <cell r="I108">
            <v>77316</v>
          </cell>
          <cell r="J108" t="str">
            <v>angelsantoro@gmail.com</v>
          </cell>
          <cell r="K108">
            <v>2816877114</v>
          </cell>
          <cell r="M108">
            <v>2700</v>
          </cell>
          <cell r="N108">
            <v>2700</v>
          </cell>
        </row>
        <row r="109">
          <cell r="A109" t="str">
            <v>77m</v>
          </cell>
          <cell r="B109" t="str">
            <v>18  Lime Green Traffic Cone - 12 Pack -(C)</v>
          </cell>
          <cell r="C109" t="str">
            <v>Bidding Closed</v>
          </cell>
          <cell r="E109">
            <v>5084</v>
          </cell>
          <cell r="F109" t="str">
            <v>Daniel Gray</v>
          </cell>
          <cell r="G109" t="str">
            <v>2011 Glenn Lakes Ln</v>
          </cell>
          <cell r="H109" t="str">
            <v>TX</v>
          </cell>
          <cell r="I109">
            <v>77459</v>
          </cell>
          <cell r="J109" t="str">
            <v>Dangray42@gmail.com</v>
          </cell>
          <cell r="K109">
            <v>8324344651</v>
          </cell>
          <cell r="M109">
            <v>6750</v>
          </cell>
          <cell r="N109">
            <v>6800</v>
          </cell>
        </row>
        <row r="110">
          <cell r="A110" t="str">
            <v>78m</v>
          </cell>
          <cell r="B110" t="str">
            <v>Kitchenaid 36 in. Gas Cooktop   5 Burners - W3</v>
          </cell>
          <cell r="C110" t="str">
            <v>Bidding Closed</v>
          </cell>
          <cell r="E110">
            <v>5071</v>
          </cell>
          <cell r="F110" t="str">
            <v>Yesset Karayev</v>
          </cell>
          <cell r="G110" t="str">
            <v>11412s autumn hill drive</v>
          </cell>
          <cell r="H110" t="str">
            <v>UT</v>
          </cell>
          <cell r="I110">
            <v>84094</v>
          </cell>
          <cell r="J110" t="str">
            <v>contest.kz@gmail.com</v>
          </cell>
          <cell r="K110">
            <v>8018360895</v>
          </cell>
          <cell r="M110">
            <v>5250</v>
          </cell>
          <cell r="N110">
            <v>16000</v>
          </cell>
        </row>
        <row r="111">
          <cell r="A111" t="str">
            <v>79m</v>
          </cell>
          <cell r="B111" t="str">
            <v>GE 1.6-cu ft Over-the-Range Microwave (White)</v>
          </cell>
          <cell r="C111" t="str">
            <v>Bidding Closed</v>
          </cell>
          <cell r="E111">
            <v>5050</v>
          </cell>
          <cell r="F111" t="str">
            <v>Almata Atastana</v>
          </cell>
          <cell r="G111" t="str">
            <v>12603 Executive Drive</v>
          </cell>
          <cell r="H111" t="str">
            <v>TX</v>
          </cell>
          <cell r="I111">
            <v>77477</v>
          </cell>
          <cell r="J111" t="str">
            <v>atxsugarland@gmail.com</v>
          </cell>
          <cell r="M111">
            <v>500</v>
          </cell>
          <cell r="N111">
            <v>3000</v>
          </cell>
        </row>
        <row r="112">
          <cell r="A112" t="str">
            <v>80m</v>
          </cell>
          <cell r="B112" t="str">
            <v>Chris Loves Julia x Loloi Francis Wool Beige / Cha</v>
          </cell>
          <cell r="C112" t="str">
            <v>Bidding Closed Time Extended</v>
          </cell>
          <cell r="E112">
            <v>5210</v>
          </cell>
          <cell r="F112" t="str">
            <v>Candyce Talton</v>
          </cell>
          <cell r="G112" t="str">
            <v>3210 the highlands dr</v>
          </cell>
          <cell r="H112" t="str">
            <v>TX</v>
          </cell>
          <cell r="I112">
            <v>77478</v>
          </cell>
          <cell r="J112" t="str">
            <v>candyce.talton@yahoo.com</v>
          </cell>
          <cell r="K112">
            <v>2818961823</v>
          </cell>
          <cell r="M112">
            <v>6000</v>
          </cell>
          <cell r="N112">
            <v>6000</v>
          </cell>
        </row>
        <row r="113">
          <cell r="A113" t="str">
            <v>81m</v>
          </cell>
          <cell r="B113" t="str">
            <v>NordicTrack T 6.5 S Treadmill 5" Display -(W3)</v>
          </cell>
          <cell r="C113" t="str">
            <v>Bidding Closed Time Extended</v>
          </cell>
          <cell r="E113">
            <v>5192</v>
          </cell>
          <cell r="F113" t="str">
            <v>Jesus Salinas</v>
          </cell>
          <cell r="G113" t="str">
            <v>10107 Sagecourt</v>
          </cell>
          <cell r="H113" t="str">
            <v>TX</v>
          </cell>
          <cell r="I113">
            <v>77089</v>
          </cell>
          <cell r="J113" t="str">
            <v>jisalinas87@hotmail.com</v>
          </cell>
          <cell r="K113">
            <v>9568002208</v>
          </cell>
          <cell r="M113">
            <v>26000</v>
          </cell>
          <cell r="N113">
            <v>26000</v>
          </cell>
        </row>
        <row r="114">
          <cell r="A114" t="str">
            <v>82m</v>
          </cell>
          <cell r="B114" t="str">
            <v>Rizzo Oak Dining Table - (W2)</v>
          </cell>
          <cell r="C114" t="str">
            <v>Bidding Closed</v>
          </cell>
          <cell r="E114">
            <v>5027</v>
          </cell>
          <cell r="F114" t="str">
            <v>Kuralay Kateryne</v>
          </cell>
          <cell r="G114" t="str">
            <v>Kempner Street</v>
          </cell>
          <cell r="H114" t="str">
            <v>TX</v>
          </cell>
          <cell r="I114">
            <v>77477</v>
          </cell>
          <cell r="J114" t="str">
            <v>kydyrbekmir@gmail.com</v>
          </cell>
          <cell r="K114">
            <v>7759994244</v>
          </cell>
          <cell r="M114">
            <v>6000</v>
          </cell>
          <cell r="N114">
            <v>111100</v>
          </cell>
        </row>
        <row r="115">
          <cell r="A115" t="str">
            <v>84m</v>
          </cell>
          <cell r="B115" t="str">
            <v>Alteo 39.4" Wide Modern Vegan Leather Power Reclin</v>
          </cell>
          <cell r="C115" t="str">
            <v>Bidding Closed Time Extended</v>
          </cell>
          <cell r="E115">
            <v>5192</v>
          </cell>
          <cell r="F115" t="str">
            <v>Jesus Salinas</v>
          </cell>
          <cell r="G115" t="str">
            <v>10107 Sagecourt</v>
          </cell>
          <cell r="H115" t="str">
            <v>TX</v>
          </cell>
          <cell r="I115">
            <v>77089</v>
          </cell>
          <cell r="J115" t="str">
            <v>jisalinas87@hotmail.com</v>
          </cell>
          <cell r="K115">
            <v>9568002208</v>
          </cell>
          <cell r="M115">
            <v>11000</v>
          </cell>
          <cell r="N115">
            <v>11000</v>
          </cell>
        </row>
        <row r="116">
          <cell r="A116" t="str">
            <v>86m</v>
          </cell>
          <cell r="B116" t="str">
            <v>Havalance Flip Top Sofa/Console Table -(W4)</v>
          </cell>
          <cell r="C116" t="str">
            <v>Bidding Closed Time Extended</v>
          </cell>
          <cell r="E116">
            <v>5169</v>
          </cell>
          <cell r="F116" t="str">
            <v>Michael Araiza</v>
          </cell>
          <cell r="G116" t="str">
            <v>1015 gargan</v>
          </cell>
          <cell r="H116" t="str">
            <v>TX</v>
          </cell>
          <cell r="I116">
            <v>77009</v>
          </cell>
          <cell r="J116" t="str">
            <v>michaelaraiza22@yahoo.com</v>
          </cell>
          <cell r="K116" t="str">
            <v>832-322-7773</v>
          </cell>
          <cell r="M116">
            <v>11500</v>
          </cell>
          <cell r="N116">
            <v>11500</v>
          </cell>
        </row>
        <row r="117">
          <cell r="A117" t="str">
            <v>88m</v>
          </cell>
          <cell r="B117" t="str">
            <v>GE 27-in Smart Electric Wall Oven Stainless - (W3)</v>
          </cell>
          <cell r="C117" t="str">
            <v>Bidding Closed Time Extended</v>
          </cell>
          <cell r="E117">
            <v>5218</v>
          </cell>
          <cell r="F117" t="str">
            <v>joel wadley</v>
          </cell>
          <cell r="G117" t="str">
            <v>1603 Tucker Dr</v>
          </cell>
          <cell r="H117" t="str">
            <v>TX</v>
          </cell>
          <cell r="I117">
            <v>76543</v>
          </cell>
          <cell r="J117" t="str">
            <v>sirwillij@yahoo.com</v>
          </cell>
          <cell r="K117" t="str">
            <v>254-681-2420</v>
          </cell>
          <cell r="M117">
            <v>6500</v>
          </cell>
          <cell r="N117">
            <v>6500</v>
          </cell>
        </row>
        <row r="118">
          <cell r="A118" t="str">
            <v>90m</v>
          </cell>
          <cell r="B118" t="str">
            <v>Monogram 24" Top Control Dishwasher 39 dBA -(W3)</v>
          </cell>
          <cell r="C118" t="str">
            <v>Bidding Closed</v>
          </cell>
          <cell r="E118">
            <v>5027</v>
          </cell>
          <cell r="F118" t="str">
            <v>Kuralay Kateryne</v>
          </cell>
          <cell r="G118" t="str">
            <v>Kempner Street</v>
          </cell>
          <cell r="H118" t="str">
            <v>TX</v>
          </cell>
          <cell r="I118">
            <v>77477</v>
          </cell>
          <cell r="J118" t="str">
            <v>kydyrbekmir@gmail.com</v>
          </cell>
          <cell r="K118">
            <v>7759994244</v>
          </cell>
          <cell r="M118">
            <v>93575</v>
          </cell>
          <cell r="N118">
            <v>111100</v>
          </cell>
        </row>
        <row r="119">
          <cell r="A119" t="str">
            <v>94m</v>
          </cell>
          <cell r="B119" t="str">
            <v>ZLINE 30" 600 CFM Range Hood Black-Stainless -(W3</v>
          </cell>
          <cell r="C119" t="str">
            <v>Bidding Closed</v>
          </cell>
          <cell r="E119">
            <v>5074</v>
          </cell>
          <cell r="F119" t="str">
            <v>Sanzhar Houston</v>
          </cell>
          <cell r="G119" t="str">
            <v>12633 Texas 249</v>
          </cell>
          <cell r="H119" t="str">
            <v>TX</v>
          </cell>
          <cell r="I119">
            <v>77377</v>
          </cell>
          <cell r="J119" t="str">
            <v>jakeoktagon@gmail.com</v>
          </cell>
          <cell r="K119">
            <v>7029605668</v>
          </cell>
          <cell r="M119">
            <v>500</v>
          </cell>
          <cell r="N119">
            <v>9000</v>
          </cell>
        </row>
        <row r="120">
          <cell r="A120" t="str">
            <v>96m</v>
          </cell>
          <cell r="B120" t="str">
            <v>CAF  Professional Series 30" Smart Wall Oven -W3</v>
          </cell>
          <cell r="C120" t="str">
            <v>Bidding Closed</v>
          </cell>
          <cell r="E120">
            <v>5027</v>
          </cell>
          <cell r="F120" t="str">
            <v>Kuralay Kateryne</v>
          </cell>
          <cell r="G120" t="str">
            <v>Kempner Street</v>
          </cell>
          <cell r="H120" t="str">
            <v>TX</v>
          </cell>
          <cell r="I120">
            <v>77477</v>
          </cell>
          <cell r="J120" t="str">
            <v>kydyrbekmir@gmail.com</v>
          </cell>
          <cell r="K120">
            <v>7759994244</v>
          </cell>
          <cell r="M120">
            <v>31000</v>
          </cell>
          <cell r="N120">
            <v>33000</v>
          </cell>
        </row>
        <row r="121">
          <cell r="A121" t="str">
            <v>98m</v>
          </cell>
          <cell r="B121" t="str">
            <v>LG 30  Smart Build-In Combination Wall Oven with M</v>
          </cell>
          <cell r="C121" t="str">
            <v>Bidding Closed Time Extended</v>
          </cell>
          <cell r="E121">
            <v>5185</v>
          </cell>
          <cell r="F121" t="str">
            <v>nelson guandique</v>
          </cell>
          <cell r="G121" t="str">
            <v>5260 Memorial Dr</v>
          </cell>
          <cell r="H121" t="str">
            <v>TX</v>
          </cell>
          <cell r="I121">
            <v>77007</v>
          </cell>
          <cell r="J121" t="str">
            <v>nelsondecompos@yahoo.com</v>
          </cell>
          <cell r="K121">
            <v>2816914766</v>
          </cell>
          <cell r="M121">
            <v>39000</v>
          </cell>
          <cell r="N121">
            <v>39000</v>
          </cell>
        </row>
        <row r="122">
          <cell r="A122" t="str">
            <v>100m</v>
          </cell>
          <cell r="B122" t="str">
            <v>Bosch Flue cover Stainless steel -(W3)</v>
          </cell>
          <cell r="C122" t="str">
            <v>Bidding Closed</v>
          </cell>
          <cell r="E122">
            <v>5074</v>
          </cell>
          <cell r="F122" t="str">
            <v>Sanzhar Houston</v>
          </cell>
          <cell r="G122" t="str">
            <v>12633 Texas 249</v>
          </cell>
          <cell r="H122" t="str">
            <v>TX</v>
          </cell>
          <cell r="I122">
            <v>77377</v>
          </cell>
          <cell r="J122" t="str">
            <v>jakeoktagon@gmail.com</v>
          </cell>
          <cell r="K122">
            <v>7029605668</v>
          </cell>
          <cell r="M122">
            <v>5500</v>
          </cell>
          <cell r="N122">
            <v>11000</v>
          </cell>
        </row>
        <row r="123">
          <cell r="A123" t="str">
            <v>102m</v>
          </cell>
          <cell r="B123" t="str">
            <v>24" Built-In Microwave 2.2 cu ft ADA - W3</v>
          </cell>
          <cell r="C123" t="str">
            <v>Bidding Closed</v>
          </cell>
          <cell r="E123">
            <v>5149</v>
          </cell>
          <cell r="F123" t="str">
            <v>BABS SOKOYA</v>
          </cell>
          <cell r="G123" t="str">
            <v>9714Chalford Drive</v>
          </cell>
          <cell r="H123" t="str">
            <v>TX</v>
          </cell>
          <cell r="I123">
            <v>77498</v>
          </cell>
          <cell r="J123" t="str">
            <v>ijebuboy@yahoo.com</v>
          </cell>
          <cell r="K123">
            <v>2812503461</v>
          </cell>
          <cell r="L123">
            <v>2812503461</v>
          </cell>
          <cell r="M123">
            <v>11500</v>
          </cell>
          <cell r="N123">
            <v>11500</v>
          </cell>
        </row>
        <row r="124">
          <cell r="A124" t="str">
            <v>104m</v>
          </cell>
          <cell r="B124" t="str">
            <v>Bespoke 5.3 cu ft Front Load Washer Black -(W4)</v>
          </cell>
          <cell r="C124" t="str">
            <v>Bidding Closed Time Extended</v>
          </cell>
          <cell r="E124">
            <v>5044</v>
          </cell>
          <cell r="F124" t="str">
            <v>Sangho Yi</v>
          </cell>
          <cell r="G124" t="str">
            <v>1714 Chateau Bend Ct</v>
          </cell>
          <cell r="H124" t="str">
            <v>TX</v>
          </cell>
          <cell r="I124">
            <v>77450</v>
          </cell>
          <cell r="J124" t="str">
            <v>yisangho717@gmail.com</v>
          </cell>
          <cell r="K124">
            <v>6469236179</v>
          </cell>
          <cell r="M124">
            <v>17600</v>
          </cell>
          <cell r="N124">
            <v>17600</v>
          </cell>
        </row>
        <row r="125">
          <cell r="A125" t="str">
            <v>106m</v>
          </cell>
          <cell r="B125" t="str">
            <v>7.2 cu. ft. Electric Dryer - White -(W4)</v>
          </cell>
          <cell r="C125" t="str">
            <v>Bidding Closed Time Extended</v>
          </cell>
          <cell r="E125">
            <v>5192</v>
          </cell>
          <cell r="F125" t="str">
            <v>Jesus Salinas</v>
          </cell>
          <cell r="G125" t="str">
            <v>10107 Sagecourt</v>
          </cell>
          <cell r="H125" t="str">
            <v>TX</v>
          </cell>
          <cell r="I125">
            <v>77089</v>
          </cell>
          <cell r="J125" t="str">
            <v>jisalinas87@hotmail.com</v>
          </cell>
          <cell r="K125">
            <v>9568002208</v>
          </cell>
          <cell r="M125">
            <v>12000</v>
          </cell>
          <cell r="N125">
            <v>12000</v>
          </cell>
        </row>
        <row r="126">
          <cell r="A126" t="str">
            <v>108m</v>
          </cell>
          <cell r="B126" t="str">
            <v>Insignia 6.7 Cu. Ft. Electric Dryer -(W4)</v>
          </cell>
          <cell r="C126" t="str">
            <v>Bidding Closed</v>
          </cell>
          <cell r="E126">
            <v>5051</v>
          </cell>
          <cell r="F126" t="str">
            <v>Cliff Tucker</v>
          </cell>
          <cell r="G126" t="str">
            <v>215 West Jordan Street</v>
          </cell>
          <cell r="H126" t="str">
            <v>TX</v>
          </cell>
          <cell r="I126">
            <v>77511</v>
          </cell>
          <cell r="J126" t="str">
            <v>winthebid82@gmail.com</v>
          </cell>
          <cell r="K126">
            <v>3464080000</v>
          </cell>
          <cell r="M126">
            <v>10000</v>
          </cell>
          <cell r="N126">
            <v>10000</v>
          </cell>
        </row>
        <row r="127">
          <cell r="A127" t="str">
            <v>110m</v>
          </cell>
          <cell r="B127" t="str">
            <v>7.4 cu. ft. Vented Electric Dryer in White -(W4)</v>
          </cell>
          <cell r="C127" t="str">
            <v>Bidding Closed</v>
          </cell>
          <cell r="E127">
            <v>5049</v>
          </cell>
          <cell r="F127" t="str">
            <v>Emily Perez</v>
          </cell>
          <cell r="G127" t="str">
            <v>4706 39th Street East</v>
          </cell>
          <cell r="H127" t="str">
            <v>TX</v>
          </cell>
          <cell r="I127">
            <v>77539</v>
          </cell>
          <cell r="J127" t="str">
            <v>cfn9yxzw4h@privaterelay.appleid.com</v>
          </cell>
          <cell r="K127">
            <v>8327053097</v>
          </cell>
          <cell r="M127">
            <v>9950</v>
          </cell>
          <cell r="N127">
            <v>10000</v>
          </cell>
        </row>
        <row r="128">
          <cell r="A128" t="str">
            <v>112m</v>
          </cell>
          <cell r="B128" t="str">
            <v>7.4 cu. ft. Vented Electric Dryer Wi Fi -(W4)</v>
          </cell>
          <cell r="C128" t="str">
            <v>Bidding Closed Time Extended</v>
          </cell>
          <cell r="E128">
            <v>5104</v>
          </cell>
          <cell r="F128" t="str">
            <v>Caitlin Green</v>
          </cell>
          <cell r="G128" t="str">
            <v>1907 Lavaca Street</v>
          </cell>
          <cell r="H128" t="str">
            <v>TX</v>
          </cell>
          <cell r="I128">
            <v>77546</v>
          </cell>
          <cell r="J128" t="str">
            <v>greencaitlin19@gmail.com</v>
          </cell>
          <cell r="K128">
            <v>2623781020</v>
          </cell>
          <cell r="M128">
            <v>12000</v>
          </cell>
          <cell r="N128">
            <v>12000</v>
          </cell>
        </row>
        <row r="129">
          <cell r="A129" t="str">
            <v>114m</v>
          </cell>
          <cell r="B129" t="str">
            <v>4.0 cu. ft. Smart Dial Electric Dryer -(SHOWROOM)</v>
          </cell>
          <cell r="C129" t="str">
            <v>Bidding Closed</v>
          </cell>
          <cell r="E129">
            <v>5211</v>
          </cell>
          <cell r="F129" t="str">
            <v>Alejandro Servin</v>
          </cell>
          <cell r="G129" t="str">
            <v>3915 Nelva Park Dr</v>
          </cell>
          <cell r="H129" t="str">
            <v>TX</v>
          </cell>
          <cell r="I129">
            <v>77449</v>
          </cell>
          <cell r="J129" t="str">
            <v>alejandroservinra@gmail.com</v>
          </cell>
          <cell r="K129" t="str">
            <v>832-605-6781</v>
          </cell>
          <cell r="M129">
            <v>9000</v>
          </cell>
          <cell r="N129">
            <v>9000</v>
          </cell>
        </row>
        <row r="130">
          <cell r="A130" t="str">
            <v>116m</v>
          </cell>
          <cell r="B130" t="str">
            <v>7.4 cu. ft. Smart Vented Dryer with Steam -(W4)</v>
          </cell>
          <cell r="C130" t="str">
            <v>Bidding Closed Time Extended</v>
          </cell>
          <cell r="E130">
            <v>5104</v>
          </cell>
          <cell r="F130" t="str">
            <v>Caitlin Green</v>
          </cell>
          <cell r="G130" t="str">
            <v>1907 Lavaca Street</v>
          </cell>
          <cell r="H130" t="str">
            <v>TX</v>
          </cell>
          <cell r="I130">
            <v>77546</v>
          </cell>
          <cell r="J130" t="str">
            <v>greencaitlin19@gmail.com</v>
          </cell>
          <cell r="K130">
            <v>2623781020</v>
          </cell>
          <cell r="M130">
            <v>12000</v>
          </cell>
          <cell r="N130">
            <v>12000</v>
          </cell>
        </row>
        <row r="131">
          <cell r="A131" t="str">
            <v>118m</v>
          </cell>
          <cell r="B131" t="str">
            <v>7.4 cu. ft. Smart Champagne Dryer with Steam -(W4)</v>
          </cell>
          <cell r="C131" t="str">
            <v>Bidding Closed</v>
          </cell>
          <cell r="E131">
            <v>5123</v>
          </cell>
          <cell r="F131" t="str">
            <v>BEST OZUMBA</v>
          </cell>
          <cell r="G131" t="str">
            <v>25539 cartington ln</v>
          </cell>
          <cell r="H131" t="str">
            <v>TX</v>
          </cell>
          <cell r="I131">
            <v>77493</v>
          </cell>
          <cell r="J131" t="str">
            <v>bozumba@gmail.com</v>
          </cell>
          <cell r="K131" t="str">
            <v>832-282-1308</v>
          </cell>
          <cell r="M131">
            <v>12475</v>
          </cell>
          <cell r="N131">
            <v>12475</v>
          </cell>
        </row>
        <row r="132">
          <cell r="A132" t="str">
            <v>120m</v>
          </cell>
          <cell r="B132" t="str">
            <v>Insignia 17 Cu. Ft. Upright Freezer</v>
          </cell>
          <cell r="C132" t="str">
            <v>Bidding Closed</v>
          </cell>
          <cell r="E132">
            <v>5161</v>
          </cell>
          <cell r="F132" t="str">
            <v>Sinisa Budimir</v>
          </cell>
          <cell r="G132" t="str">
            <v>15411 Stable Oak Dr</v>
          </cell>
          <cell r="H132" t="str">
            <v>TX</v>
          </cell>
          <cell r="I132">
            <v>77429</v>
          </cell>
          <cell r="J132" t="str">
            <v>sbudimir@hotmail.com</v>
          </cell>
          <cell r="K132">
            <v>8323673402</v>
          </cell>
          <cell r="M132">
            <v>20500</v>
          </cell>
          <cell r="N132">
            <v>20500</v>
          </cell>
        </row>
        <row r="133">
          <cell r="A133" t="str">
            <v>122m</v>
          </cell>
          <cell r="B133" t="str">
            <v>Insignia 13.8 Cu Ft Garage Upright Freezer -(W1)</v>
          </cell>
          <cell r="C133" t="str">
            <v>Bidding Closed</v>
          </cell>
          <cell r="E133">
            <v>5180</v>
          </cell>
          <cell r="F133" t="str">
            <v>Christopher Hernandez</v>
          </cell>
          <cell r="G133" t="str">
            <v>1012 Mississippi</v>
          </cell>
          <cell r="H133" t="str">
            <v>TX</v>
          </cell>
          <cell r="I133">
            <v>77587</v>
          </cell>
          <cell r="J133" t="str">
            <v>Chrishdz944@gmail.com</v>
          </cell>
          <cell r="K133">
            <v>8324692604</v>
          </cell>
          <cell r="M133">
            <v>17500</v>
          </cell>
          <cell r="N133">
            <v>17500</v>
          </cell>
        </row>
        <row r="134">
          <cell r="A134" t="str">
            <v>124m</v>
          </cell>
          <cell r="B134" t="str">
            <v>36 in. Side-by-Side 25.6 cu ft SS -(W1)</v>
          </cell>
          <cell r="C134" t="str">
            <v>Bidding Closed Time Extended</v>
          </cell>
          <cell r="E134">
            <v>5076</v>
          </cell>
          <cell r="F134" t="str">
            <v>Virginia Sallot</v>
          </cell>
          <cell r="G134" t="str">
            <v>11306 Sagecreek Drive</v>
          </cell>
          <cell r="H134" t="str">
            <v>TX</v>
          </cell>
          <cell r="I134">
            <v>77089</v>
          </cell>
          <cell r="J134" t="str">
            <v>shine8880@yahoo.com</v>
          </cell>
          <cell r="K134">
            <v>8322490339</v>
          </cell>
          <cell r="M134">
            <v>24500</v>
          </cell>
          <cell r="N134">
            <v>24500</v>
          </cell>
        </row>
        <row r="135">
          <cell r="A135" t="str">
            <v>126m</v>
          </cell>
          <cell r="B135" t="str">
            <v>LG 27.8 Cu. Ft. 4-Door French Door Fridge</v>
          </cell>
          <cell r="C135" t="str">
            <v>Bidding Closed Time Extended</v>
          </cell>
          <cell r="E135">
            <v>5085</v>
          </cell>
          <cell r="F135" t="str">
            <v>Cynthia Echols</v>
          </cell>
          <cell r="G135" t="str">
            <v>3107 Robinson Road</v>
          </cell>
          <cell r="H135" t="str">
            <v>TX</v>
          </cell>
          <cell r="I135">
            <v>77459</v>
          </cell>
          <cell r="J135" t="str">
            <v>twigpigs@earthlink.net</v>
          </cell>
          <cell r="K135">
            <v>2812029040</v>
          </cell>
          <cell r="M135">
            <v>84000</v>
          </cell>
          <cell r="N135">
            <v>84000</v>
          </cell>
        </row>
        <row r="136">
          <cell r="A136" t="str">
            <v>128m</v>
          </cell>
          <cell r="B136" t="str">
            <v>31 cu. ft. SMART French Door Refrigerator</v>
          </cell>
          <cell r="C136" t="str">
            <v>Bidding Closed</v>
          </cell>
          <cell r="E136">
            <v>5016</v>
          </cell>
          <cell r="F136" t="str">
            <v>Steven green</v>
          </cell>
          <cell r="G136" t="str">
            <v>28915 South Plum Creek Drive</v>
          </cell>
          <cell r="H136" t="str">
            <v>TX</v>
          </cell>
          <cell r="I136">
            <v>77386</v>
          </cell>
          <cell r="J136" t="str">
            <v>Mclemorecharles457@gmail.com</v>
          </cell>
          <cell r="K136" t="str">
            <v>901-210-3976</v>
          </cell>
          <cell r="M136">
            <v>39000</v>
          </cell>
          <cell r="N136">
            <v>39000</v>
          </cell>
        </row>
        <row r="137">
          <cell r="A137" t="str">
            <v>130m</v>
          </cell>
          <cell r="B137" t="str">
            <v>Insignia 29-Bottle Wine Cooler ENERGY STAR</v>
          </cell>
          <cell r="C137" t="str">
            <v>Bidding Closed</v>
          </cell>
          <cell r="E137">
            <v>5144</v>
          </cell>
          <cell r="F137" t="str">
            <v>German Neira</v>
          </cell>
          <cell r="G137" t="str">
            <v>10959 Olivewood Dr</v>
          </cell>
          <cell r="H137" t="str">
            <v>TX</v>
          </cell>
          <cell r="I137">
            <v>77089</v>
          </cell>
          <cell r="J137" t="str">
            <v>Ger_col@yahoo.com</v>
          </cell>
          <cell r="K137" t="str">
            <v>832-538-8637</v>
          </cell>
          <cell r="M137">
            <v>3100</v>
          </cell>
          <cell r="N137">
            <v>3100</v>
          </cell>
        </row>
        <row r="138">
          <cell r="A138" t="str">
            <v>132m</v>
          </cell>
          <cell r="B138" t="str">
            <v>Insignia 115-Can Beverage Cooler -(W1)</v>
          </cell>
          <cell r="C138" t="str">
            <v>Bidding Closed</v>
          </cell>
          <cell r="E138">
            <v>5074</v>
          </cell>
          <cell r="F138" t="str">
            <v>Sanzhar Houston</v>
          </cell>
          <cell r="G138" t="str">
            <v>12633 Texas 249</v>
          </cell>
          <cell r="H138" t="str">
            <v>TX</v>
          </cell>
          <cell r="I138">
            <v>77377</v>
          </cell>
          <cell r="J138" t="str">
            <v>jakeoktagon@gmail.com</v>
          </cell>
          <cell r="K138">
            <v>7029605668</v>
          </cell>
          <cell r="M138">
            <v>11600</v>
          </cell>
          <cell r="N138">
            <v>22200</v>
          </cell>
        </row>
        <row r="139">
          <cell r="A139" t="str">
            <v>134m</v>
          </cell>
          <cell r="B139" t="str">
            <v>Viking - French Door Refrigerator Steel -(W1)</v>
          </cell>
          <cell r="C139" t="str">
            <v>Bidding Closed Time Extended</v>
          </cell>
          <cell r="E139">
            <v>5211</v>
          </cell>
          <cell r="F139" t="str">
            <v>Alejandro Servin</v>
          </cell>
          <cell r="G139" t="str">
            <v>3915 Nelva Park Dr</v>
          </cell>
          <cell r="H139" t="str">
            <v>TX</v>
          </cell>
          <cell r="I139">
            <v>77449</v>
          </cell>
          <cell r="J139" t="str">
            <v>alejandroservinra@gmail.com</v>
          </cell>
          <cell r="K139" t="str">
            <v>832-605-6781</v>
          </cell>
          <cell r="M139">
            <v>75000</v>
          </cell>
          <cell r="N139">
            <v>75000</v>
          </cell>
        </row>
        <row r="140">
          <cell r="A140" t="str">
            <v>136m</v>
          </cell>
          <cell r="B140" t="str">
            <v>24-in Top Control Built-In Dishwasher -(W1)</v>
          </cell>
          <cell r="C140" t="str">
            <v>Bidding Closed</v>
          </cell>
          <cell r="E140">
            <v>5074</v>
          </cell>
          <cell r="F140" t="str">
            <v>Sanzhar Houston</v>
          </cell>
          <cell r="G140" t="str">
            <v>12633 Texas 249</v>
          </cell>
          <cell r="H140" t="str">
            <v>TX</v>
          </cell>
          <cell r="I140">
            <v>77377</v>
          </cell>
          <cell r="J140" t="str">
            <v>jakeoktagon@gmail.com</v>
          </cell>
          <cell r="K140">
            <v>7029605668</v>
          </cell>
          <cell r="M140">
            <v>16600</v>
          </cell>
          <cell r="N140">
            <v>33300</v>
          </cell>
        </row>
        <row r="141">
          <cell r="A141" t="str">
            <v>138m</v>
          </cell>
          <cell r="B141" t="str">
            <v>Profile 5.5 cu. ft. Front Load Washer -(W4)</v>
          </cell>
          <cell r="C141" t="str">
            <v>Bidding Closed Time Extended</v>
          </cell>
          <cell r="E141">
            <v>5053</v>
          </cell>
          <cell r="F141" t="str">
            <v>victoria moon</v>
          </cell>
          <cell r="G141" t="str">
            <v>4738 Hawthorne street</v>
          </cell>
          <cell r="H141" t="str">
            <v>TX</v>
          </cell>
          <cell r="I141">
            <v>77586</v>
          </cell>
          <cell r="J141" t="str">
            <v>victoria.moon@outlook.com</v>
          </cell>
          <cell r="K141" t="str">
            <v>409-363-1041</v>
          </cell>
          <cell r="M141">
            <v>18000</v>
          </cell>
          <cell r="N141">
            <v>18000</v>
          </cell>
        </row>
        <row r="142">
          <cell r="A142" t="str">
            <v>140m</v>
          </cell>
          <cell r="B142" t="str">
            <v>Insignia 4.1 Cu. Ft. Top Load Washer (White)</v>
          </cell>
          <cell r="C142" t="str">
            <v>Bidding Closed Time Extended</v>
          </cell>
          <cell r="E142">
            <v>5171</v>
          </cell>
          <cell r="F142" t="str">
            <v>Joseph Horodyski</v>
          </cell>
          <cell r="G142" t="str">
            <v>2610 Ash Road</v>
          </cell>
          <cell r="H142" t="str">
            <v>TX</v>
          </cell>
          <cell r="I142">
            <v>77584</v>
          </cell>
          <cell r="J142" t="str">
            <v>jhorodyski@hotmail.com</v>
          </cell>
          <cell r="K142">
            <v>2818131494</v>
          </cell>
          <cell r="M142">
            <v>9500</v>
          </cell>
          <cell r="N142">
            <v>9500</v>
          </cell>
        </row>
        <row r="143">
          <cell r="A143" t="str">
            <v>142m</v>
          </cell>
          <cell r="B143" t="str">
            <v>5.0 cu. ft. Front Load Washer</v>
          </cell>
          <cell r="C143" t="str">
            <v>Bidding Closed Time Extended</v>
          </cell>
          <cell r="E143">
            <v>5104</v>
          </cell>
          <cell r="F143" t="str">
            <v>Caitlin Green</v>
          </cell>
          <cell r="G143" t="str">
            <v>1907 Lavaca Street</v>
          </cell>
          <cell r="H143" t="str">
            <v>TX</v>
          </cell>
          <cell r="I143">
            <v>77546</v>
          </cell>
          <cell r="J143" t="str">
            <v>greencaitlin19@gmail.com</v>
          </cell>
          <cell r="K143">
            <v>2623781020</v>
          </cell>
          <cell r="M143">
            <v>14000</v>
          </cell>
          <cell r="N143">
            <v>14000</v>
          </cell>
        </row>
        <row r="144">
          <cell r="A144" t="str">
            <v>144m</v>
          </cell>
          <cell r="B144" t="str">
            <v>30 in. Convertible Hood Stainless</v>
          </cell>
          <cell r="C144" t="str">
            <v>Bidding Closed Time Extended</v>
          </cell>
          <cell r="E144">
            <v>5027</v>
          </cell>
          <cell r="F144" t="str">
            <v>Kuralay Kateryne</v>
          </cell>
          <cell r="G144" t="str">
            <v>Kempner Street</v>
          </cell>
          <cell r="H144" t="str">
            <v>TX</v>
          </cell>
          <cell r="I144">
            <v>77477</v>
          </cell>
          <cell r="J144" t="str">
            <v>kydyrbekmir@gmail.com</v>
          </cell>
          <cell r="K144">
            <v>7759994244</v>
          </cell>
          <cell r="M144">
            <v>6500</v>
          </cell>
          <cell r="N144">
            <v>6500</v>
          </cell>
        </row>
        <row r="145">
          <cell r="A145" t="str">
            <v>146m</v>
          </cell>
          <cell r="B145" t="str">
            <v>30" Induction Cooktop: 5 Burners -(W4)</v>
          </cell>
          <cell r="C145" t="str">
            <v>Bidding Closed Time Extended</v>
          </cell>
          <cell r="E145">
            <v>5092</v>
          </cell>
          <cell r="F145" t="str">
            <v>stephen sykes</v>
          </cell>
          <cell r="G145" t="str">
            <v>3547 old massey ranch rd</v>
          </cell>
          <cell r="H145" t="str">
            <v>TX</v>
          </cell>
          <cell r="I145">
            <v>77578</v>
          </cell>
          <cell r="J145" t="str">
            <v>protechplumbing@live.com</v>
          </cell>
          <cell r="K145" t="str">
            <v>281-932-9049</v>
          </cell>
          <cell r="M145">
            <v>28500</v>
          </cell>
          <cell r="N145">
            <v>28500</v>
          </cell>
        </row>
        <row r="146">
          <cell r="A146" t="str">
            <v>148m</v>
          </cell>
          <cell r="B146" t="str">
            <v>Whirlpool 28" Slide-In Microwave 1.1 cu ft -(W4)</v>
          </cell>
          <cell r="C146" t="str">
            <v>Bidding Closed</v>
          </cell>
          <cell r="E146">
            <v>5192</v>
          </cell>
          <cell r="F146" t="str">
            <v>Jesus Salinas</v>
          </cell>
          <cell r="G146" t="str">
            <v>10107 Sagecourt</v>
          </cell>
          <cell r="H146" t="str">
            <v>TX</v>
          </cell>
          <cell r="I146">
            <v>77089</v>
          </cell>
          <cell r="J146" t="str">
            <v>jisalinas87@hotmail.com</v>
          </cell>
          <cell r="K146">
            <v>9568002208</v>
          </cell>
          <cell r="M146">
            <v>10500</v>
          </cell>
          <cell r="N146">
            <v>10500</v>
          </cell>
        </row>
        <row r="147">
          <cell r="A147" t="str">
            <v>150m</v>
          </cell>
          <cell r="B147" t="str">
            <v>36 in. Gas Cooktop with 5 Burners -(D)</v>
          </cell>
          <cell r="C147" t="str">
            <v>Bidding Closed Time Extended</v>
          </cell>
          <cell r="E147">
            <v>5027</v>
          </cell>
          <cell r="F147" t="str">
            <v>Kuralay Kateryne</v>
          </cell>
          <cell r="G147" t="str">
            <v>Kempner Street</v>
          </cell>
          <cell r="H147" t="str">
            <v>TX</v>
          </cell>
          <cell r="I147">
            <v>77477</v>
          </cell>
          <cell r="J147" t="str">
            <v>kydyrbekmir@gmail.com</v>
          </cell>
          <cell r="K147">
            <v>7759994244</v>
          </cell>
          <cell r="M147">
            <v>4600</v>
          </cell>
          <cell r="N147">
            <v>7500</v>
          </cell>
        </row>
        <row r="148">
          <cell r="A148" t="str">
            <v>152m</v>
          </cell>
          <cell r="B148" t="str">
            <v>LG 7.3 Cu. Ft. Gas Dryer with Sensor Dry</v>
          </cell>
          <cell r="C148" t="str">
            <v>Bidding Closed</v>
          </cell>
          <cell r="E148">
            <v>5074</v>
          </cell>
          <cell r="F148" t="str">
            <v>Sanzhar Houston</v>
          </cell>
          <cell r="G148" t="str">
            <v>12633 Texas 249</v>
          </cell>
          <cell r="H148" t="str">
            <v>TX</v>
          </cell>
          <cell r="I148">
            <v>77377</v>
          </cell>
          <cell r="J148" t="str">
            <v>jakeoktagon@gmail.com</v>
          </cell>
          <cell r="K148">
            <v>7029605668</v>
          </cell>
          <cell r="M148">
            <v>3100</v>
          </cell>
          <cell r="N148">
            <v>10000</v>
          </cell>
        </row>
        <row r="149">
          <cell r="A149" t="str">
            <v>154m</v>
          </cell>
          <cell r="B149" t="str">
            <v>8 cu. ft. Vented Front Load Dryer - Titanium</v>
          </cell>
          <cell r="C149" t="str">
            <v>Bidding Closed Time Extended</v>
          </cell>
          <cell r="E149">
            <v>5098</v>
          </cell>
          <cell r="F149" t="str">
            <v>Marie Williams</v>
          </cell>
          <cell r="G149" t="str">
            <v>510 Remington Glen Court</v>
          </cell>
          <cell r="H149" t="str">
            <v>TX</v>
          </cell>
          <cell r="I149">
            <v>77073</v>
          </cell>
          <cell r="J149" t="str">
            <v>williamsjay6510@gmail.com</v>
          </cell>
          <cell r="K149">
            <v>8324538242</v>
          </cell>
          <cell r="M149">
            <v>20000</v>
          </cell>
          <cell r="N149">
            <v>20000</v>
          </cell>
        </row>
        <row r="150">
          <cell r="A150" t="str">
            <v>156m</v>
          </cell>
          <cell r="B150" t="str">
            <v>4.0 cu. ft. Smart Dial Heat Pump Dryer White</v>
          </cell>
          <cell r="C150" t="str">
            <v>Bidding Closed</v>
          </cell>
          <cell r="E150">
            <v>5159</v>
          </cell>
          <cell r="F150" t="str">
            <v>jack witte</v>
          </cell>
          <cell r="G150" t="str">
            <v>1803 Chase Street</v>
          </cell>
          <cell r="H150" t="str">
            <v>TX</v>
          </cell>
          <cell r="I150">
            <v>77026</v>
          </cell>
          <cell r="J150" t="str">
            <v>jackwitte@protonmail.com</v>
          </cell>
          <cell r="K150">
            <v>7135487587</v>
          </cell>
          <cell r="M150">
            <v>9500</v>
          </cell>
          <cell r="N150">
            <v>9500</v>
          </cell>
        </row>
        <row r="151">
          <cell r="A151" t="str">
            <v>158m</v>
          </cell>
          <cell r="B151" t="str">
            <v>7.8 cu. ft. Smart Front Load Dryer White</v>
          </cell>
          <cell r="C151" t="str">
            <v>Bidding Closed Time Extended</v>
          </cell>
          <cell r="E151">
            <v>5192</v>
          </cell>
          <cell r="F151" t="str">
            <v>Jesus Salinas</v>
          </cell>
          <cell r="G151" t="str">
            <v>10107 Sagecourt</v>
          </cell>
          <cell r="H151" t="str">
            <v>TX</v>
          </cell>
          <cell r="I151">
            <v>77089</v>
          </cell>
          <cell r="J151" t="str">
            <v>jisalinas87@hotmail.com</v>
          </cell>
          <cell r="K151">
            <v>9568002208</v>
          </cell>
          <cell r="M151">
            <v>11000</v>
          </cell>
          <cell r="N151">
            <v>11000</v>
          </cell>
        </row>
        <row r="152">
          <cell r="A152" t="str">
            <v>160m</v>
          </cell>
          <cell r="B152" t="str">
            <v>KitchenAid 360 MAX JETS 24-in Dishwasher -(W4)</v>
          </cell>
          <cell r="C152" t="str">
            <v>Bidding Closed Time Extended</v>
          </cell>
          <cell r="E152">
            <v>5085</v>
          </cell>
          <cell r="F152" t="str">
            <v>Cynthia Echols</v>
          </cell>
          <cell r="G152" t="str">
            <v>3107 Robinson Road</v>
          </cell>
          <cell r="H152" t="str">
            <v>TX</v>
          </cell>
          <cell r="I152">
            <v>77459</v>
          </cell>
          <cell r="J152" t="str">
            <v>twigpigs@earthlink.net</v>
          </cell>
          <cell r="K152">
            <v>2812029040</v>
          </cell>
          <cell r="M152">
            <v>35575</v>
          </cell>
          <cell r="N152">
            <v>36075</v>
          </cell>
        </row>
        <row r="153">
          <cell r="A153" t="str">
            <v>162m</v>
          </cell>
          <cell r="B153" t="str">
            <v>7.3 Cu. Ft. Vented Gas Dryer with Sensor Dry</v>
          </cell>
          <cell r="C153" t="str">
            <v>Bidding Closed Time Extended</v>
          </cell>
          <cell r="E153">
            <v>5211</v>
          </cell>
          <cell r="F153" t="str">
            <v>Alejandro Servin</v>
          </cell>
          <cell r="G153" t="str">
            <v>3915 Nelva Park Dr</v>
          </cell>
          <cell r="H153" t="str">
            <v>TX</v>
          </cell>
          <cell r="I153">
            <v>77449</v>
          </cell>
          <cell r="J153" t="str">
            <v>alejandroservinra@gmail.com</v>
          </cell>
          <cell r="K153" t="str">
            <v>832-605-6781</v>
          </cell>
          <cell r="M153">
            <v>6750</v>
          </cell>
          <cell r="N153">
            <v>6750</v>
          </cell>
        </row>
        <row r="154">
          <cell r="A154" t="str">
            <v>164m</v>
          </cell>
          <cell r="B154" t="str">
            <v>LG 9 cu. ft. Gas Dryer with Sensor Dry</v>
          </cell>
          <cell r="C154" t="str">
            <v>Bidding Closed Time Extended</v>
          </cell>
          <cell r="E154">
            <v>5152</v>
          </cell>
          <cell r="F154" t="str">
            <v>Darren Ibarra</v>
          </cell>
          <cell r="G154" t="str">
            <v>2104 La Jolla Street</v>
          </cell>
          <cell r="H154" t="str">
            <v>TX</v>
          </cell>
          <cell r="I154">
            <v>78852</v>
          </cell>
          <cell r="J154" t="str">
            <v>dxji2323@gmail.com</v>
          </cell>
          <cell r="K154" t="str">
            <v>830-968-2323</v>
          </cell>
          <cell r="M154">
            <v>35000</v>
          </cell>
          <cell r="N154">
            <v>35000</v>
          </cell>
        </row>
        <row r="155">
          <cell r="A155" t="str">
            <v>166m</v>
          </cell>
          <cell r="B155" t="str">
            <v>Smart Front-Load Gas Dryer with Steam</v>
          </cell>
          <cell r="C155" t="str">
            <v>Bidding Closed</v>
          </cell>
          <cell r="E155">
            <v>5074</v>
          </cell>
          <cell r="F155" t="str">
            <v>Sanzhar Houston</v>
          </cell>
          <cell r="G155" t="str">
            <v>12633 Texas 249</v>
          </cell>
          <cell r="H155" t="str">
            <v>TX</v>
          </cell>
          <cell r="I155">
            <v>77377</v>
          </cell>
          <cell r="J155" t="str">
            <v>jakeoktagon@gmail.com</v>
          </cell>
          <cell r="K155">
            <v>7029605668</v>
          </cell>
          <cell r="M155">
            <v>10500</v>
          </cell>
          <cell r="N155">
            <v>11500</v>
          </cell>
        </row>
        <row r="156">
          <cell r="A156" t="str">
            <v>168m</v>
          </cell>
          <cell r="B156" t="str">
            <v>7.0 cu. ft. Vented Gas Dryer w/ AutoSensing</v>
          </cell>
          <cell r="C156" t="str">
            <v>Bidding Closed</v>
          </cell>
          <cell r="E156">
            <v>5211</v>
          </cell>
          <cell r="F156" t="str">
            <v>Alejandro Servin</v>
          </cell>
          <cell r="G156" t="str">
            <v>3915 Nelva Park Dr</v>
          </cell>
          <cell r="H156" t="str">
            <v>TX</v>
          </cell>
          <cell r="I156">
            <v>77449</v>
          </cell>
          <cell r="J156" t="str">
            <v>alejandroservinra@gmail.com</v>
          </cell>
          <cell r="K156" t="str">
            <v>832-605-6781</v>
          </cell>
          <cell r="M156">
            <v>8250</v>
          </cell>
          <cell r="N156">
            <v>8500</v>
          </cell>
        </row>
        <row r="157">
          <cell r="A157" t="str">
            <v>170m</v>
          </cell>
          <cell r="B157" t="str">
            <v>7.4 cu. ft. Vented Stackable Dryer - Black</v>
          </cell>
          <cell r="C157" t="str">
            <v>Bidding Closed</v>
          </cell>
          <cell r="E157">
            <v>5053</v>
          </cell>
          <cell r="F157" t="str">
            <v>victoria moon</v>
          </cell>
          <cell r="G157" t="str">
            <v>4738 Hawthorne street</v>
          </cell>
          <cell r="H157" t="str">
            <v>TX</v>
          </cell>
          <cell r="I157">
            <v>77586</v>
          </cell>
          <cell r="J157" t="str">
            <v>victoria.moon@outlook.com</v>
          </cell>
          <cell r="K157" t="str">
            <v>409-363-1041</v>
          </cell>
          <cell r="M157">
            <v>17000</v>
          </cell>
          <cell r="N157">
            <v>17000</v>
          </cell>
        </row>
        <row r="158">
          <cell r="A158" t="str">
            <v>172m</v>
          </cell>
          <cell r="B158" t="str">
            <v>24"W Dishwasher with Stainless Steel Panel</v>
          </cell>
          <cell r="C158" t="str">
            <v>Bidding Closed Time Extended</v>
          </cell>
          <cell r="E158">
            <v>5221</v>
          </cell>
          <cell r="F158" t="str">
            <v>Adam Munoz</v>
          </cell>
          <cell r="G158" t="str">
            <v>3439 Holliday Rd</v>
          </cell>
          <cell r="H158" t="str">
            <v>TX</v>
          </cell>
          <cell r="I158">
            <v>75224</v>
          </cell>
          <cell r="J158" t="str">
            <v>Adammunoz@me.com</v>
          </cell>
          <cell r="K158">
            <v>4696629991</v>
          </cell>
          <cell r="M158">
            <v>30000</v>
          </cell>
          <cell r="N158">
            <v>30000</v>
          </cell>
        </row>
        <row r="159">
          <cell r="A159" t="str">
            <v>174m</v>
          </cell>
          <cell r="B159" t="str">
            <v>30 in. 4-Burner Electric Range w/ Air Fry</v>
          </cell>
          <cell r="C159" t="str">
            <v>Bidding Closed</v>
          </cell>
          <cell r="E159">
            <v>5113</v>
          </cell>
          <cell r="F159" t="str">
            <v>Eduardo Torres</v>
          </cell>
          <cell r="G159" t="str">
            <v>2424 FM 1090 S</v>
          </cell>
          <cell r="H159" t="str">
            <v>TX</v>
          </cell>
          <cell r="I159">
            <v>77979</v>
          </cell>
          <cell r="J159" t="str">
            <v>eduardo.torres0594@gmail.com</v>
          </cell>
          <cell r="M159">
            <v>36350</v>
          </cell>
          <cell r="N159">
            <v>36350</v>
          </cell>
        </row>
        <row r="160">
          <cell r="A160" t="str">
            <v>176m</v>
          </cell>
          <cell r="B160" t="str">
            <v>5 cu. ft. Electric Wall Oven &amp; Microwave</v>
          </cell>
          <cell r="C160" t="str">
            <v>Bidding Closed</v>
          </cell>
          <cell r="E160">
            <v>5036</v>
          </cell>
          <cell r="F160" t="str">
            <v>Jeff Ong</v>
          </cell>
          <cell r="G160" t="str">
            <v>3027 Green Fields Dr.</v>
          </cell>
          <cell r="H160" t="str">
            <v>TX</v>
          </cell>
          <cell r="I160">
            <v>77479</v>
          </cell>
          <cell r="J160" t="str">
            <v>jeffrey.ong85@gmail.com</v>
          </cell>
          <cell r="K160">
            <v>8322121448</v>
          </cell>
          <cell r="M160">
            <v>51000</v>
          </cell>
          <cell r="N160">
            <v>51000</v>
          </cell>
        </row>
        <row r="161">
          <cell r="A161" t="str">
            <v>178m</v>
          </cell>
          <cell r="B161" t="str">
            <v>30" Smart Microwave Wall Oven with Steam</v>
          </cell>
          <cell r="C161" t="str">
            <v>Bidding Closed</v>
          </cell>
          <cell r="E161">
            <v>5027</v>
          </cell>
          <cell r="F161" t="str">
            <v>Kuralay Kateryne</v>
          </cell>
          <cell r="G161" t="str">
            <v>Kempner Street</v>
          </cell>
          <cell r="H161" t="str">
            <v>TX</v>
          </cell>
          <cell r="I161">
            <v>77477</v>
          </cell>
          <cell r="J161" t="str">
            <v>kydyrbekmir@gmail.com</v>
          </cell>
          <cell r="K161">
            <v>7759994244</v>
          </cell>
          <cell r="M161">
            <v>39575</v>
          </cell>
          <cell r="N161">
            <v>42500</v>
          </cell>
        </row>
        <row r="162">
          <cell r="A162" t="str">
            <v>180m</v>
          </cell>
          <cell r="B162" t="str">
            <v>KITCHENAID KDPM604KPS built in dishwasher</v>
          </cell>
          <cell r="C162" t="str">
            <v>Bidding Closed Time Extended</v>
          </cell>
          <cell r="E162">
            <v>5139</v>
          </cell>
          <cell r="F162" t="str">
            <v>Julie Phillips</v>
          </cell>
          <cell r="G162" t="str">
            <v>27012 Goodnight Trail East</v>
          </cell>
          <cell r="H162" t="str">
            <v>TX</v>
          </cell>
          <cell r="I162">
            <v>77355</v>
          </cell>
          <cell r="J162" t="str">
            <v>juphillips1821@yahoo.com</v>
          </cell>
          <cell r="K162" t="str">
            <v>832-302-8017</v>
          </cell>
          <cell r="M162">
            <v>39000</v>
          </cell>
          <cell r="N162">
            <v>39000</v>
          </cell>
        </row>
        <row r="163">
          <cell r="A163" t="str">
            <v>182m</v>
          </cell>
          <cell r="B163" t="str">
            <v>Profile 30 in. ENERGY STAR Induction Range</v>
          </cell>
          <cell r="C163" t="str">
            <v>Bidding Closed</v>
          </cell>
          <cell r="E163">
            <v>5027</v>
          </cell>
          <cell r="F163" t="str">
            <v>Kuralay Kateryne</v>
          </cell>
          <cell r="G163" t="str">
            <v>Kempner Street</v>
          </cell>
          <cell r="H163" t="str">
            <v>TX</v>
          </cell>
          <cell r="I163">
            <v>77477</v>
          </cell>
          <cell r="J163" t="str">
            <v>kydyrbekmir@gmail.com</v>
          </cell>
          <cell r="K163">
            <v>7759994244</v>
          </cell>
          <cell r="M163">
            <v>18000</v>
          </cell>
          <cell r="N163">
            <v>34500</v>
          </cell>
        </row>
        <row r="164">
          <cell r="A164" t="str">
            <v>184m</v>
          </cell>
          <cell r="B164" t="str">
            <v>Cafe 30 in. Smart Double Electric Wall Oven</v>
          </cell>
          <cell r="C164" t="str">
            <v>Bidding Closed Time Extended</v>
          </cell>
          <cell r="E164">
            <v>5027</v>
          </cell>
          <cell r="F164" t="str">
            <v>Kuralay Kateryne</v>
          </cell>
          <cell r="G164" t="str">
            <v>Kempner Street</v>
          </cell>
          <cell r="H164" t="str">
            <v>TX</v>
          </cell>
          <cell r="I164">
            <v>77477</v>
          </cell>
          <cell r="J164" t="str">
            <v>kydyrbekmir@gmail.com</v>
          </cell>
          <cell r="K164">
            <v>7759994244</v>
          </cell>
          <cell r="M164">
            <v>79000</v>
          </cell>
          <cell r="N164">
            <v>160000</v>
          </cell>
        </row>
        <row r="165">
          <cell r="A165" t="str">
            <v>186m</v>
          </cell>
          <cell r="B165" t="str">
            <v>Gallery 23.3 cu ft French Door Fridge</v>
          </cell>
          <cell r="C165" t="str">
            <v>Bidding Closed</v>
          </cell>
          <cell r="E165">
            <v>5050</v>
          </cell>
          <cell r="F165" t="str">
            <v>Almata Atastana</v>
          </cell>
          <cell r="G165" t="str">
            <v>12603 Executive Drive</v>
          </cell>
          <cell r="H165" t="str">
            <v>TX</v>
          </cell>
          <cell r="I165">
            <v>77477</v>
          </cell>
          <cell r="J165" t="str">
            <v>atxsugarland@gmail.com</v>
          </cell>
          <cell r="M165">
            <v>25000</v>
          </cell>
          <cell r="N165">
            <v>30000</v>
          </cell>
        </row>
        <row r="166">
          <cell r="A166" t="str">
            <v>188m</v>
          </cell>
          <cell r="B166" t="str">
            <v>Samsung Bespoke 29 cu. ft. 4-Door Fr. Fridge</v>
          </cell>
          <cell r="C166" t="str">
            <v>Bidding Closed</v>
          </cell>
          <cell r="E166">
            <v>5065</v>
          </cell>
          <cell r="F166" t="str">
            <v>ashley ackman</v>
          </cell>
          <cell r="G166" t="str">
            <v>12614 Flaxseed Way</v>
          </cell>
          <cell r="H166" t="str">
            <v>TX</v>
          </cell>
          <cell r="I166">
            <v>77477</v>
          </cell>
          <cell r="J166" t="str">
            <v>aackm91@gmail.com</v>
          </cell>
          <cell r="K166">
            <v>7133823034</v>
          </cell>
          <cell r="M166">
            <v>50000</v>
          </cell>
          <cell r="N166">
            <v>50000</v>
          </cell>
        </row>
        <row r="167">
          <cell r="A167" t="str">
            <v>190m</v>
          </cell>
          <cell r="B167" t="str">
            <v>36 in. Wide French Door Fridge White</v>
          </cell>
          <cell r="C167" t="str">
            <v>Bidding Closed Time Extended</v>
          </cell>
          <cell r="E167">
            <v>5061</v>
          </cell>
          <cell r="F167" t="str">
            <v>Luis Flores</v>
          </cell>
          <cell r="G167" t="str">
            <v>21407 Deerhaven dr</v>
          </cell>
          <cell r="H167" t="str">
            <v>TX</v>
          </cell>
          <cell r="I167">
            <v>77388</v>
          </cell>
          <cell r="J167" t="str">
            <v>luisflores0404@gmail.com</v>
          </cell>
          <cell r="K167">
            <v>8329074600</v>
          </cell>
          <cell r="M167">
            <v>45000</v>
          </cell>
          <cell r="N167">
            <v>45000</v>
          </cell>
        </row>
        <row r="168">
          <cell r="A168" t="str">
            <v>192m</v>
          </cell>
          <cell r="B168" t="str">
            <v>Laundry Pedestal 28 W 16 H White -(W4)</v>
          </cell>
          <cell r="C168" t="str">
            <v>Bidding Closed Time Extended</v>
          </cell>
          <cell r="E168">
            <v>5050</v>
          </cell>
          <cell r="F168" t="str">
            <v>Almata Atastana</v>
          </cell>
          <cell r="G168" t="str">
            <v>12603 Executive Drive</v>
          </cell>
          <cell r="H168" t="str">
            <v>TX</v>
          </cell>
          <cell r="I168">
            <v>77477</v>
          </cell>
          <cell r="J168" t="str">
            <v>atxsugarland@gmail.com</v>
          </cell>
          <cell r="M168">
            <v>1850</v>
          </cell>
          <cell r="N168">
            <v>3000</v>
          </cell>
        </row>
        <row r="169">
          <cell r="A169" t="str">
            <v>194m</v>
          </cell>
          <cell r="B169" t="str">
            <v>36" BESPOKE Wall Mount Range Hood in Charcoal -(W4</v>
          </cell>
          <cell r="C169" t="str">
            <v>Bidding Closed</v>
          </cell>
          <cell r="E169">
            <v>5074</v>
          </cell>
          <cell r="F169" t="str">
            <v>Sanzhar Houston</v>
          </cell>
          <cell r="G169" t="str">
            <v>12633 Texas 249</v>
          </cell>
          <cell r="H169" t="str">
            <v>TX</v>
          </cell>
          <cell r="I169">
            <v>77377</v>
          </cell>
          <cell r="J169" t="str">
            <v>jakeoktagon@gmail.com</v>
          </cell>
          <cell r="K169">
            <v>7029605668</v>
          </cell>
          <cell r="M169">
            <v>11000</v>
          </cell>
          <cell r="N169">
            <v>12000</v>
          </cell>
        </row>
        <row r="170">
          <cell r="A170" t="str">
            <v>196m</v>
          </cell>
          <cell r="B170" t="str">
            <v>800 Series 36 in Downdraft Stainless Steel -(W4)</v>
          </cell>
          <cell r="C170" t="str">
            <v>Bidding Closed</v>
          </cell>
          <cell r="E170">
            <v>5050</v>
          </cell>
          <cell r="F170" t="str">
            <v>Almata Atastana</v>
          </cell>
          <cell r="G170" t="str">
            <v>12603 Executive Drive</v>
          </cell>
          <cell r="H170" t="str">
            <v>TX</v>
          </cell>
          <cell r="I170">
            <v>77477</v>
          </cell>
          <cell r="J170" t="str">
            <v>atxsugarland@gmail.com</v>
          </cell>
          <cell r="M170">
            <v>30000</v>
          </cell>
          <cell r="N170">
            <v>30000</v>
          </cell>
        </row>
        <row r="171">
          <cell r="A171" t="str">
            <v>198m</v>
          </cell>
          <cell r="B171" t="str">
            <v>LG STUDIO 36" Induction Cooktop</v>
          </cell>
          <cell r="C171" t="str">
            <v>Bidding Closed</v>
          </cell>
          <cell r="E171">
            <v>5050</v>
          </cell>
          <cell r="F171" t="str">
            <v>Almata Atastana</v>
          </cell>
          <cell r="G171" t="str">
            <v>12603 Executive Drive</v>
          </cell>
          <cell r="H171" t="str">
            <v>TX</v>
          </cell>
          <cell r="I171">
            <v>77477</v>
          </cell>
          <cell r="J171" t="str">
            <v>atxsugarland@gmail.com</v>
          </cell>
          <cell r="M171">
            <v>21000</v>
          </cell>
          <cell r="N171">
            <v>30000</v>
          </cell>
        </row>
        <row r="172">
          <cell r="A172" t="str">
            <v>200m</v>
          </cell>
          <cell r="B172" t="str">
            <v>ProForm Carbon TL Foldable Treadmill -(W3)</v>
          </cell>
          <cell r="C172" t="str">
            <v>Bidding Closed Time Extended</v>
          </cell>
          <cell r="E172">
            <v>5068</v>
          </cell>
          <cell r="F172" t="str">
            <v>Michelle Rubio</v>
          </cell>
          <cell r="G172" t="str">
            <v>3406 Shadycrest Drive</v>
          </cell>
          <cell r="H172" t="str">
            <v>TX</v>
          </cell>
          <cell r="I172">
            <v>77581</v>
          </cell>
          <cell r="J172" t="str">
            <v>mrubio4707@gmail.com</v>
          </cell>
          <cell r="K172">
            <v>7139225570</v>
          </cell>
          <cell r="M172">
            <v>16000</v>
          </cell>
          <cell r="N172">
            <v>16000</v>
          </cell>
        </row>
        <row r="173">
          <cell r="A173" t="str">
            <v>202m</v>
          </cell>
          <cell r="B173" t="str">
            <v>27 in. Laundry Pedestal with Storage Drawer -(W3)</v>
          </cell>
          <cell r="C173" t="str">
            <v>Bidding Closed Time Extended</v>
          </cell>
          <cell r="E173">
            <v>5050</v>
          </cell>
          <cell r="F173" t="str">
            <v>Almata Atastana</v>
          </cell>
          <cell r="G173" t="str">
            <v>12603 Executive Drive</v>
          </cell>
          <cell r="H173" t="str">
            <v>TX</v>
          </cell>
          <cell r="I173">
            <v>77477</v>
          </cell>
          <cell r="J173" t="str">
            <v>atxsugarland@gmail.com</v>
          </cell>
          <cell r="M173">
            <v>3700</v>
          </cell>
          <cell r="N173">
            <v>4000</v>
          </cell>
        </row>
        <row r="174">
          <cell r="A174" t="str">
            <v>204m</v>
          </cell>
          <cell r="B174" t="str">
            <v>JennAir JX3 36" Electric Cooktop Black SS -(W3)</v>
          </cell>
          <cell r="C174" t="str">
            <v>Bidding Closed Time Extended</v>
          </cell>
          <cell r="E174">
            <v>5201</v>
          </cell>
          <cell r="F174" t="str">
            <v>Deborah Donnell</v>
          </cell>
          <cell r="G174" t="str">
            <v>3214 Amber Forest Dr</v>
          </cell>
          <cell r="H174" t="str">
            <v>TX</v>
          </cell>
          <cell r="I174">
            <v>77068</v>
          </cell>
          <cell r="J174" t="str">
            <v>Jkntex@yahoo.com</v>
          </cell>
          <cell r="K174" t="str">
            <v>713-922-1711</v>
          </cell>
          <cell r="M174">
            <v>37000</v>
          </cell>
          <cell r="N174">
            <v>37500</v>
          </cell>
        </row>
        <row r="175">
          <cell r="A175" t="str">
            <v>206m</v>
          </cell>
          <cell r="B175" t="str">
            <v>GE Profile 22.1 cu ft French Door Refrigerator -</v>
          </cell>
          <cell r="C175" t="str">
            <v>Bidding Closed</v>
          </cell>
          <cell r="E175">
            <v>5027</v>
          </cell>
          <cell r="F175" t="str">
            <v>Kuralay Kateryne</v>
          </cell>
          <cell r="G175" t="str">
            <v>Kempner Street</v>
          </cell>
          <cell r="H175" t="str">
            <v>TX</v>
          </cell>
          <cell r="I175">
            <v>77477</v>
          </cell>
          <cell r="J175" t="str">
            <v>kydyrbekmir@gmail.com</v>
          </cell>
          <cell r="K175">
            <v>7759994244</v>
          </cell>
          <cell r="M175">
            <v>20500</v>
          </cell>
          <cell r="N175">
            <v>36000</v>
          </cell>
        </row>
        <row r="176">
          <cell r="A176" t="str">
            <v>208m</v>
          </cell>
          <cell r="B176" t="str">
            <v>Profile 24 2.2 cu ft Built-In Microwave Oven -(W3)</v>
          </cell>
          <cell r="C176" t="str">
            <v>Bidding Closed Time Extended</v>
          </cell>
          <cell r="E176">
            <v>5192</v>
          </cell>
          <cell r="F176" t="str">
            <v>Jesus Salinas</v>
          </cell>
          <cell r="G176" t="str">
            <v>10107 Sagecourt</v>
          </cell>
          <cell r="H176" t="str">
            <v>TX</v>
          </cell>
          <cell r="I176">
            <v>77089</v>
          </cell>
          <cell r="J176" t="str">
            <v>jisalinas87@hotmail.com</v>
          </cell>
          <cell r="K176">
            <v>9568002208</v>
          </cell>
          <cell r="M176">
            <v>7250</v>
          </cell>
          <cell r="N176">
            <v>7250</v>
          </cell>
        </row>
        <row r="177">
          <cell r="A177" t="str">
            <v>210m</v>
          </cell>
          <cell r="B177" t="str">
            <v>GE Profile 2.2-cu ft 1100 -Watt 24.1-in Built-In M</v>
          </cell>
          <cell r="C177" t="str">
            <v>Bidding Closed</v>
          </cell>
          <cell r="E177">
            <v>5123</v>
          </cell>
          <cell r="F177" t="str">
            <v>BEST OZUMBA</v>
          </cell>
          <cell r="G177" t="str">
            <v>25539 cartington ln</v>
          </cell>
          <cell r="H177" t="str">
            <v>TX</v>
          </cell>
          <cell r="I177">
            <v>77493</v>
          </cell>
          <cell r="J177" t="str">
            <v>bozumba@gmail.com</v>
          </cell>
          <cell r="K177" t="str">
            <v>832-282-1308</v>
          </cell>
          <cell r="M177">
            <v>6750</v>
          </cell>
          <cell r="N177">
            <v>6750</v>
          </cell>
        </row>
        <row r="178">
          <cell r="A178" t="str">
            <v>212m</v>
          </cell>
          <cell r="B178" t="str">
            <v>Tonal 2 Home Gym -(W3)</v>
          </cell>
          <cell r="C178" t="str">
            <v>Bidding Closed Time Extended</v>
          </cell>
          <cell r="E178">
            <v>5132</v>
          </cell>
          <cell r="F178" t="str">
            <v>Daniel Arndt</v>
          </cell>
          <cell r="G178" t="str">
            <v>1015 Concord</v>
          </cell>
          <cell r="H178" t="str">
            <v>TX</v>
          </cell>
          <cell r="I178">
            <v>77365</v>
          </cell>
          <cell r="J178" t="str">
            <v>danielarndt11@yahoo.com</v>
          </cell>
          <cell r="K178">
            <v>4094749492</v>
          </cell>
          <cell r="M178">
            <v>70000</v>
          </cell>
          <cell r="N178">
            <v>70000</v>
          </cell>
        </row>
        <row r="179">
          <cell r="A179" t="str">
            <v>214m</v>
          </cell>
          <cell r="B179" t="str">
            <v>27 Inch LG SideKick  Pedestal Washer -(W3)</v>
          </cell>
          <cell r="C179" t="str">
            <v>Bidding Closed</v>
          </cell>
          <cell r="E179">
            <v>5027</v>
          </cell>
          <cell r="F179" t="str">
            <v>Kuralay Kateryne</v>
          </cell>
          <cell r="G179" t="str">
            <v>Kempner Street</v>
          </cell>
          <cell r="H179" t="str">
            <v>TX</v>
          </cell>
          <cell r="I179">
            <v>77477</v>
          </cell>
          <cell r="J179" t="str">
            <v>kydyrbekmir@gmail.com</v>
          </cell>
          <cell r="K179">
            <v>7759994244</v>
          </cell>
          <cell r="M179">
            <v>4800</v>
          </cell>
          <cell r="N179">
            <v>8000</v>
          </cell>
        </row>
        <row r="180">
          <cell r="A180" t="str">
            <v>216m</v>
          </cell>
          <cell r="B180" t="str">
            <v>GE Profile 22.1 cu. ft. French Door Fridge</v>
          </cell>
          <cell r="C180" t="str">
            <v>Bidding Closed Time Extended</v>
          </cell>
          <cell r="E180">
            <v>5092</v>
          </cell>
          <cell r="F180" t="str">
            <v>stephen sykes</v>
          </cell>
          <cell r="G180" t="str">
            <v>3547 old massey ranch rd</v>
          </cell>
          <cell r="H180" t="str">
            <v>TX</v>
          </cell>
          <cell r="I180">
            <v>77578</v>
          </cell>
          <cell r="J180" t="str">
            <v>protechplumbing@live.com</v>
          </cell>
          <cell r="K180" t="str">
            <v>281-932-9049</v>
          </cell>
          <cell r="M180">
            <v>44000</v>
          </cell>
          <cell r="N180">
            <v>44000</v>
          </cell>
        </row>
        <row r="181">
          <cell r="A181" t="str">
            <v>218m</v>
          </cell>
          <cell r="B181" t="str">
            <v>30 in. Convertible Wall-Mount Range Hood</v>
          </cell>
          <cell r="C181" t="str">
            <v>Bidding Closed</v>
          </cell>
          <cell r="E181">
            <v>5027</v>
          </cell>
          <cell r="F181" t="str">
            <v>Kuralay Kateryne</v>
          </cell>
          <cell r="G181" t="str">
            <v>Kempner Street</v>
          </cell>
          <cell r="H181" t="str">
            <v>TX</v>
          </cell>
          <cell r="I181">
            <v>77477</v>
          </cell>
          <cell r="J181" t="str">
            <v>kydyrbekmir@gmail.com</v>
          </cell>
          <cell r="K181">
            <v>7759994244</v>
          </cell>
          <cell r="M181">
            <v>2900</v>
          </cell>
          <cell r="N181">
            <v>7000</v>
          </cell>
        </row>
        <row r="182">
          <cell r="A182" t="str">
            <v>220m</v>
          </cell>
          <cell r="B182" t="str">
            <v>1.6 cu. ft. Over the Range Microwave in White</v>
          </cell>
          <cell r="C182" t="str">
            <v>Bidding Closed Time Extended</v>
          </cell>
          <cell r="E182">
            <v>5076</v>
          </cell>
          <cell r="F182" t="str">
            <v>Virginia Sallot</v>
          </cell>
          <cell r="G182" t="str">
            <v>11306 Sagecreek Drive</v>
          </cell>
          <cell r="H182" t="str">
            <v>TX</v>
          </cell>
          <cell r="I182">
            <v>77089</v>
          </cell>
          <cell r="J182" t="str">
            <v>shine8880@yahoo.com</v>
          </cell>
          <cell r="K182">
            <v>8322490339</v>
          </cell>
          <cell r="M182">
            <v>3800</v>
          </cell>
          <cell r="N182">
            <v>3800</v>
          </cell>
        </row>
        <row r="183">
          <cell r="A183" t="str">
            <v>222m</v>
          </cell>
          <cell r="B183" t="str">
            <v>30 in. Custom Hood Liner</v>
          </cell>
          <cell r="C183" t="str">
            <v>Bidding Closed</v>
          </cell>
          <cell r="E183">
            <v>5027</v>
          </cell>
          <cell r="F183" t="str">
            <v>Kuralay Kateryne</v>
          </cell>
          <cell r="G183" t="str">
            <v>Kempner Street</v>
          </cell>
          <cell r="H183" t="str">
            <v>TX</v>
          </cell>
          <cell r="I183">
            <v>77477</v>
          </cell>
          <cell r="J183" t="str">
            <v>kydyrbekmir@gmail.com</v>
          </cell>
          <cell r="K183">
            <v>7759994244</v>
          </cell>
          <cell r="M183">
            <v>1900</v>
          </cell>
          <cell r="N183">
            <v>8000</v>
          </cell>
        </row>
        <row r="184">
          <cell r="A184" t="str">
            <v>224m</v>
          </cell>
          <cell r="B184" t="str">
            <v>GE Profile 2.2-cu ft 1100 -Watt 24.1-in Built-In M</v>
          </cell>
          <cell r="C184" t="str">
            <v>Bidding Closed Time Extended</v>
          </cell>
          <cell r="E184">
            <v>5027</v>
          </cell>
          <cell r="F184" t="str">
            <v>Kuralay Kateryne</v>
          </cell>
          <cell r="G184" t="str">
            <v>Kempner Street</v>
          </cell>
          <cell r="H184" t="str">
            <v>TX</v>
          </cell>
          <cell r="I184">
            <v>77477</v>
          </cell>
          <cell r="J184" t="str">
            <v>kydyrbekmir@gmail.com</v>
          </cell>
          <cell r="K184">
            <v>7759994244</v>
          </cell>
          <cell r="M184">
            <v>4100</v>
          </cell>
          <cell r="N184">
            <v>5500</v>
          </cell>
        </row>
        <row r="185">
          <cell r="A185" t="str">
            <v>226m</v>
          </cell>
          <cell r="B185" t="str">
            <v>STUDIO 30" 1.7 cu ft Microwave Oven -(D)</v>
          </cell>
          <cell r="C185" t="str">
            <v>Bidding Closed</v>
          </cell>
          <cell r="E185">
            <v>5214</v>
          </cell>
          <cell r="F185" t="str">
            <v>Ha Nguyen</v>
          </cell>
          <cell r="G185" t="str">
            <v>3424 East Circle Drive</v>
          </cell>
          <cell r="H185" t="str">
            <v>TX</v>
          </cell>
          <cell r="I185">
            <v>77581</v>
          </cell>
          <cell r="J185" t="str">
            <v>hanguyen2468@gmail.com</v>
          </cell>
          <cell r="K185">
            <v>8328766812</v>
          </cell>
          <cell r="M185">
            <v>16500</v>
          </cell>
          <cell r="N185">
            <v>16500</v>
          </cell>
        </row>
        <row r="186">
          <cell r="A186" t="str">
            <v>228m</v>
          </cell>
          <cell r="B186" t="str">
            <v>30 in. Under-Cab Hood w/ LED (Stainless) -(D)</v>
          </cell>
          <cell r="C186" t="str">
            <v>Bidding Closed Time Extended</v>
          </cell>
          <cell r="E186">
            <v>5050</v>
          </cell>
          <cell r="F186" t="str">
            <v>Almata Atastana</v>
          </cell>
          <cell r="G186" t="str">
            <v>12603 Executive Drive</v>
          </cell>
          <cell r="H186" t="str">
            <v>TX</v>
          </cell>
          <cell r="I186">
            <v>77477</v>
          </cell>
          <cell r="J186" t="str">
            <v>atxsugarland@gmail.com</v>
          </cell>
          <cell r="M186">
            <v>2500</v>
          </cell>
          <cell r="N186">
            <v>2500</v>
          </cell>
        </row>
        <row r="187">
          <cell r="A187" t="str">
            <v>230m</v>
          </cell>
          <cell r="B187" t="str">
            <v>30 in. 4-Burner Electric Cooktop Black -(W3)</v>
          </cell>
          <cell r="C187" t="str">
            <v>Bidding Closed Time Extended</v>
          </cell>
          <cell r="E187">
            <v>5050</v>
          </cell>
          <cell r="F187" t="str">
            <v>Almata Atastana</v>
          </cell>
          <cell r="G187" t="str">
            <v>12603 Executive Drive</v>
          </cell>
          <cell r="H187" t="str">
            <v>TX</v>
          </cell>
          <cell r="I187">
            <v>77477</v>
          </cell>
          <cell r="J187" t="str">
            <v>atxsugarland@gmail.com</v>
          </cell>
          <cell r="M187">
            <v>2900</v>
          </cell>
          <cell r="N187">
            <v>23000</v>
          </cell>
        </row>
        <row r="188">
          <cell r="A188" t="str">
            <v>232m</v>
          </cell>
          <cell r="B188" t="str">
            <v>15.5 in Laundry Pedestal with Storage Drawer -(D)</v>
          </cell>
          <cell r="C188" t="str">
            <v>Bidding Closed</v>
          </cell>
          <cell r="E188">
            <v>5050</v>
          </cell>
          <cell r="F188" t="str">
            <v>Almata Atastana</v>
          </cell>
          <cell r="G188" t="str">
            <v>12603 Executive Drive</v>
          </cell>
          <cell r="H188" t="str">
            <v>TX</v>
          </cell>
          <cell r="I188">
            <v>77477</v>
          </cell>
          <cell r="J188" t="str">
            <v>atxsugarland@gmail.com</v>
          </cell>
          <cell r="M188">
            <v>2800</v>
          </cell>
          <cell r="N188">
            <v>4000</v>
          </cell>
        </row>
        <row r="189">
          <cell r="A189" t="str">
            <v>234m</v>
          </cell>
          <cell r="B189" t="str">
            <v>36 in. Stainless Hood 585 CFM Light -(D)</v>
          </cell>
          <cell r="C189" t="str">
            <v>Bidding Closed Time Extended</v>
          </cell>
          <cell r="E189">
            <v>5123</v>
          </cell>
          <cell r="F189" t="str">
            <v>BEST OZUMBA</v>
          </cell>
          <cell r="G189" t="str">
            <v>25539 cartington ln</v>
          </cell>
          <cell r="H189" t="str">
            <v>TX</v>
          </cell>
          <cell r="I189">
            <v>77493</v>
          </cell>
          <cell r="J189" t="str">
            <v>bozumba@gmail.com</v>
          </cell>
          <cell r="K189" t="str">
            <v>832-282-1308</v>
          </cell>
          <cell r="M189">
            <v>20000</v>
          </cell>
          <cell r="N189">
            <v>20000</v>
          </cell>
        </row>
        <row r="190">
          <cell r="A190" t="str">
            <v>236m</v>
          </cell>
          <cell r="B190" t="str">
            <v>300 Series 30" Wall Mount Hood with Light</v>
          </cell>
          <cell r="C190" t="str">
            <v>Bidding Closed Time Extended</v>
          </cell>
          <cell r="E190">
            <v>5123</v>
          </cell>
          <cell r="F190" t="str">
            <v>BEST OZUMBA</v>
          </cell>
          <cell r="G190" t="str">
            <v>25539 cartington ln</v>
          </cell>
          <cell r="H190" t="str">
            <v>TX</v>
          </cell>
          <cell r="I190">
            <v>77493</v>
          </cell>
          <cell r="J190" t="str">
            <v>bozumba@gmail.com</v>
          </cell>
          <cell r="K190" t="str">
            <v>832-282-1308</v>
          </cell>
          <cell r="M190">
            <v>14500</v>
          </cell>
          <cell r="N190">
            <v>14500</v>
          </cell>
        </row>
        <row r="191">
          <cell r="A191" t="str">
            <v>238m</v>
          </cell>
          <cell r="B191" t="str">
            <v>Urevo 2-In-1 Folding Walking Pad Treadmill</v>
          </cell>
          <cell r="C191" t="str">
            <v>Bidding Closed Time Extended</v>
          </cell>
          <cell r="E191">
            <v>5222</v>
          </cell>
          <cell r="F191" t="str">
            <v>juan fong</v>
          </cell>
          <cell r="G191" t="str">
            <v>5401 CHIMNEY ROCK RD APT 1025</v>
          </cell>
          <cell r="H191" t="str">
            <v>TX</v>
          </cell>
          <cell r="I191">
            <v>77081</v>
          </cell>
          <cell r="J191" t="str">
            <v>Jcfong@jancocleaning.com</v>
          </cell>
          <cell r="K191" t="str">
            <v>346-754-4771</v>
          </cell>
          <cell r="M191">
            <v>6750</v>
          </cell>
          <cell r="N191">
            <v>6750</v>
          </cell>
        </row>
        <row r="192">
          <cell r="A192" t="str">
            <v>240m</v>
          </cell>
          <cell r="B192" t="str">
            <v>KitchenAid 30" Convertible Wall Range Hood</v>
          </cell>
          <cell r="C192" t="str">
            <v>Bidding Closed Time Extended</v>
          </cell>
          <cell r="E192">
            <v>5071</v>
          </cell>
          <cell r="F192" t="str">
            <v>Yesset Karayev</v>
          </cell>
          <cell r="G192" t="str">
            <v>11412s autumn hill drive</v>
          </cell>
          <cell r="H192" t="str">
            <v>UT</v>
          </cell>
          <cell r="I192">
            <v>84094</v>
          </cell>
          <cell r="J192" t="str">
            <v>contest.kz@gmail.com</v>
          </cell>
          <cell r="K192">
            <v>8018360895</v>
          </cell>
          <cell r="M192">
            <v>12500</v>
          </cell>
          <cell r="N192">
            <v>17000</v>
          </cell>
        </row>
        <row r="193">
          <cell r="A193" t="str">
            <v>242m</v>
          </cell>
          <cell r="B193" t="str">
            <v>500 Series 36 in. Box Canopy Hood -(C)</v>
          </cell>
          <cell r="C193" t="str">
            <v>Bidding Closed</v>
          </cell>
          <cell r="E193">
            <v>5071</v>
          </cell>
          <cell r="F193" t="str">
            <v>Yesset Karayev</v>
          </cell>
          <cell r="G193" t="str">
            <v>11412s autumn hill drive</v>
          </cell>
          <cell r="H193" t="str">
            <v>UT</v>
          </cell>
          <cell r="I193">
            <v>84094</v>
          </cell>
          <cell r="J193" t="str">
            <v>contest.kz@gmail.com</v>
          </cell>
          <cell r="K193">
            <v>8018360895</v>
          </cell>
          <cell r="M193">
            <v>7750</v>
          </cell>
          <cell r="N193">
            <v>18000</v>
          </cell>
        </row>
        <row r="194">
          <cell r="A194" t="str">
            <v>244m</v>
          </cell>
          <cell r="B194" t="str">
            <v>Thermador 36" Gas Rangetop w/ 4 Burners -(W3)</v>
          </cell>
          <cell r="C194" t="str">
            <v>Bidding Closed</v>
          </cell>
          <cell r="E194">
            <v>5092</v>
          </cell>
          <cell r="F194" t="str">
            <v>stephen sykes</v>
          </cell>
          <cell r="G194" t="str">
            <v>3547 old massey ranch rd</v>
          </cell>
          <cell r="H194" t="str">
            <v>TX</v>
          </cell>
          <cell r="I194">
            <v>77578</v>
          </cell>
          <cell r="J194" t="str">
            <v>protechplumbing@live.com</v>
          </cell>
          <cell r="K194" t="str">
            <v>281-932-9049</v>
          </cell>
          <cell r="M194">
            <v>53400</v>
          </cell>
          <cell r="N194">
            <v>53400</v>
          </cell>
        </row>
        <row r="195">
          <cell r="A195" t="str">
            <v>246m</v>
          </cell>
          <cell r="B195" t="str">
            <v>KitchenAid 36" Gas Cooktop 5 Burners</v>
          </cell>
          <cell r="C195" t="str">
            <v>Bidding Closed Time Extended</v>
          </cell>
          <cell r="E195">
            <v>5221</v>
          </cell>
          <cell r="F195" t="str">
            <v>Adam Munoz</v>
          </cell>
          <cell r="G195" t="str">
            <v>3439 Holliday Rd</v>
          </cell>
          <cell r="H195" t="str">
            <v>TX</v>
          </cell>
          <cell r="I195">
            <v>75224</v>
          </cell>
          <cell r="J195" t="str">
            <v>Adammunoz@me.com</v>
          </cell>
          <cell r="K195">
            <v>4696629991</v>
          </cell>
          <cell r="M195">
            <v>41000</v>
          </cell>
          <cell r="N195">
            <v>41000</v>
          </cell>
        </row>
        <row r="196">
          <cell r="A196" t="str">
            <v>248m</v>
          </cell>
          <cell r="B196" t="str">
            <v>Samsung 1.1 cu ft OTR Microwave (Black)</v>
          </cell>
          <cell r="C196" t="str">
            <v>Bidding Closed</v>
          </cell>
          <cell r="E196">
            <v>5027</v>
          </cell>
          <cell r="F196" t="str">
            <v>Kuralay Kateryne</v>
          </cell>
          <cell r="G196" t="str">
            <v>Kempner Street</v>
          </cell>
          <cell r="H196" t="str">
            <v>TX</v>
          </cell>
          <cell r="I196">
            <v>77477</v>
          </cell>
          <cell r="J196" t="str">
            <v>kydyrbekmir@gmail.com</v>
          </cell>
          <cell r="K196">
            <v>7759994244</v>
          </cell>
          <cell r="M196">
            <v>4300</v>
          </cell>
          <cell r="N196">
            <v>5500</v>
          </cell>
        </row>
        <row r="197">
          <cell r="A197" t="str">
            <v>250m</v>
          </cell>
          <cell r="B197" t="str">
            <v>36 in. Smart Range Hood with Light Stainless -(W3</v>
          </cell>
          <cell r="C197" t="str">
            <v>Bidding Closed Time Extended</v>
          </cell>
          <cell r="E197">
            <v>5123</v>
          </cell>
          <cell r="F197" t="str">
            <v>BEST OZUMBA</v>
          </cell>
          <cell r="G197" t="str">
            <v>25539 cartington ln</v>
          </cell>
          <cell r="H197" t="str">
            <v>TX</v>
          </cell>
          <cell r="I197">
            <v>77493</v>
          </cell>
          <cell r="J197" t="str">
            <v>bozumba@gmail.com</v>
          </cell>
          <cell r="K197" t="str">
            <v>832-282-1308</v>
          </cell>
          <cell r="M197">
            <v>9250</v>
          </cell>
          <cell r="N197">
            <v>9250</v>
          </cell>
        </row>
        <row r="198">
          <cell r="A198" t="str">
            <v>252m</v>
          </cell>
          <cell r="B198" t="str">
            <v>LG 30" Built-In Gas Cooktop 5 Burners</v>
          </cell>
          <cell r="C198" t="str">
            <v>Bidding Closed</v>
          </cell>
          <cell r="E198">
            <v>5055</v>
          </cell>
          <cell r="F198" t="str">
            <v>Sean Moss</v>
          </cell>
          <cell r="G198" t="str">
            <v>4114 palmer plantation</v>
          </cell>
          <cell r="H198" t="str">
            <v>TX</v>
          </cell>
          <cell r="I198">
            <v>77459</v>
          </cell>
          <cell r="J198" t="str">
            <v>seanmos12@gmail.com</v>
          </cell>
          <cell r="K198">
            <v>7137257965</v>
          </cell>
          <cell r="M198">
            <v>14500</v>
          </cell>
          <cell r="N198">
            <v>14500</v>
          </cell>
        </row>
        <row r="199">
          <cell r="A199" t="str">
            <v>254m</v>
          </cell>
          <cell r="B199" t="str">
            <v>Twister 28 in Convertible Range Hood with LED</v>
          </cell>
          <cell r="C199" t="str">
            <v>Bidding Closed</v>
          </cell>
          <cell r="E199">
            <v>5027</v>
          </cell>
          <cell r="F199" t="str">
            <v>Kuralay Kateryne</v>
          </cell>
          <cell r="G199" t="str">
            <v>Kempner Street</v>
          </cell>
          <cell r="H199" t="str">
            <v>TX</v>
          </cell>
          <cell r="I199">
            <v>77477</v>
          </cell>
          <cell r="J199" t="str">
            <v>kydyrbekmir@gmail.com</v>
          </cell>
          <cell r="K199">
            <v>7759994244</v>
          </cell>
          <cell r="M199">
            <v>3600</v>
          </cell>
          <cell r="N199">
            <v>8000</v>
          </cell>
        </row>
        <row r="200">
          <cell r="A200" t="str">
            <v>256m</v>
          </cell>
          <cell r="B200" t="str">
            <v>Breeze II 30" 400 CFM Under Cabinet Hood</v>
          </cell>
          <cell r="C200" t="str">
            <v>Bidding Closed</v>
          </cell>
          <cell r="E200">
            <v>5027</v>
          </cell>
          <cell r="F200" t="str">
            <v>Kuralay Kateryne</v>
          </cell>
          <cell r="G200" t="str">
            <v>Kempner Street</v>
          </cell>
          <cell r="H200" t="str">
            <v>TX</v>
          </cell>
          <cell r="I200">
            <v>77477</v>
          </cell>
          <cell r="J200" t="str">
            <v>kydyrbekmir@gmail.com</v>
          </cell>
          <cell r="K200">
            <v>7759994244</v>
          </cell>
          <cell r="M200">
            <v>500</v>
          </cell>
          <cell r="N200">
            <v>5500</v>
          </cell>
        </row>
        <row r="201">
          <cell r="A201" t="str">
            <v>258m</v>
          </cell>
          <cell r="B201" t="str">
            <v>15.5 in. White Laundry Pedestal with Drawer</v>
          </cell>
          <cell r="C201" t="str">
            <v>Bidding Closed</v>
          </cell>
          <cell r="E201">
            <v>5050</v>
          </cell>
          <cell r="F201" t="str">
            <v>Almata Atastana</v>
          </cell>
          <cell r="G201" t="str">
            <v>12603 Executive Drive</v>
          </cell>
          <cell r="H201" t="str">
            <v>TX</v>
          </cell>
          <cell r="I201">
            <v>77477</v>
          </cell>
          <cell r="J201" t="str">
            <v>atxsugarland@gmail.com</v>
          </cell>
          <cell r="M201">
            <v>2900</v>
          </cell>
          <cell r="N201">
            <v>3500</v>
          </cell>
        </row>
        <row r="202">
          <cell r="A202" t="str">
            <v>260m</v>
          </cell>
          <cell r="B202" t="str">
            <v>Velvet Convertible Sleeper Sofa Couch with Storage</v>
          </cell>
          <cell r="C202" t="str">
            <v>Bidding Closed</v>
          </cell>
          <cell r="E202">
            <v>5126</v>
          </cell>
          <cell r="F202" t="str">
            <v>Bukky Majek</v>
          </cell>
          <cell r="G202" t="str">
            <v>27006 Franklin Park Dr</v>
          </cell>
          <cell r="H202" t="str">
            <v>TX</v>
          </cell>
          <cell r="I202">
            <v>77494</v>
          </cell>
          <cell r="J202" t="str">
            <v>bukola@teedayusa.com</v>
          </cell>
          <cell r="K202">
            <v>8324751194</v>
          </cell>
          <cell r="M202">
            <v>20200</v>
          </cell>
          <cell r="N202">
            <v>20200</v>
          </cell>
        </row>
        <row r="203">
          <cell r="A203" t="str">
            <v>262m</v>
          </cell>
          <cell r="B203" t="str">
            <v>71" x 34" Freestanding Soaking Bathtub</v>
          </cell>
          <cell r="C203" t="str">
            <v>Bidding Closed</v>
          </cell>
          <cell r="E203">
            <v>5027</v>
          </cell>
          <cell r="F203" t="str">
            <v>Kuralay Kateryne</v>
          </cell>
          <cell r="G203" t="str">
            <v>Kempner Street</v>
          </cell>
          <cell r="H203" t="str">
            <v>TX</v>
          </cell>
          <cell r="I203">
            <v>77477</v>
          </cell>
          <cell r="J203" t="str">
            <v>kydyrbekmir@gmail.com</v>
          </cell>
          <cell r="K203">
            <v>7759994244</v>
          </cell>
          <cell r="M203">
            <v>3600</v>
          </cell>
          <cell r="N203">
            <v>5000</v>
          </cell>
        </row>
        <row r="204">
          <cell r="A204" t="str">
            <v>264m</v>
          </cell>
          <cell r="B204" t="str">
            <v>27-in Laundry Pedestal Samsung WD53DBA900HZ</v>
          </cell>
          <cell r="C204" t="str">
            <v>Bidding Closed</v>
          </cell>
          <cell r="E204">
            <v>5050</v>
          </cell>
          <cell r="F204" t="str">
            <v>Almata Atastana</v>
          </cell>
          <cell r="G204" t="str">
            <v>12603 Executive Drive</v>
          </cell>
          <cell r="H204" t="str">
            <v>TX</v>
          </cell>
          <cell r="I204">
            <v>77477</v>
          </cell>
          <cell r="J204" t="str">
            <v>atxsugarland@gmail.com</v>
          </cell>
          <cell r="M204">
            <v>2900</v>
          </cell>
          <cell r="N204">
            <v>3000</v>
          </cell>
        </row>
        <row r="205">
          <cell r="A205" t="str">
            <v>266m</v>
          </cell>
          <cell r="B205" t="str">
            <v>(W4) Garrell 46 Round Dining Table Mid-Century Ro</v>
          </cell>
          <cell r="C205" t="str">
            <v>Bidding Closed Time Extended</v>
          </cell>
          <cell r="E205">
            <v>5229</v>
          </cell>
          <cell r="F205" t="str">
            <v>Maddu Uday</v>
          </cell>
          <cell r="G205" t="str">
            <v>3030 Dunvale Rd Apt 3105</v>
          </cell>
          <cell r="H205" t="str">
            <v>TX</v>
          </cell>
          <cell r="I205">
            <v>77063</v>
          </cell>
          <cell r="J205" t="str">
            <v>udayshankarmaddu@gmail.com</v>
          </cell>
          <cell r="K205">
            <v>8329294592</v>
          </cell>
          <cell r="M205">
            <v>3600</v>
          </cell>
          <cell r="N205">
            <v>3600</v>
          </cell>
        </row>
      </sheetData>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24" connectionId="5" xr16:uid="{3E2426F4-4C8E-4438-AC30-1362A2BD2D4B}"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s23" connectionId="4" xr16:uid="{98BABDED-A542-436A-A319-8B1E8B902F23}" autoFormatId="16" applyNumberFormats="0" applyBorderFormats="0" applyFontFormats="0" applyPatternFormats="0"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s22" connectionId="3" xr16:uid="{5DEE7792-B6C2-47D3-9A97-FB2BC4252B85}" autoFormatId="16" applyNumberFormats="0" applyBorderFormats="0" applyFontFormats="0" applyPatternFormats="0"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s21" connectionId="2" xr16:uid="{47B31DCB-1D0B-4931-9881-BC3F3BA28C5A}" autoFormatId="16" applyNumberFormats="0" applyBorderFormats="0" applyFontFormats="0" applyPatternFormats="0"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s20" connectionId="1" xr16:uid="{8E3D3A18-421B-40C8-A3D2-BF325865BEF2}" autoFormatId="16" applyNumberFormats="0" applyBorderFormats="0" applyFontFormats="0" applyPatternFormats="0"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Sugarland_24" connectionId="6" xr16:uid="{00000000-0016-0000-0100-000000000000}" autoFormatId="16" applyNumberFormats="0" applyBorderFormats="0" applyFontFormats="0" applyPatternFormats="0"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Sugarland_25" connectionId="7" xr16:uid="{C95A442E-6490-40B4-9B29-21C59AA7C806}"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 Id="rId5" Type="http://schemas.openxmlformats.org/officeDocument/2006/relationships/queryTable" Target="../queryTables/queryTable5.xml"/><Relationship Id="rId4" Type="http://schemas.openxmlformats.org/officeDocument/2006/relationships/queryTable" Target="../queryTables/queryTable4.xml"/></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6.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queryTable" Target="../queryTables/queryTable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3"/>
  <sheetViews>
    <sheetView workbookViewId="0">
      <selection activeCell="E16" sqref="E16"/>
    </sheetView>
  </sheetViews>
  <sheetFormatPr defaultRowHeight="15.05" x14ac:dyDescent="0.3"/>
  <sheetData>
    <row r="1" spans="1:6" x14ac:dyDescent="0.3">
      <c r="A1" t="s">
        <v>0</v>
      </c>
    </row>
    <row r="2" spans="1:6" x14ac:dyDescent="0.3">
      <c r="A2" t="s">
        <v>1</v>
      </c>
    </row>
    <row r="3" spans="1:6" x14ac:dyDescent="0.3">
      <c r="A3" t="s">
        <v>2</v>
      </c>
    </row>
    <row r="4" spans="1:6" x14ac:dyDescent="0.3">
      <c r="A4" t="s">
        <v>3</v>
      </c>
      <c r="B4" t="s">
        <v>4</v>
      </c>
      <c r="C4" t="s">
        <v>5</v>
      </c>
    </row>
    <row r="5" spans="1:6" x14ac:dyDescent="0.3">
      <c r="A5" t="s">
        <v>6</v>
      </c>
    </row>
    <row r="6" spans="1:6" x14ac:dyDescent="0.3">
      <c r="A6" t="s">
        <v>7</v>
      </c>
    </row>
    <row r="7" spans="1:6" x14ac:dyDescent="0.3">
      <c r="A7" t="s">
        <v>8</v>
      </c>
    </row>
    <row r="8" spans="1:6" x14ac:dyDescent="0.3">
      <c r="A8" t="s">
        <v>9</v>
      </c>
    </row>
    <row r="9" spans="1:6" x14ac:dyDescent="0.3">
      <c r="A9" t="s">
        <v>10</v>
      </c>
    </row>
    <row r="10" spans="1:6" x14ac:dyDescent="0.3">
      <c r="A10" t="s">
        <v>11</v>
      </c>
      <c r="B10" t="s">
        <v>12</v>
      </c>
      <c r="C10" t="s">
        <v>13</v>
      </c>
      <c r="D10" t="s">
        <v>14</v>
      </c>
      <c r="E10" t="s">
        <v>15</v>
      </c>
      <c r="F10" t="s">
        <v>16</v>
      </c>
    </row>
    <row r="11" spans="1:6" x14ac:dyDescent="0.3">
      <c r="A11" t="s">
        <v>17</v>
      </c>
    </row>
    <row r="12" spans="1:6" x14ac:dyDescent="0.3">
      <c r="A12" t="s">
        <v>18</v>
      </c>
    </row>
    <row r="13" spans="1:6" x14ac:dyDescent="0.3">
      <c r="A13" t="s">
        <v>19</v>
      </c>
      <c r="B13" t="s">
        <v>20</v>
      </c>
    </row>
    <row r="14" spans="1:6" x14ac:dyDescent="0.3">
      <c r="A14" t="s">
        <v>21</v>
      </c>
    </row>
    <row r="15" spans="1:6" x14ac:dyDescent="0.3">
      <c r="A15" t="s">
        <v>22</v>
      </c>
    </row>
    <row r="16" spans="1:6" x14ac:dyDescent="0.3">
      <c r="A16" t="s">
        <v>23</v>
      </c>
    </row>
    <row r="17" spans="1:5" x14ac:dyDescent="0.3">
      <c r="A17" t="s">
        <v>24</v>
      </c>
    </row>
    <row r="18" spans="1:5" x14ac:dyDescent="0.3">
      <c r="A18" t="s">
        <v>25</v>
      </c>
      <c r="B18" t="s">
        <v>26</v>
      </c>
      <c r="C18" t="s">
        <v>27</v>
      </c>
      <c r="D18" t="s">
        <v>28</v>
      </c>
      <c r="E18" t="s">
        <v>29</v>
      </c>
    </row>
    <row r="19" spans="1:5" x14ac:dyDescent="0.3">
      <c r="A19" t="s">
        <v>30</v>
      </c>
    </row>
    <row r="20" spans="1:5" x14ac:dyDescent="0.3">
      <c r="A20" t="s">
        <v>31</v>
      </c>
    </row>
    <row r="21" spans="1:5" x14ac:dyDescent="0.3">
      <c r="A21" t="s">
        <v>32</v>
      </c>
    </row>
    <row r="22" spans="1:5" x14ac:dyDescent="0.3">
      <c r="A22" t="s">
        <v>33</v>
      </c>
    </row>
    <row r="23" spans="1:5" x14ac:dyDescent="0.3">
      <c r="A23" t="s">
        <v>34</v>
      </c>
    </row>
    <row r="24" spans="1:5" x14ac:dyDescent="0.3">
      <c r="A24" t="s">
        <v>35</v>
      </c>
    </row>
    <row r="25" spans="1:5" x14ac:dyDescent="0.3">
      <c r="A25" t="s">
        <v>36</v>
      </c>
    </row>
    <row r="26" spans="1:5" x14ac:dyDescent="0.3">
      <c r="A26" t="s">
        <v>37</v>
      </c>
    </row>
    <row r="27" spans="1:5" x14ac:dyDescent="0.3">
      <c r="A27" t="s">
        <v>38</v>
      </c>
    </row>
    <row r="28" spans="1:5" x14ac:dyDescent="0.3">
      <c r="A28" t="s">
        <v>39</v>
      </c>
    </row>
    <row r="29" spans="1:5" x14ac:dyDescent="0.3">
      <c r="A29" t="s">
        <v>40</v>
      </c>
    </row>
    <row r="30" spans="1:5" x14ac:dyDescent="0.3">
      <c r="A30" t="s">
        <v>41</v>
      </c>
    </row>
    <row r="31" spans="1:5" x14ac:dyDescent="0.3">
      <c r="A31" t="s">
        <v>42</v>
      </c>
    </row>
    <row r="32" spans="1:5" x14ac:dyDescent="0.3">
      <c r="A32" t="s">
        <v>43</v>
      </c>
    </row>
    <row r="33" spans="1:1" x14ac:dyDescent="0.3">
      <c r="A33" t="s">
        <v>44</v>
      </c>
    </row>
    <row r="34" spans="1:1" x14ac:dyDescent="0.3">
      <c r="A34" t="s">
        <v>45</v>
      </c>
    </row>
    <row r="35" spans="1:1" x14ac:dyDescent="0.3">
      <c r="A35" t="s">
        <v>46</v>
      </c>
    </row>
    <row r="36" spans="1:1" x14ac:dyDescent="0.3">
      <c r="A36" t="s">
        <v>47</v>
      </c>
    </row>
    <row r="37" spans="1:1" x14ac:dyDescent="0.3">
      <c r="A37" t="s">
        <v>48</v>
      </c>
    </row>
    <row r="38" spans="1:1" x14ac:dyDescent="0.3">
      <c r="A38" t="s">
        <v>49</v>
      </c>
    </row>
    <row r="39" spans="1:1" x14ac:dyDescent="0.3">
      <c r="A39" t="s">
        <v>50</v>
      </c>
    </row>
    <row r="40" spans="1:1" x14ac:dyDescent="0.3">
      <c r="A40" t="s">
        <v>51</v>
      </c>
    </row>
    <row r="41" spans="1:1" x14ac:dyDescent="0.3">
      <c r="A41" t="s">
        <v>52</v>
      </c>
    </row>
    <row r="42" spans="1:1" x14ac:dyDescent="0.3">
      <c r="A42" t="s">
        <v>53</v>
      </c>
    </row>
    <row r="43" spans="1:1" x14ac:dyDescent="0.3">
      <c r="A43" t="s">
        <v>54</v>
      </c>
    </row>
    <row r="44" spans="1:1" x14ac:dyDescent="0.3">
      <c r="A44" t="s">
        <v>55</v>
      </c>
    </row>
    <row r="45" spans="1:1" x14ac:dyDescent="0.3">
      <c r="A45" t="s">
        <v>56</v>
      </c>
    </row>
    <row r="46" spans="1:1" x14ac:dyDescent="0.3">
      <c r="A46" t="s">
        <v>57</v>
      </c>
    </row>
    <row r="47" spans="1:1" x14ac:dyDescent="0.3">
      <c r="A47" t="s">
        <v>58</v>
      </c>
    </row>
    <row r="48" spans="1:1" x14ac:dyDescent="0.3">
      <c r="A48" t="s">
        <v>59</v>
      </c>
    </row>
    <row r="49" spans="1:4" x14ac:dyDescent="0.3">
      <c r="A49" t="s">
        <v>60</v>
      </c>
    </row>
    <row r="50" spans="1:4" x14ac:dyDescent="0.3">
      <c r="A50" t="s">
        <v>61</v>
      </c>
    </row>
    <row r="51" spans="1:4" x14ac:dyDescent="0.3">
      <c r="A51" t="s">
        <v>62</v>
      </c>
    </row>
    <row r="52" spans="1:4" x14ac:dyDescent="0.3">
      <c r="A52" t="s">
        <v>63</v>
      </c>
    </row>
    <row r="53" spans="1:4" x14ac:dyDescent="0.3">
      <c r="A53" t="s">
        <v>64</v>
      </c>
    </row>
    <row r="54" spans="1:4" x14ac:dyDescent="0.3">
      <c r="A54" t="s">
        <v>65</v>
      </c>
    </row>
    <row r="55" spans="1:4" x14ac:dyDescent="0.3">
      <c r="A55" t="s">
        <v>66</v>
      </c>
    </row>
    <row r="56" spans="1:4" x14ac:dyDescent="0.3">
      <c r="A56" t="s">
        <v>67</v>
      </c>
    </row>
    <row r="57" spans="1:4" x14ac:dyDescent="0.3">
      <c r="A57" t="s">
        <v>68</v>
      </c>
    </row>
    <row r="58" spans="1:4" x14ac:dyDescent="0.3">
      <c r="A58" t="s">
        <v>69</v>
      </c>
    </row>
    <row r="59" spans="1:4" x14ac:dyDescent="0.3">
      <c r="A59" t="s">
        <v>70</v>
      </c>
    </row>
    <row r="60" spans="1:4" x14ac:dyDescent="0.3">
      <c r="A60" t="s">
        <v>71</v>
      </c>
    </row>
    <row r="61" spans="1:4" x14ac:dyDescent="0.3">
      <c r="A61" t="s">
        <v>72</v>
      </c>
    </row>
    <row r="62" spans="1:4" x14ac:dyDescent="0.3">
      <c r="A62" t="s">
        <v>73</v>
      </c>
    </row>
    <row r="63" spans="1:4" x14ac:dyDescent="0.3">
      <c r="A63" t="s">
        <v>74</v>
      </c>
    </row>
    <row r="64" spans="1:4" x14ac:dyDescent="0.3">
      <c r="A64" t="s">
        <v>75</v>
      </c>
      <c r="B64" t="s">
        <v>76</v>
      </c>
      <c r="C64" t="s">
        <v>77</v>
      </c>
      <c r="D64" t="s">
        <v>78</v>
      </c>
    </row>
    <row r="65" spans="1:2" x14ac:dyDescent="0.3">
      <c r="A65" t="s">
        <v>79</v>
      </c>
    </row>
    <row r="66" spans="1:2" x14ac:dyDescent="0.3">
      <c r="A66" t="s">
        <v>80</v>
      </c>
    </row>
    <row r="67" spans="1:2" x14ac:dyDescent="0.3">
      <c r="A67" t="s">
        <v>81</v>
      </c>
    </row>
    <row r="68" spans="1:2" x14ac:dyDescent="0.3">
      <c r="A68" t="s">
        <v>82</v>
      </c>
    </row>
    <row r="69" spans="1:2" x14ac:dyDescent="0.3">
      <c r="A69" t="s">
        <v>83</v>
      </c>
    </row>
    <row r="70" spans="1:2" x14ac:dyDescent="0.3">
      <c r="A70" t="s">
        <v>84</v>
      </c>
    </row>
    <row r="71" spans="1:2" x14ac:dyDescent="0.3">
      <c r="A71" t="s">
        <v>85</v>
      </c>
    </row>
    <row r="72" spans="1:2" x14ac:dyDescent="0.3">
      <c r="A72" t="s">
        <v>86</v>
      </c>
    </row>
    <row r="73" spans="1:2" x14ac:dyDescent="0.3">
      <c r="A73" t="s">
        <v>87</v>
      </c>
    </row>
    <row r="74" spans="1:2" x14ac:dyDescent="0.3">
      <c r="A74" t="s">
        <v>88</v>
      </c>
    </row>
    <row r="75" spans="1:2" x14ac:dyDescent="0.3">
      <c r="A75" t="s">
        <v>89</v>
      </c>
    </row>
    <row r="76" spans="1:2" x14ac:dyDescent="0.3">
      <c r="A76" t="s">
        <v>90</v>
      </c>
      <c r="B76" t="s">
        <v>91</v>
      </c>
    </row>
    <row r="77" spans="1:2" x14ac:dyDescent="0.3">
      <c r="A77" t="s">
        <v>92</v>
      </c>
    </row>
    <row r="78" spans="1:2" x14ac:dyDescent="0.3">
      <c r="A78" t="s">
        <v>93</v>
      </c>
    </row>
    <row r="79" spans="1:2" x14ac:dyDescent="0.3">
      <c r="A79" t="s">
        <v>94</v>
      </c>
    </row>
    <row r="80" spans="1:2" x14ac:dyDescent="0.3">
      <c r="A80" t="s">
        <v>95</v>
      </c>
    </row>
    <row r="81" spans="1:3" x14ac:dyDescent="0.3">
      <c r="A81" t="s">
        <v>96</v>
      </c>
    </row>
    <row r="82" spans="1:3" x14ac:dyDescent="0.3">
      <c r="A82" t="s">
        <v>97</v>
      </c>
    </row>
    <row r="83" spans="1:3" x14ac:dyDescent="0.3">
      <c r="A83" t="s">
        <v>98</v>
      </c>
    </row>
    <row r="84" spans="1:3" x14ac:dyDescent="0.3">
      <c r="A84" t="s">
        <v>99</v>
      </c>
    </row>
    <row r="85" spans="1:3" x14ac:dyDescent="0.3">
      <c r="A85" t="s">
        <v>100</v>
      </c>
    </row>
    <row r="86" spans="1:3" x14ac:dyDescent="0.3">
      <c r="A86" t="s">
        <v>101</v>
      </c>
    </row>
    <row r="87" spans="1:3" x14ac:dyDescent="0.3">
      <c r="A87" t="s">
        <v>102</v>
      </c>
    </row>
    <row r="88" spans="1:3" x14ac:dyDescent="0.3">
      <c r="A88" t="s">
        <v>103</v>
      </c>
    </row>
    <row r="89" spans="1:3" x14ac:dyDescent="0.3">
      <c r="A89" t="s">
        <v>104</v>
      </c>
      <c r="B89" t="s">
        <v>105</v>
      </c>
    </row>
    <row r="90" spans="1:3" x14ac:dyDescent="0.3">
      <c r="A90" t="s">
        <v>106</v>
      </c>
    </row>
    <row r="91" spans="1:3" x14ac:dyDescent="0.3">
      <c r="A91" t="s">
        <v>107</v>
      </c>
    </row>
    <row r="92" spans="1:3" x14ac:dyDescent="0.3">
      <c r="A92" t="s">
        <v>108</v>
      </c>
    </row>
    <row r="93" spans="1:3" x14ac:dyDescent="0.3">
      <c r="A93" t="s">
        <v>109</v>
      </c>
    </row>
    <row r="94" spans="1:3" x14ac:dyDescent="0.3">
      <c r="A94" t="s">
        <v>110</v>
      </c>
    </row>
    <row r="95" spans="1:3" x14ac:dyDescent="0.3">
      <c r="A95" t="s">
        <v>111</v>
      </c>
    </row>
    <row r="96" spans="1:3" x14ac:dyDescent="0.3">
      <c r="A96" t="s">
        <v>112</v>
      </c>
      <c r="B96" t="s">
        <v>113</v>
      </c>
      <c r="C96" t="s">
        <v>114</v>
      </c>
    </row>
    <row r="97" spans="1:4" x14ac:dyDescent="0.3">
      <c r="A97" t="s">
        <v>115</v>
      </c>
    </row>
    <row r="98" spans="1:4" x14ac:dyDescent="0.3">
      <c r="A98" t="s">
        <v>116</v>
      </c>
    </row>
    <row r="99" spans="1:4" x14ac:dyDescent="0.3">
      <c r="A99" t="s">
        <v>117</v>
      </c>
      <c r="B99" t="s">
        <v>118</v>
      </c>
      <c r="C99" t="s">
        <v>119</v>
      </c>
      <c r="D99" t="s">
        <v>120</v>
      </c>
    </row>
    <row r="100" spans="1:4" x14ac:dyDescent="0.3">
      <c r="A100" t="s">
        <v>121</v>
      </c>
    </row>
    <row r="101" spans="1:4" x14ac:dyDescent="0.3">
      <c r="A101" t="s">
        <v>122</v>
      </c>
    </row>
    <row r="102" spans="1:4" x14ac:dyDescent="0.3">
      <c r="A102" t="s">
        <v>123</v>
      </c>
    </row>
    <row r="103" spans="1:4" x14ac:dyDescent="0.3">
      <c r="A103" t="s">
        <v>124</v>
      </c>
      <c r="B103" t="s">
        <v>125</v>
      </c>
    </row>
    <row r="104" spans="1:4" x14ac:dyDescent="0.3">
      <c r="A104" t="s">
        <v>126</v>
      </c>
    </row>
    <row r="105" spans="1:4" x14ac:dyDescent="0.3">
      <c r="A105" t="s">
        <v>127</v>
      </c>
    </row>
    <row r="106" spans="1:4" x14ac:dyDescent="0.3">
      <c r="A106" t="s">
        <v>128</v>
      </c>
    </row>
    <row r="107" spans="1:4" x14ac:dyDescent="0.3">
      <c r="A107" t="s">
        <v>129</v>
      </c>
    </row>
    <row r="108" spans="1:4" x14ac:dyDescent="0.3">
      <c r="A108" t="s">
        <v>130</v>
      </c>
    </row>
    <row r="109" spans="1:4" x14ac:dyDescent="0.3">
      <c r="A109" t="s">
        <v>131</v>
      </c>
    </row>
    <row r="110" spans="1:4" x14ac:dyDescent="0.3">
      <c r="A110" t="s">
        <v>132</v>
      </c>
    </row>
    <row r="111" spans="1:4" x14ac:dyDescent="0.3">
      <c r="A111" t="s">
        <v>133</v>
      </c>
    </row>
    <row r="112" spans="1:4" x14ac:dyDescent="0.3">
      <c r="A112" t="s">
        <v>134</v>
      </c>
      <c r="B112" t="s">
        <v>135</v>
      </c>
    </row>
    <row r="113" spans="1:2" x14ac:dyDescent="0.3">
      <c r="A113" t="s">
        <v>136</v>
      </c>
    </row>
    <row r="114" spans="1:2" x14ac:dyDescent="0.3">
      <c r="A114" t="s">
        <v>137</v>
      </c>
    </row>
    <row r="115" spans="1:2" x14ac:dyDescent="0.3">
      <c r="A115" t="s">
        <v>138</v>
      </c>
    </row>
    <row r="116" spans="1:2" x14ac:dyDescent="0.3">
      <c r="A116" t="s">
        <v>139</v>
      </c>
    </row>
    <row r="117" spans="1:2" x14ac:dyDescent="0.3">
      <c r="A117" t="s">
        <v>140</v>
      </c>
    </row>
    <row r="118" spans="1:2" x14ac:dyDescent="0.3">
      <c r="A118" t="s">
        <v>141</v>
      </c>
    </row>
    <row r="119" spans="1:2" x14ac:dyDescent="0.3">
      <c r="A119" t="s">
        <v>142</v>
      </c>
    </row>
    <row r="120" spans="1:2" x14ac:dyDescent="0.3">
      <c r="A120" t="s">
        <v>143</v>
      </c>
    </row>
    <row r="121" spans="1:2" x14ac:dyDescent="0.3">
      <c r="A121" t="s">
        <v>144</v>
      </c>
    </row>
    <row r="122" spans="1:2" x14ac:dyDescent="0.3">
      <c r="A122" t="s">
        <v>145</v>
      </c>
    </row>
    <row r="123" spans="1:2" x14ac:dyDescent="0.3">
      <c r="A123" t="s">
        <v>146</v>
      </c>
      <c r="B123" t="s">
        <v>147</v>
      </c>
    </row>
    <row r="124" spans="1:2" x14ac:dyDescent="0.3">
      <c r="A124" t="s">
        <v>148</v>
      </c>
    </row>
    <row r="125" spans="1:2" x14ac:dyDescent="0.3">
      <c r="A125" t="s">
        <v>149</v>
      </c>
    </row>
    <row r="126" spans="1:2" x14ac:dyDescent="0.3">
      <c r="A126" t="s">
        <v>150</v>
      </c>
      <c r="B126" t="s">
        <v>151</v>
      </c>
    </row>
    <row r="127" spans="1:2" x14ac:dyDescent="0.3">
      <c r="A127" t="s">
        <v>152</v>
      </c>
    </row>
    <row r="128" spans="1:2" x14ac:dyDescent="0.3">
      <c r="A128" t="s">
        <v>153</v>
      </c>
    </row>
    <row r="129" spans="1:7" x14ac:dyDescent="0.3">
      <c r="A129" t="s">
        <v>154</v>
      </c>
    </row>
    <row r="130" spans="1:7" x14ac:dyDescent="0.3">
      <c r="A130" t="s">
        <v>155</v>
      </c>
    </row>
    <row r="131" spans="1:7" x14ac:dyDescent="0.3">
      <c r="A131" t="s">
        <v>156</v>
      </c>
    </row>
    <row r="132" spans="1:7" x14ac:dyDescent="0.3">
      <c r="A132" t="s">
        <v>157</v>
      </c>
    </row>
    <row r="133" spans="1:7" x14ac:dyDescent="0.3">
      <c r="A133" t="s">
        <v>158</v>
      </c>
    </row>
    <row r="134" spans="1:7" x14ac:dyDescent="0.3">
      <c r="A134" t="s">
        <v>159</v>
      </c>
    </row>
    <row r="135" spans="1:7" x14ac:dyDescent="0.3">
      <c r="A135" t="s">
        <v>160</v>
      </c>
    </row>
    <row r="136" spans="1:7" x14ac:dyDescent="0.3">
      <c r="A136" t="s">
        <v>161</v>
      </c>
    </row>
    <row r="137" spans="1:7" x14ac:dyDescent="0.3">
      <c r="A137" t="s">
        <v>162</v>
      </c>
    </row>
    <row r="138" spans="1:7" x14ac:dyDescent="0.3">
      <c r="A138" t="s">
        <v>163</v>
      </c>
      <c r="B138" t="s">
        <v>164</v>
      </c>
      <c r="C138" t="s">
        <v>165</v>
      </c>
      <c r="D138" t="s">
        <v>166</v>
      </c>
      <c r="E138" t="s">
        <v>167</v>
      </c>
      <c r="F138" t="s">
        <v>168</v>
      </c>
      <c r="G138" t="s">
        <v>169</v>
      </c>
    </row>
    <row r="139" spans="1:7" x14ac:dyDescent="0.3">
      <c r="A139" t="s">
        <v>170</v>
      </c>
      <c r="B139" t="s">
        <v>171</v>
      </c>
      <c r="C139" t="s">
        <v>172</v>
      </c>
    </row>
    <row r="140" spans="1:7" x14ac:dyDescent="0.3">
      <c r="A140" t="s">
        <v>173</v>
      </c>
      <c r="B140" t="s">
        <v>174</v>
      </c>
      <c r="C140" t="s">
        <v>175</v>
      </c>
      <c r="D140" t="s">
        <v>176</v>
      </c>
      <c r="E140" t="s">
        <v>177</v>
      </c>
    </row>
    <row r="141" spans="1:7" x14ac:dyDescent="0.3">
      <c r="A141" t="s">
        <v>178</v>
      </c>
    </row>
    <row r="142" spans="1:7" x14ac:dyDescent="0.3">
      <c r="A142" t="s">
        <v>179</v>
      </c>
    </row>
    <row r="143" spans="1:7" x14ac:dyDescent="0.3">
      <c r="A143" t="s">
        <v>180</v>
      </c>
    </row>
    <row r="144" spans="1:7" x14ac:dyDescent="0.3">
      <c r="A144" t="s">
        <v>181</v>
      </c>
      <c r="B144" t="s">
        <v>182</v>
      </c>
      <c r="C144" t="s">
        <v>183</v>
      </c>
    </row>
    <row r="145" spans="1:1" x14ac:dyDescent="0.3">
      <c r="A145" t="s">
        <v>184</v>
      </c>
    </row>
    <row r="146" spans="1:1" x14ac:dyDescent="0.3">
      <c r="A146" t="s">
        <v>185</v>
      </c>
    </row>
    <row r="147" spans="1:1" x14ac:dyDescent="0.3">
      <c r="A147" t="s">
        <v>186</v>
      </c>
    </row>
    <row r="148" spans="1:1" x14ac:dyDescent="0.3">
      <c r="A148" t="s">
        <v>187</v>
      </c>
    </row>
    <row r="149" spans="1:1" x14ac:dyDescent="0.3">
      <c r="A149" t="s">
        <v>188</v>
      </c>
    </row>
    <row r="150" spans="1:1" x14ac:dyDescent="0.3">
      <c r="A150" t="s">
        <v>189</v>
      </c>
    </row>
    <row r="151" spans="1:1" x14ac:dyDescent="0.3">
      <c r="A151" t="s">
        <v>190</v>
      </c>
    </row>
    <row r="152" spans="1:1" x14ac:dyDescent="0.3">
      <c r="A152" t="s">
        <v>191</v>
      </c>
    </row>
    <row r="153" spans="1:1" x14ac:dyDescent="0.3">
      <c r="A153" t="s">
        <v>192</v>
      </c>
    </row>
    <row r="154" spans="1:1" x14ac:dyDescent="0.3">
      <c r="A154" t="s">
        <v>193</v>
      </c>
    </row>
    <row r="155" spans="1:1" x14ac:dyDescent="0.3">
      <c r="A155" t="s">
        <v>194</v>
      </c>
    </row>
    <row r="156" spans="1:1" x14ac:dyDescent="0.3">
      <c r="A156" t="s">
        <v>195</v>
      </c>
    </row>
    <row r="157" spans="1:1" x14ac:dyDescent="0.3">
      <c r="A157" t="s">
        <v>196</v>
      </c>
    </row>
    <row r="158" spans="1:1" x14ac:dyDescent="0.3">
      <c r="A158" t="s">
        <v>197</v>
      </c>
    </row>
    <row r="159" spans="1:1" x14ac:dyDescent="0.3">
      <c r="A159" t="s">
        <v>198</v>
      </c>
    </row>
    <row r="160" spans="1:1" x14ac:dyDescent="0.3">
      <c r="A160" t="s">
        <v>199</v>
      </c>
    </row>
    <row r="161" spans="1:8" x14ac:dyDescent="0.3">
      <c r="A161" t="s">
        <v>200</v>
      </c>
    </row>
    <row r="162" spans="1:8" x14ac:dyDescent="0.3">
      <c r="A162" t="s">
        <v>201</v>
      </c>
    </row>
    <row r="163" spans="1:8" x14ac:dyDescent="0.3">
      <c r="A163" t="s">
        <v>202</v>
      </c>
    </row>
    <row r="164" spans="1:8" x14ac:dyDescent="0.3">
      <c r="A164" t="s">
        <v>203</v>
      </c>
    </row>
    <row r="165" spans="1:8" x14ac:dyDescent="0.3">
      <c r="A165" t="s">
        <v>204</v>
      </c>
      <c r="B165" t="s">
        <v>205</v>
      </c>
      <c r="C165" t="s">
        <v>206</v>
      </c>
      <c r="D165" t="s">
        <v>207</v>
      </c>
      <c r="E165" t="s">
        <v>208</v>
      </c>
      <c r="F165" t="s">
        <v>209</v>
      </c>
      <c r="G165" t="s">
        <v>210</v>
      </c>
      <c r="H165" t="s">
        <v>211</v>
      </c>
    </row>
    <row r="166" spans="1:8" x14ac:dyDescent="0.3">
      <c r="A166" t="s">
        <v>212</v>
      </c>
    </row>
    <row r="167" spans="1:8" x14ac:dyDescent="0.3">
      <c r="A167" t="s">
        <v>213</v>
      </c>
      <c r="B167" t="s">
        <v>125</v>
      </c>
    </row>
    <row r="168" spans="1:8" x14ac:dyDescent="0.3">
      <c r="A168" t="s">
        <v>214</v>
      </c>
      <c r="B168" t="s">
        <v>215</v>
      </c>
      <c r="C168" t="s">
        <v>216</v>
      </c>
    </row>
    <row r="169" spans="1:8" x14ac:dyDescent="0.3">
      <c r="A169" t="s">
        <v>217</v>
      </c>
    </row>
    <row r="170" spans="1:8" x14ac:dyDescent="0.3">
      <c r="A170" t="s">
        <v>218</v>
      </c>
    </row>
    <row r="171" spans="1:8" x14ac:dyDescent="0.3">
      <c r="A171" t="s">
        <v>219</v>
      </c>
    </row>
    <row r="172" spans="1:8" x14ac:dyDescent="0.3">
      <c r="A172" t="s">
        <v>220</v>
      </c>
    </row>
    <row r="173" spans="1:8" x14ac:dyDescent="0.3">
      <c r="A173" t="s">
        <v>221</v>
      </c>
    </row>
    <row r="174" spans="1:8" x14ac:dyDescent="0.3">
      <c r="A174" t="s">
        <v>222</v>
      </c>
    </row>
    <row r="175" spans="1:8" x14ac:dyDescent="0.3">
      <c r="A175" t="s">
        <v>223</v>
      </c>
    </row>
    <row r="176" spans="1:8" x14ac:dyDescent="0.3">
      <c r="A176" t="s">
        <v>224</v>
      </c>
    </row>
    <row r="177" spans="1:1" x14ac:dyDescent="0.3">
      <c r="A177" t="s">
        <v>225</v>
      </c>
    </row>
    <row r="178" spans="1:1" x14ac:dyDescent="0.3">
      <c r="A178" t="s">
        <v>226</v>
      </c>
    </row>
    <row r="179" spans="1:1" x14ac:dyDescent="0.3">
      <c r="A179" t="s">
        <v>227</v>
      </c>
    </row>
    <row r="180" spans="1:1" x14ac:dyDescent="0.3">
      <c r="A180" t="s">
        <v>228</v>
      </c>
    </row>
    <row r="181" spans="1:1" x14ac:dyDescent="0.3">
      <c r="A181" t="s">
        <v>229</v>
      </c>
    </row>
    <row r="182" spans="1:1" x14ac:dyDescent="0.3">
      <c r="A182" t="s">
        <v>230</v>
      </c>
    </row>
    <row r="183" spans="1:1" x14ac:dyDescent="0.3">
      <c r="A183" t="s">
        <v>231</v>
      </c>
    </row>
    <row r="184" spans="1:1" x14ac:dyDescent="0.3">
      <c r="A184" t="s">
        <v>232</v>
      </c>
    </row>
    <row r="185" spans="1:1" x14ac:dyDescent="0.3">
      <c r="A185" t="s">
        <v>233</v>
      </c>
    </row>
    <row r="186" spans="1:1" x14ac:dyDescent="0.3">
      <c r="A186" t="s">
        <v>234</v>
      </c>
    </row>
    <row r="187" spans="1:1" x14ac:dyDescent="0.3">
      <c r="A187" t="s">
        <v>235</v>
      </c>
    </row>
    <row r="188" spans="1:1" x14ac:dyDescent="0.3">
      <c r="A188" t="s">
        <v>236</v>
      </c>
    </row>
    <row r="189" spans="1:1" x14ac:dyDescent="0.3">
      <c r="A189" t="s">
        <v>237</v>
      </c>
    </row>
    <row r="190" spans="1:1" x14ac:dyDescent="0.3">
      <c r="A190" t="s">
        <v>238</v>
      </c>
    </row>
    <row r="191" spans="1:1" x14ac:dyDescent="0.3">
      <c r="A191" t="s">
        <v>239</v>
      </c>
    </row>
    <row r="192" spans="1:1" x14ac:dyDescent="0.3">
      <c r="A192" t="s">
        <v>240</v>
      </c>
    </row>
    <row r="193" spans="1:6" x14ac:dyDescent="0.3">
      <c r="A193" t="s">
        <v>241</v>
      </c>
      <c r="B193" t="s">
        <v>242</v>
      </c>
      <c r="C193" t="s">
        <v>243</v>
      </c>
      <c r="D193" t="s">
        <v>244</v>
      </c>
      <c r="E193" t="s">
        <v>245</v>
      </c>
      <c r="F193" t="s">
        <v>246</v>
      </c>
    </row>
    <row r="194" spans="1:6" x14ac:dyDescent="0.3">
      <c r="A194" t="s">
        <v>247</v>
      </c>
    </row>
    <row r="195" spans="1:6" x14ac:dyDescent="0.3">
      <c r="A195" t="s">
        <v>248</v>
      </c>
    </row>
    <row r="196" spans="1:6" x14ac:dyDescent="0.3">
      <c r="A196" t="s">
        <v>249</v>
      </c>
    </row>
    <row r="197" spans="1:6" x14ac:dyDescent="0.3">
      <c r="A197" t="s">
        <v>250</v>
      </c>
    </row>
    <row r="198" spans="1:6" x14ac:dyDescent="0.3">
      <c r="A198" t="s">
        <v>251</v>
      </c>
    </row>
    <row r="199" spans="1:6" x14ac:dyDescent="0.3">
      <c r="A199" t="s">
        <v>252</v>
      </c>
    </row>
    <row r="200" spans="1:6" x14ac:dyDescent="0.3">
      <c r="A200" t="s">
        <v>253</v>
      </c>
      <c r="B200" t="s">
        <v>254</v>
      </c>
      <c r="C200" t="s">
        <v>255</v>
      </c>
      <c r="D200" t="s">
        <v>256</v>
      </c>
      <c r="E200" t="s">
        <v>257</v>
      </c>
      <c r="F200" t="s">
        <v>258</v>
      </c>
    </row>
    <row r="201" spans="1:6" x14ac:dyDescent="0.3">
      <c r="A201" t="s">
        <v>259</v>
      </c>
      <c r="B201" t="s">
        <v>125</v>
      </c>
    </row>
    <row r="202" spans="1:6" x14ac:dyDescent="0.3">
      <c r="A202" t="s">
        <v>260</v>
      </c>
    </row>
    <row r="203" spans="1:6" x14ac:dyDescent="0.3">
      <c r="A203" t="s">
        <v>261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52495-D07B-4163-AB46-2A8AD9240794}">
  <dimension ref="A1:Q1406"/>
  <sheetViews>
    <sheetView topLeftCell="B1298" workbookViewId="0">
      <selection activeCell="B1311" sqref="A1311:XFD1311"/>
    </sheetView>
  </sheetViews>
  <sheetFormatPr defaultRowHeight="15.05" x14ac:dyDescent="0.3"/>
  <cols>
    <col min="1" max="1" width="5.5546875" bestFit="1" customWidth="1"/>
    <col min="2" max="2" width="46.109375" bestFit="1" customWidth="1"/>
    <col min="3" max="3" width="8.6640625" bestFit="1" customWidth="1"/>
    <col min="4" max="4" width="7.44140625" bestFit="1" customWidth="1"/>
    <col min="5" max="5" width="13.33203125" bestFit="1" customWidth="1"/>
    <col min="6" max="6" width="20.33203125" bestFit="1" customWidth="1"/>
    <col min="7" max="7" width="30.6640625" bestFit="1" customWidth="1"/>
    <col min="8" max="8" width="5.21875" bestFit="1" customWidth="1"/>
    <col min="9" max="9" width="8" bestFit="1" customWidth="1"/>
    <col min="10" max="10" width="34.77734375" bestFit="1" customWidth="1"/>
    <col min="11" max="11" width="18.44140625" bestFit="1" customWidth="1"/>
    <col min="12" max="12" width="12.33203125" bestFit="1" customWidth="1"/>
    <col min="13" max="14" width="7.5546875" bestFit="1" customWidth="1"/>
    <col min="15" max="15" width="4.33203125" bestFit="1" customWidth="1"/>
    <col min="16" max="16" width="5.77734375" bestFit="1" customWidth="1"/>
    <col min="17" max="17" width="8.109375" bestFit="1" customWidth="1"/>
  </cols>
  <sheetData>
    <row r="1" spans="1:17" x14ac:dyDescent="0.3">
      <c r="A1" t="s">
        <v>945</v>
      </c>
      <c r="B1" t="s">
        <v>263</v>
      </c>
      <c r="C1" t="s">
        <v>949</v>
      </c>
      <c r="D1" t="s">
        <v>950</v>
      </c>
      <c r="E1" t="s">
        <v>951</v>
      </c>
      <c r="F1" t="s">
        <v>655</v>
      </c>
      <c r="G1" t="s">
        <v>952</v>
      </c>
      <c r="H1" t="s">
        <v>953</v>
      </c>
      <c r="I1" t="s">
        <v>954</v>
      </c>
      <c r="J1" t="s">
        <v>955</v>
      </c>
      <c r="K1" t="s">
        <v>956</v>
      </c>
      <c r="L1" t="s">
        <v>957</v>
      </c>
      <c r="M1" t="s">
        <v>958</v>
      </c>
      <c r="N1" t="s">
        <v>959</v>
      </c>
      <c r="O1" t="s">
        <v>960</v>
      </c>
      <c r="P1" t="s">
        <v>961</v>
      </c>
      <c r="Q1" t="s">
        <v>962</v>
      </c>
    </row>
    <row r="2" spans="1:17" x14ac:dyDescent="0.3">
      <c r="A2">
        <v>2</v>
      </c>
      <c r="B2" t="s">
        <v>963</v>
      </c>
      <c r="C2" t="s">
        <v>1706</v>
      </c>
      <c r="E2">
        <v>5141</v>
      </c>
      <c r="F2" t="s">
        <v>658</v>
      </c>
      <c r="G2" t="s">
        <v>964</v>
      </c>
      <c r="H2" t="s">
        <v>965</v>
      </c>
      <c r="I2">
        <v>77705</v>
      </c>
      <c r="J2" t="s">
        <v>966</v>
      </c>
      <c r="K2">
        <v>8322973609</v>
      </c>
      <c r="M2">
        <v>500</v>
      </c>
      <c r="N2">
        <v>500</v>
      </c>
      <c r="O2">
        <v>1</v>
      </c>
      <c r="P2">
        <v>76</v>
      </c>
      <c r="Q2">
        <v>10</v>
      </c>
    </row>
    <row r="3" spans="1:17" x14ac:dyDescent="0.3">
      <c r="A3" t="s">
        <v>445</v>
      </c>
      <c r="B3" t="s">
        <v>967</v>
      </c>
      <c r="C3" t="s">
        <v>1706</v>
      </c>
      <c r="E3">
        <v>5046</v>
      </c>
      <c r="F3" t="s">
        <v>644</v>
      </c>
      <c r="G3" t="s">
        <v>968</v>
      </c>
      <c r="H3" t="s">
        <v>965</v>
      </c>
      <c r="I3">
        <v>77477</v>
      </c>
      <c r="J3" t="s">
        <v>969</v>
      </c>
      <c r="K3" t="s">
        <v>970</v>
      </c>
      <c r="M3">
        <v>5000</v>
      </c>
      <c r="N3">
        <v>5000</v>
      </c>
      <c r="O3">
        <v>14</v>
      </c>
      <c r="P3">
        <v>276</v>
      </c>
      <c r="Q3">
        <v>59</v>
      </c>
    </row>
    <row r="4" spans="1:17" x14ac:dyDescent="0.3">
      <c r="A4">
        <v>3</v>
      </c>
      <c r="B4" t="s">
        <v>971</v>
      </c>
      <c r="C4" t="s">
        <v>1706</v>
      </c>
      <c r="E4">
        <v>5211</v>
      </c>
      <c r="F4" t="s">
        <v>972</v>
      </c>
      <c r="G4" t="s">
        <v>973</v>
      </c>
      <c r="H4" t="s">
        <v>965</v>
      </c>
      <c r="I4">
        <v>77355</v>
      </c>
      <c r="J4" t="s">
        <v>974</v>
      </c>
      <c r="K4" t="s">
        <v>975</v>
      </c>
      <c r="M4">
        <v>900</v>
      </c>
      <c r="N4">
        <v>900</v>
      </c>
      <c r="O4">
        <v>14</v>
      </c>
      <c r="P4">
        <v>70</v>
      </c>
      <c r="Q4">
        <v>20</v>
      </c>
    </row>
    <row r="5" spans="1:17" x14ac:dyDescent="0.3">
      <c r="A5" t="s">
        <v>266</v>
      </c>
      <c r="B5" t="s">
        <v>611</v>
      </c>
      <c r="C5" t="s">
        <v>1706</v>
      </c>
      <c r="E5">
        <v>5065</v>
      </c>
      <c r="F5" t="s">
        <v>976</v>
      </c>
      <c r="G5" t="s">
        <v>977</v>
      </c>
      <c r="H5" t="s">
        <v>965</v>
      </c>
      <c r="I5">
        <v>77095</v>
      </c>
      <c r="J5" t="s">
        <v>978</v>
      </c>
      <c r="K5">
        <v>8325679148</v>
      </c>
      <c r="M5">
        <v>32000</v>
      </c>
      <c r="N5">
        <v>32000</v>
      </c>
      <c r="O5">
        <v>15</v>
      </c>
      <c r="P5">
        <v>208</v>
      </c>
      <c r="Q5">
        <v>17</v>
      </c>
    </row>
    <row r="6" spans="1:17" x14ac:dyDescent="0.3">
      <c r="A6">
        <v>4</v>
      </c>
      <c r="B6" t="s">
        <v>979</v>
      </c>
      <c r="C6" t="s">
        <v>1706</v>
      </c>
      <c r="F6" t="s">
        <v>649</v>
      </c>
      <c r="M6">
        <v>0</v>
      </c>
      <c r="N6">
        <v>0</v>
      </c>
      <c r="O6">
        <v>0</v>
      </c>
      <c r="P6">
        <v>15</v>
      </c>
      <c r="Q6">
        <v>0</v>
      </c>
    </row>
    <row r="7" spans="1:17" x14ac:dyDescent="0.3">
      <c r="A7" t="s">
        <v>900</v>
      </c>
      <c r="B7" t="s">
        <v>980</v>
      </c>
      <c r="C7" t="s">
        <v>1706</v>
      </c>
      <c r="E7">
        <v>5208</v>
      </c>
      <c r="F7" t="s">
        <v>981</v>
      </c>
      <c r="G7" t="s">
        <v>982</v>
      </c>
      <c r="H7" t="s">
        <v>965</v>
      </c>
      <c r="I7">
        <v>77471</v>
      </c>
      <c r="J7" t="s">
        <v>983</v>
      </c>
      <c r="K7" t="s">
        <v>984</v>
      </c>
      <c r="M7">
        <v>7600</v>
      </c>
      <c r="N7">
        <v>7600</v>
      </c>
      <c r="O7">
        <v>14</v>
      </c>
      <c r="P7">
        <v>204</v>
      </c>
      <c r="Q7">
        <v>54</v>
      </c>
    </row>
    <row r="8" spans="1:17" x14ac:dyDescent="0.3">
      <c r="A8">
        <v>5</v>
      </c>
      <c r="B8" t="s">
        <v>985</v>
      </c>
      <c r="C8" t="s">
        <v>1706</v>
      </c>
      <c r="E8">
        <v>5115</v>
      </c>
      <c r="F8" t="s">
        <v>986</v>
      </c>
      <c r="G8" t="s">
        <v>987</v>
      </c>
      <c r="H8" t="s">
        <v>965</v>
      </c>
      <c r="I8">
        <v>77379</v>
      </c>
      <c r="J8" t="s">
        <v>988</v>
      </c>
      <c r="K8" t="s">
        <v>989</v>
      </c>
      <c r="M8">
        <v>500</v>
      </c>
      <c r="N8">
        <v>500</v>
      </c>
      <c r="O8">
        <v>1</v>
      </c>
      <c r="P8">
        <v>45</v>
      </c>
      <c r="Q8">
        <v>5</v>
      </c>
    </row>
    <row r="9" spans="1:17" x14ac:dyDescent="0.3">
      <c r="A9" t="s">
        <v>269</v>
      </c>
      <c r="B9" t="s">
        <v>990</v>
      </c>
      <c r="C9" t="s">
        <v>1706</v>
      </c>
      <c r="E9">
        <v>5086</v>
      </c>
      <c r="F9" t="s">
        <v>991</v>
      </c>
      <c r="G9" t="s">
        <v>992</v>
      </c>
      <c r="H9" t="s">
        <v>965</v>
      </c>
      <c r="I9">
        <v>77583</v>
      </c>
      <c r="J9" t="s">
        <v>993</v>
      </c>
      <c r="K9">
        <v>2819327605</v>
      </c>
      <c r="M9">
        <v>10000</v>
      </c>
      <c r="N9">
        <v>10000</v>
      </c>
      <c r="O9">
        <v>18</v>
      </c>
      <c r="P9">
        <v>202</v>
      </c>
      <c r="Q9">
        <v>35</v>
      </c>
    </row>
    <row r="10" spans="1:17" x14ac:dyDescent="0.3">
      <c r="A10">
        <v>6</v>
      </c>
      <c r="B10" t="s">
        <v>994</v>
      </c>
      <c r="C10" t="s">
        <v>1706</v>
      </c>
      <c r="E10">
        <v>5017</v>
      </c>
      <c r="F10" t="s">
        <v>995</v>
      </c>
      <c r="G10" t="s">
        <v>996</v>
      </c>
      <c r="H10" t="s">
        <v>965</v>
      </c>
      <c r="I10">
        <v>77521</v>
      </c>
      <c r="J10" t="s">
        <v>997</v>
      </c>
      <c r="K10">
        <v>8326906713</v>
      </c>
      <c r="M10">
        <v>500</v>
      </c>
      <c r="N10">
        <v>500</v>
      </c>
      <c r="O10">
        <v>1</v>
      </c>
      <c r="P10">
        <v>30</v>
      </c>
      <c r="Q10">
        <v>11</v>
      </c>
    </row>
    <row r="11" spans="1:17" x14ac:dyDescent="0.3">
      <c r="A11" t="s">
        <v>449</v>
      </c>
      <c r="B11" t="s">
        <v>998</v>
      </c>
      <c r="C11" t="s">
        <v>1706</v>
      </c>
      <c r="E11">
        <v>5046</v>
      </c>
      <c r="F11" t="s">
        <v>644</v>
      </c>
      <c r="G11" t="s">
        <v>968</v>
      </c>
      <c r="H11" t="s">
        <v>965</v>
      </c>
      <c r="I11">
        <v>77477</v>
      </c>
      <c r="J11" t="s">
        <v>969</v>
      </c>
      <c r="K11" t="s">
        <v>970</v>
      </c>
      <c r="M11">
        <v>2375</v>
      </c>
      <c r="N11">
        <v>6000</v>
      </c>
      <c r="O11">
        <v>20</v>
      </c>
      <c r="P11">
        <v>101</v>
      </c>
      <c r="Q11">
        <v>22</v>
      </c>
    </row>
    <row r="12" spans="1:17" x14ac:dyDescent="0.3">
      <c r="A12">
        <v>7</v>
      </c>
      <c r="B12" t="s">
        <v>999</v>
      </c>
      <c r="C12" t="s">
        <v>1706</v>
      </c>
      <c r="E12">
        <v>5217</v>
      </c>
      <c r="F12" t="s">
        <v>1000</v>
      </c>
      <c r="G12" t="s">
        <v>1001</v>
      </c>
      <c r="H12" t="s">
        <v>965</v>
      </c>
      <c r="I12">
        <v>77598</v>
      </c>
      <c r="J12" t="s">
        <v>1002</v>
      </c>
      <c r="K12" t="s">
        <v>1003</v>
      </c>
      <c r="M12">
        <v>2000</v>
      </c>
      <c r="N12">
        <v>2000</v>
      </c>
      <c r="O12">
        <v>18</v>
      </c>
      <c r="P12">
        <v>42</v>
      </c>
      <c r="Q12">
        <v>9</v>
      </c>
    </row>
    <row r="13" spans="1:17" x14ac:dyDescent="0.3">
      <c r="A13">
        <v>8</v>
      </c>
      <c r="B13" t="s">
        <v>1004</v>
      </c>
      <c r="C13" t="s">
        <v>1706</v>
      </c>
      <c r="E13">
        <v>5117</v>
      </c>
      <c r="F13" t="s">
        <v>1005</v>
      </c>
      <c r="G13" t="s">
        <v>1006</v>
      </c>
      <c r="H13" t="s">
        <v>965</v>
      </c>
      <c r="I13">
        <v>77043</v>
      </c>
      <c r="J13" t="s">
        <v>1007</v>
      </c>
      <c r="K13">
        <v>2814673084</v>
      </c>
      <c r="M13">
        <v>3000</v>
      </c>
      <c r="N13">
        <v>3000</v>
      </c>
      <c r="O13">
        <v>16</v>
      </c>
      <c r="P13">
        <v>44</v>
      </c>
      <c r="Q13">
        <v>13</v>
      </c>
    </row>
    <row r="14" spans="1:17" x14ac:dyDescent="0.3">
      <c r="A14" t="s">
        <v>273</v>
      </c>
      <c r="B14" t="s">
        <v>1008</v>
      </c>
      <c r="C14" t="s">
        <v>1706</v>
      </c>
      <c r="E14">
        <v>5046</v>
      </c>
      <c r="F14" t="s">
        <v>644</v>
      </c>
      <c r="G14" t="s">
        <v>968</v>
      </c>
      <c r="H14" t="s">
        <v>965</v>
      </c>
      <c r="I14">
        <v>77477</v>
      </c>
      <c r="J14" t="s">
        <v>969</v>
      </c>
      <c r="K14" t="s">
        <v>970</v>
      </c>
      <c r="M14">
        <v>11500</v>
      </c>
      <c r="N14">
        <v>30000</v>
      </c>
      <c r="O14">
        <v>15</v>
      </c>
      <c r="P14">
        <v>117</v>
      </c>
      <c r="Q14">
        <v>13</v>
      </c>
    </row>
    <row r="15" spans="1:17" x14ac:dyDescent="0.3">
      <c r="A15">
        <v>9</v>
      </c>
      <c r="B15" t="s">
        <v>1009</v>
      </c>
      <c r="C15" t="s">
        <v>1706</v>
      </c>
      <c r="E15">
        <v>5091</v>
      </c>
      <c r="F15" t="s">
        <v>1010</v>
      </c>
      <c r="G15" t="s">
        <v>1011</v>
      </c>
      <c r="H15" t="s">
        <v>965</v>
      </c>
      <c r="I15">
        <v>77469</v>
      </c>
      <c r="J15" t="s">
        <v>1012</v>
      </c>
      <c r="K15" t="s">
        <v>1013</v>
      </c>
      <c r="M15">
        <v>1000</v>
      </c>
      <c r="N15">
        <v>1000</v>
      </c>
      <c r="O15">
        <v>13</v>
      </c>
      <c r="P15">
        <v>44</v>
      </c>
      <c r="Q15">
        <v>13</v>
      </c>
    </row>
    <row r="16" spans="1:17" x14ac:dyDescent="0.3">
      <c r="A16">
        <v>10</v>
      </c>
      <c r="B16" t="s">
        <v>1014</v>
      </c>
      <c r="C16" t="s">
        <v>1706</v>
      </c>
      <c r="E16">
        <v>5233</v>
      </c>
      <c r="F16" t="s">
        <v>1015</v>
      </c>
      <c r="G16" t="s">
        <v>1016</v>
      </c>
      <c r="H16" t="s">
        <v>965</v>
      </c>
      <c r="I16">
        <v>77039</v>
      </c>
      <c r="J16" t="s">
        <v>1017</v>
      </c>
      <c r="K16">
        <v>9176029905</v>
      </c>
      <c r="M16">
        <v>3000</v>
      </c>
      <c r="N16">
        <v>3000</v>
      </c>
      <c r="O16">
        <v>14</v>
      </c>
      <c r="P16">
        <v>83</v>
      </c>
      <c r="Q16">
        <v>16</v>
      </c>
    </row>
    <row r="17" spans="1:17" x14ac:dyDescent="0.3">
      <c r="A17">
        <v>11</v>
      </c>
      <c r="B17" t="s">
        <v>1018</v>
      </c>
      <c r="C17" t="s">
        <v>1706</v>
      </c>
      <c r="E17">
        <v>5108</v>
      </c>
      <c r="F17" t="s">
        <v>1019</v>
      </c>
      <c r="G17" t="s">
        <v>1020</v>
      </c>
      <c r="H17" t="s">
        <v>965</v>
      </c>
      <c r="I17">
        <v>77354</v>
      </c>
      <c r="J17" t="s">
        <v>1021</v>
      </c>
      <c r="K17">
        <v>8325157893</v>
      </c>
      <c r="L17">
        <v>8328580129</v>
      </c>
      <c r="M17">
        <v>2600</v>
      </c>
      <c r="N17">
        <v>2600</v>
      </c>
      <c r="O17">
        <v>9</v>
      </c>
      <c r="P17">
        <v>73</v>
      </c>
      <c r="Q17">
        <v>19</v>
      </c>
    </row>
    <row r="18" spans="1:17" x14ac:dyDescent="0.3">
      <c r="A18" t="s">
        <v>451</v>
      </c>
      <c r="B18" t="s">
        <v>1022</v>
      </c>
      <c r="C18" t="s">
        <v>1706</v>
      </c>
      <c r="E18">
        <v>5046</v>
      </c>
      <c r="F18" t="s">
        <v>644</v>
      </c>
      <c r="G18" t="s">
        <v>968</v>
      </c>
      <c r="H18" t="s">
        <v>965</v>
      </c>
      <c r="I18">
        <v>77477</v>
      </c>
      <c r="J18" t="s">
        <v>969</v>
      </c>
      <c r="K18" t="s">
        <v>970</v>
      </c>
      <c r="M18">
        <v>500</v>
      </c>
      <c r="N18">
        <v>26500</v>
      </c>
      <c r="O18">
        <v>1</v>
      </c>
      <c r="P18">
        <v>59</v>
      </c>
      <c r="Q18">
        <v>7</v>
      </c>
    </row>
    <row r="19" spans="1:17" x14ac:dyDescent="0.3">
      <c r="A19">
        <v>12</v>
      </c>
      <c r="B19" t="s">
        <v>1023</v>
      </c>
      <c r="C19" t="s">
        <v>1706</v>
      </c>
      <c r="E19">
        <v>5076</v>
      </c>
      <c r="F19" t="s">
        <v>1024</v>
      </c>
      <c r="G19" t="s">
        <v>1025</v>
      </c>
      <c r="H19" t="s">
        <v>965</v>
      </c>
      <c r="I19">
        <v>77024</v>
      </c>
      <c r="J19" t="s">
        <v>1026</v>
      </c>
      <c r="K19">
        <v>3059263864</v>
      </c>
      <c r="M19">
        <v>900</v>
      </c>
      <c r="N19">
        <v>900</v>
      </c>
      <c r="O19">
        <v>17</v>
      </c>
      <c r="P19">
        <v>39</v>
      </c>
      <c r="Q19">
        <v>22</v>
      </c>
    </row>
    <row r="20" spans="1:17" x14ac:dyDescent="0.3">
      <c r="A20" t="s">
        <v>279</v>
      </c>
      <c r="B20" t="s">
        <v>1027</v>
      </c>
      <c r="C20" t="s">
        <v>1706</v>
      </c>
      <c r="E20">
        <v>5219</v>
      </c>
      <c r="F20" t="s">
        <v>1028</v>
      </c>
      <c r="G20" t="s">
        <v>1029</v>
      </c>
      <c r="H20" t="s">
        <v>965</v>
      </c>
      <c r="I20">
        <v>77092</v>
      </c>
      <c r="J20" t="s">
        <v>1030</v>
      </c>
      <c r="K20">
        <v>7138189124</v>
      </c>
      <c r="M20">
        <v>20000</v>
      </c>
      <c r="N20">
        <v>20000</v>
      </c>
      <c r="O20">
        <v>37</v>
      </c>
      <c r="P20">
        <v>113</v>
      </c>
      <c r="Q20">
        <v>32</v>
      </c>
    </row>
    <row r="21" spans="1:17" x14ac:dyDescent="0.3">
      <c r="A21">
        <v>13</v>
      </c>
      <c r="B21" t="s">
        <v>971</v>
      </c>
      <c r="C21" t="s">
        <v>1706</v>
      </c>
      <c r="E21">
        <v>5063</v>
      </c>
      <c r="F21" t="s">
        <v>1031</v>
      </c>
      <c r="G21" t="s">
        <v>1032</v>
      </c>
      <c r="H21" t="s">
        <v>965</v>
      </c>
      <c r="I21">
        <v>77060</v>
      </c>
      <c r="J21" t="s">
        <v>1033</v>
      </c>
      <c r="K21">
        <v>8322472600</v>
      </c>
      <c r="M21">
        <v>1000</v>
      </c>
      <c r="N21">
        <v>1000</v>
      </c>
      <c r="O21">
        <v>14</v>
      </c>
      <c r="P21">
        <v>27</v>
      </c>
      <c r="Q21">
        <v>17</v>
      </c>
    </row>
    <row r="22" spans="1:17" x14ac:dyDescent="0.3">
      <c r="A22">
        <v>14</v>
      </c>
      <c r="B22" t="s">
        <v>1034</v>
      </c>
      <c r="C22" t="s">
        <v>1706</v>
      </c>
      <c r="E22">
        <v>5076</v>
      </c>
      <c r="F22" t="s">
        <v>1024</v>
      </c>
      <c r="G22" t="s">
        <v>1025</v>
      </c>
      <c r="H22" t="s">
        <v>965</v>
      </c>
      <c r="I22">
        <v>77024</v>
      </c>
      <c r="J22" t="s">
        <v>1026</v>
      </c>
      <c r="K22">
        <v>3059263864</v>
      </c>
      <c r="M22">
        <v>500</v>
      </c>
      <c r="N22">
        <v>500</v>
      </c>
      <c r="O22">
        <v>1</v>
      </c>
      <c r="P22">
        <v>21</v>
      </c>
      <c r="Q22">
        <v>5</v>
      </c>
    </row>
    <row r="23" spans="1:17" x14ac:dyDescent="0.3">
      <c r="A23" t="s">
        <v>284</v>
      </c>
      <c r="B23" t="s">
        <v>1035</v>
      </c>
      <c r="C23" t="s">
        <v>1706</v>
      </c>
      <c r="E23">
        <v>5046</v>
      </c>
      <c r="F23" t="s">
        <v>644</v>
      </c>
      <c r="G23" t="s">
        <v>968</v>
      </c>
      <c r="H23" t="s">
        <v>965</v>
      </c>
      <c r="I23">
        <v>77477</v>
      </c>
      <c r="J23" t="s">
        <v>969</v>
      </c>
      <c r="K23" t="s">
        <v>970</v>
      </c>
      <c r="M23">
        <v>3600</v>
      </c>
      <c r="N23">
        <v>6000</v>
      </c>
      <c r="O23">
        <v>14</v>
      </c>
      <c r="P23">
        <v>70</v>
      </c>
      <c r="Q23">
        <v>17</v>
      </c>
    </row>
    <row r="24" spans="1:17" x14ac:dyDescent="0.3">
      <c r="A24">
        <v>15</v>
      </c>
      <c r="B24" t="s">
        <v>1036</v>
      </c>
      <c r="C24" t="s">
        <v>1706</v>
      </c>
      <c r="E24">
        <v>5227</v>
      </c>
      <c r="F24" t="s">
        <v>1037</v>
      </c>
      <c r="G24" t="s">
        <v>1038</v>
      </c>
      <c r="H24" t="s">
        <v>965</v>
      </c>
      <c r="I24">
        <v>77584</v>
      </c>
      <c r="J24" t="s">
        <v>1039</v>
      </c>
      <c r="K24" t="s">
        <v>1040</v>
      </c>
      <c r="M24">
        <v>600</v>
      </c>
      <c r="N24">
        <v>650</v>
      </c>
      <c r="O24">
        <v>4</v>
      </c>
      <c r="P24">
        <v>27</v>
      </c>
      <c r="Q24">
        <v>9</v>
      </c>
    </row>
    <row r="25" spans="1:17" x14ac:dyDescent="0.3">
      <c r="A25" t="s">
        <v>286</v>
      </c>
      <c r="B25" t="s">
        <v>1041</v>
      </c>
      <c r="C25" t="s">
        <v>1706</v>
      </c>
      <c r="E25">
        <v>5065</v>
      </c>
      <c r="F25" t="s">
        <v>976</v>
      </c>
      <c r="G25" t="s">
        <v>977</v>
      </c>
      <c r="H25" t="s">
        <v>965</v>
      </c>
      <c r="I25">
        <v>77095</v>
      </c>
      <c r="J25" t="s">
        <v>978</v>
      </c>
      <c r="K25">
        <v>8325679148</v>
      </c>
      <c r="M25">
        <v>15500</v>
      </c>
      <c r="N25">
        <v>20500</v>
      </c>
      <c r="O25">
        <v>24</v>
      </c>
      <c r="P25">
        <v>83</v>
      </c>
      <c r="Q25">
        <v>13</v>
      </c>
    </row>
    <row r="26" spans="1:17" x14ac:dyDescent="0.3">
      <c r="A26">
        <v>16</v>
      </c>
      <c r="B26" t="s">
        <v>1042</v>
      </c>
      <c r="C26" t="s">
        <v>1706</v>
      </c>
      <c r="F26" t="s">
        <v>649</v>
      </c>
      <c r="M26">
        <v>0</v>
      </c>
      <c r="N26">
        <v>0</v>
      </c>
      <c r="O26">
        <v>0</v>
      </c>
      <c r="P26">
        <v>41</v>
      </c>
      <c r="Q26">
        <v>2</v>
      </c>
    </row>
    <row r="27" spans="1:17" x14ac:dyDescent="0.3">
      <c r="A27">
        <v>17</v>
      </c>
      <c r="B27" t="s">
        <v>1018</v>
      </c>
      <c r="C27" t="s">
        <v>1706</v>
      </c>
      <c r="E27">
        <v>5063</v>
      </c>
      <c r="F27" t="s">
        <v>1031</v>
      </c>
      <c r="G27" t="s">
        <v>1032</v>
      </c>
      <c r="H27" t="s">
        <v>965</v>
      </c>
      <c r="I27">
        <v>77060</v>
      </c>
      <c r="J27" t="s">
        <v>1033</v>
      </c>
      <c r="K27">
        <v>8322472600</v>
      </c>
      <c r="M27">
        <v>2600</v>
      </c>
      <c r="N27">
        <v>2600</v>
      </c>
      <c r="O27">
        <v>10</v>
      </c>
      <c r="P27">
        <v>50</v>
      </c>
      <c r="Q27">
        <v>23</v>
      </c>
    </row>
    <row r="28" spans="1:17" x14ac:dyDescent="0.3">
      <c r="A28" t="s">
        <v>288</v>
      </c>
      <c r="B28" t="s">
        <v>1043</v>
      </c>
      <c r="C28" t="s">
        <v>1706</v>
      </c>
      <c r="E28">
        <v>5046</v>
      </c>
      <c r="F28" t="s">
        <v>644</v>
      </c>
      <c r="G28" t="s">
        <v>968</v>
      </c>
      <c r="H28" t="s">
        <v>965</v>
      </c>
      <c r="I28">
        <v>77477</v>
      </c>
      <c r="J28" t="s">
        <v>969</v>
      </c>
      <c r="K28" t="s">
        <v>970</v>
      </c>
      <c r="M28">
        <v>3500</v>
      </c>
      <c r="N28">
        <v>75000</v>
      </c>
      <c r="O28">
        <v>9</v>
      </c>
      <c r="P28">
        <v>101</v>
      </c>
      <c r="Q28">
        <v>17</v>
      </c>
    </row>
    <row r="29" spans="1:17" x14ac:dyDescent="0.3">
      <c r="A29">
        <v>18</v>
      </c>
      <c r="B29" t="s">
        <v>1044</v>
      </c>
      <c r="C29" t="s">
        <v>1706</v>
      </c>
      <c r="E29">
        <v>5154</v>
      </c>
      <c r="F29" t="s">
        <v>1045</v>
      </c>
      <c r="G29" t="s">
        <v>1046</v>
      </c>
      <c r="H29" t="s">
        <v>965</v>
      </c>
      <c r="I29">
        <v>77478</v>
      </c>
      <c r="J29" t="s">
        <v>1047</v>
      </c>
      <c r="K29">
        <v>7132023905</v>
      </c>
      <c r="M29">
        <v>2400</v>
      </c>
      <c r="N29">
        <v>2400</v>
      </c>
      <c r="O29">
        <v>26</v>
      </c>
      <c r="P29">
        <v>79</v>
      </c>
      <c r="Q29">
        <v>28</v>
      </c>
    </row>
    <row r="30" spans="1:17" x14ac:dyDescent="0.3">
      <c r="A30">
        <v>19</v>
      </c>
      <c r="B30" t="s">
        <v>1048</v>
      </c>
      <c r="C30" t="s">
        <v>1706</v>
      </c>
      <c r="E30">
        <v>5063</v>
      </c>
      <c r="F30" t="s">
        <v>1031</v>
      </c>
      <c r="G30" t="s">
        <v>1032</v>
      </c>
      <c r="H30" t="s">
        <v>965</v>
      </c>
      <c r="I30">
        <v>77060</v>
      </c>
      <c r="J30" t="s">
        <v>1033</v>
      </c>
      <c r="K30">
        <v>8322472600</v>
      </c>
      <c r="M30">
        <v>1650</v>
      </c>
      <c r="N30">
        <v>1650</v>
      </c>
      <c r="O30">
        <v>7</v>
      </c>
      <c r="P30">
        <v>116</v>
      </c>
      <c r="Q30">
        <v>17</v>
      </c>
    </row>
    <row r="31" spans="1:17" x14ac:dyDescent="0.3">
      <c r="A31">
        <v>20</v>
      </c>
      <c r="B31" t="s">
        <v>1049</v>
      </c>
      <c r="C31" t="s">
        <v>1706</v>
      </c>
      <c r="E31">
        <v>5088</v>
      </c>
      <c r="F31" t="s">
        <v>1050</v>
      </c>
      <c r="G31" t="s">
        <v>1051</v>
      </c>
      <c r="H31" t="s">
        <v>965</v>
      </c>
      <c r="I31">
        <v>77009</v>
      </c>
      <c r="J31" t="s">
        <v>1052</v>
      </c>
      <c r="K31" t="s">
        <v>1053</v>
      </c>
      <c r="M31">
        <v>525</v>
      </c>
      <c r="N31">
        <v>525</v>
      </c>
      <c r="O31">
        <v>2</v>
      </c>
      <c r="P31">
        <v>36</v>
      </c>
      <c r="Q31">
        <v>3</v>
      </c>
    </row>
    <row r="32" spans="1:17" x14ac:dyDescent="0.3">
      <c r="A32" t="s">
        <v>292</v>
      </c>
      <c r="B32" t="s">
        <v>1054</v>
      </c>
      <c r="C32" t="s">
        <v>1706</v>
      </c>
      <c r="E32">
        <v>5068</v>
      </c>
      <c r="F32" t="s">
        <v>1055</v>
      </c>
      <c r="G32" t="s">
        <v>1056</v>
      </c>
      <c r="H32" t="s">
        <v>965</v>
      </c>
      <c r="I32">
        <v>77007</v>
      </c>
      <c r="J32" t="s">
        <v>1057</v>
      </c>
      <c r="K32">
        <v>2816914766</v>
      </c>
      <c r="M32">
        <v>6000</v>
      </c>
      <c r="N32">
        <v>6000</v>
      </c>
      <c r="O32">
        <v>7</v>
      </c>
      <c r="P32">
        <v>94</v>
      </c>
      <c r="Q32">
        <v>8</v>
      </c>
    </row>
    <row r="33" spans="1:17" x14ac:dyDescent="0.3">
      <c r="A33">
        <v>21</v>
      </c>
      <c r="B33" t="s">
        <v>1058</v>
      </c>
      <c r="C33" t="s">
        <v>1706</v>
      </c>
      <c r="E33">
        <v>5176</v>
      </c>
      <c r="F33" t="s">
        <v>1059</v>
      </c>
      <c r="G33" t="s">
        <v>1060</v>
      </c>
      <c r="H33" t="s">
        <v>965</v>
      </c>
      <c r="I33">
        <v>77545</v>
      </c>
      <c r="J33" t="s">
        <v>1061</v>
      </c>
      <c r="K33">
        <v>8324756213</v>
      </c>
      <c r="M33">
        <v>625</v>
      </c>
      <c r="N33">
        <v>625</v>
      </c>
      <c r="O33">
        <v>6</v>
      </c>
      <c r="P33">
        <v>63</v>
      </c>
      <c r="Q33">
        <v>16</v>
      </c>
    </row>
    <row r="34" spans="1:17" x14ac:dyDescent="0.3">
      <c r="A34" t="s">
        <v>462</v>
      </c>
      <c r="B34" t="s">
        <v>1062</v>
      </c>
      <c r="C34" t="s">
        <v>1706</v>
      </c>
      <c r="E34">
        <v>5065</v>
      </c>
      <c r="F34" t="s">
        <v>976</v>
      </c>
      <c r="G34" t="s">
        <v>977</v>
      </c>
      <c r="H34" t="s">
        <v>965</v>
      </c>
      <c r="I34">
        <v>77095</v>
      </c>
      <c r="J34" t="s">
        <v>978</v>
      </c>
      <c r="K34">
        <v>8325679148</v>
      </c>
      <c r="M34">
        <v>10500</v>
      </c>
      <c r="N34">
        <v>12550</v>
      </c>
      <c r="O34">
        <v>25</v>
      </c>
      <c r="P34">
        <v>72</v>
      </c>
      <c r="Q34">
        <v>8</v>
      </c>
    </row>
    <row r="35" spans="1:17" x14ac:dyDescent="0.3">
      <c r="A35">
        <v>22</v>
      </c>
      <c r="B35" t="s">
        <v>1063</v>
      </c>
      <c r="C35" t="s">
        <v>1706</v>
      </c>
      <c r="E35">
        <v>5173</v>
      </c>
      <c r="F35" t="s">
        <v>1064</v>
      </c>
      <c r="G35" t="s">
        <v>1065</v>
      </c>
      <c r="H35" t="s">
        <v>965</v>
      </c>
      <c r="I35">
        <v>77437</v>
      </c>
      <c r="J35" t="s">
        <v>1066</v>
      </c>
      <c r="K35" t="s">
        <v>1067</v>
      </c>
      <c r="M35">
        <v>500</v>
      </c>
      <c r="N35">
        <v>500</v>
      </c>
      <c r="O35">
        <v>1</v>
      </c>
      <c r="P35">
        <v>27</v>
      </c>
      <c r="Q35">
        <v>4</v>
      </c>
    </row>
    <row r="36" spans="1:17" x14ac:dyDescent="0.3">
      <c r="A36">
        <v>23</v>
      </c>
      <c r="B36" t="s">
        <v>1068</v>
      </c>
      <c r="C36" t="s">
        <v>1706</v>
      </c>
      <c r="F36" t="s">
        <v>649</v>
      </c>
      <c r="M36">
        <v>0</v>
      </c>
      <c r="N36">
        <v>0</v>
      </c>
      <c r="O36">
        <v>0</v>
      </c>
      <c r="P36">
        <v>20</v>
      </c>
      <c r="Q36">
        <v>0</v>
      </c>
    </row>
    <row r="37" spans="1:17" x14ac:dyDescent="0.3">
      <c r="A37">
        <v>24</v>
      </c>
      <c r="B37" t="s">
        <v>1069</v>
      </c>
      <c r="C37" t="s">
        <v>1706</v>
      </c>
      <c r="E37">
        <v>5079</v>
      </c>
      <c r="F37" t="s">
        <v>1070</v>
      </c>
      <c r="G37" t="s">
        <v>1071</v>
      </c>
      <c r="H37" t="s">
        <v>965</v>
      </c>
      <c r="I37">
        <v>77581</v>
      </c>
      <c r="J37" t="s">
        <v>1072</v>
      </c>
      <c r="K37">
        <v>2817738917</v>
      </c>
      <c r="L37">
        <v>2817152642</v>
      </c>
      <c r="M37">
        <v>7500</v>
      </c>
      <c r="N37">
        <v>7500</v>
      </c>
      <c r="O37">
        <v>16</v>
      </c>
      <c r="P37">
        <v>54</v>
      </c>
      <c r="Q37">
        <v>14</v>
      </c>
    </row>
    <row r="38" spans="1:17" x14ac:dyDescent="0.3">
      <c r="A38" t="s">
        <v>298</v>
      </c>
      <c r="B38" t="s">
        <v>1073</v>
      </c>
      <c r="C38" t="s">
        <v>1706</v>
      </c>
      <c r="E38">
        <v>5134</v>
      </c>
      <c r="F38" t="s">
        <v>1074</v>
      </c>
      <c r="G38" t="s">
        <v>1075</v>
      </c>
      <c r="H38" t="s">
        <v>965</v>
      </c>
      <c r="I38">
        <v>77459</v>
      </c>
      <c r="J38" t="s">
        <v>1076</v>
      </c>
      <c r="K38">
        <v>5129700808</v>
      </c>
      <c r="M38">
        <v>22000</v>
      </c>
      <c r="N38">
        <v>22000</v>
      </c>
      <c r="O38">
        <v>15</v>
      </c>
      <c r="P38">
        <v>171</v>
      </c>
      <c r="Q38">
        <v>41</v>
      </c>
    </row>
    <row r="39" spans="1:17" x14ac:dyDescent="0.3">
      <c r="A39">
        <v>26</v>
      </c>
      <c r="B39" t="s">
        <v>1077</v>
      </c>
      <c r="C39" t="s">
        <v>1706</v>
      </c>
      <c r="E39">
        <v>5194</v>
      </c>
      <c r="F39" t="s">
        <v>1078</v>
      </c>
      <c r="G39" t="s">
        <v>1079</v>
      </c>
      <c r="H39" t="s">
        <v>965</v>
      </c>
      <c r="I39">
        <v>77478</v>
      </c>
      <c r="J39" t="s">
        <v>1080</v>
      </c>
      <c r="K39">
        <v>8322164341</v>
      </c>
      <c r="M39">
        <v>500</v>
      </c>
      <c r="N39">
        <v>500</v>
      </c>
      <c r="O39">
        <v>1</v>
      </c>
      <c r="P39">
        <v>29</v>
      </c>
      <c r="Q39">
        <v>7</v>
      </c>
    </row>
    <row r="40" spans="1:17" x14ac:dyDescent="0.3">
      <c r="A40" t="s">
        <v>464</v>
      </c>
      <c r="B40" t="s">
        <v>1081</v>
      </c>
      <c r="C40" t="s">
        <v>1706</v>
      </c>
      <c r="E40">
        <v>5046</v>
      </c>
      <c r="F40" t="s">
        <v>644</v>
      </c>
      <c r="G40" t="s">
        <v>968</v>
      </c>
      <c r="H40" t="s">
        <v>965</v>
      </c>
      <c r="I40">
        <v>77477</v>
      </c>
      <c r="J40" t="s">
        <v>969</v>
      </c>
      <c r="K40" t="s">
        <v>970</v>
      </c>
      <c r="M40">
        <v>3000</v>
      </c>
      <c r="N40">
        <v>5500</v>
      </c>
      <c r="O40">
        <v>29</v>
      </c>
      <c r="P40">
        <v>164</v>
      </c>
      <c r="Q40">
        <v>43</v>
      </c>
    </row>
    <row r="41" spans="1:17" x14ac:dyDescent="0.3">
      <c r="A41">
        <v>27</v>
      </c>
      <c r="B41" t="s">
        <v>1082</v>
      </c>
      <c r="C41" t="s">
        <v>1706</v>
      </c>
      <c r="E41">
        <v>5141</v>
      </c>
      <c r="F41" t="s">
        <v>658</v>
      </c>
      <c r="G41" t="s">
        <v>964</v>
      </c>
      <c r="H41" t="s">
        <v>965</v>
      </c>
      <c r="I41">
        <v>77705</v>
      </c>
      <c r="J41" t="s">
        <v>966</v>
      </c>
      <c r="K41">
        <v>8322973609</v>
      </c>
      <c r="M41">
        <v>900</v>
      </c>
      <c r="N41">
        <v>900</v>
      </c>
      <c r="O41">
        <v>12</v>
      </c>
      <c r="P41">
        <v>41</v>
      </c>
      <c r="Q41">
        <v>11</v>
      </c>
    </row>
    <row r="42" spans="1:17" x14ac:dyDescent="0.3">
      <c r="A42" t="s">
        <v>302</v>
      </c>
      <c r="B42" t="s">
        <v>1083</v>
      </c>
      <c r="C42" t="s">
        <v>1706</v>
      </c>
      <c r="E42">
        <v>5046</v>
      </c>
      <c r="F42" t="s">
        <v>644</v>
      </c>
      <c r="G42" t="s">
        <v>968</v>
      </c>
      <c r="H42" t="s">
        <v>965</v>
      </c>
      <c r="I42">
        <v>77477</v>
      </c>
      <c r="J42" t="s">
        <v>969</v>
      </c>
      <c r="K42" t="s">
        <v>970</v>
      </c>
      <c r="M42">
        <v>30500</v>
      </c>
      <c r="N42">
        <v>50000</v>
      </c>
      <c r="O42">
        <v>32</v>
      </c>
      <c r="P42">
        <v>216</v>
      </c>
      <c r="Q42">
        <v>46</v>
      </c>
    </row>
    <row r="43" spans="1:17" x14ac:dyDescent="0.3">
      <c r="A43">
        <v>28</v>
      </c>
      <c r="B43" t="s">
        <v>1084</v>
      </c>
      <c r="C43" t="s">
        <v>1706</v>
      </c>
      <c r="F43" t="s">
        <v>649</v>
      </c>
      <c r="M43">
        <v>0</v>
      </c>
      <c r="N43">
        <v>0</v>
      </c>
      <c r="O43">
        <v>0</v>
      </c>
      <c r="P43">
        <v>30</v>
      </c>
      <c r="Q43">
        <v>1</v>
      </c>
    </row>
    <row r="44" spans="1:17" x14ac:dyDescent="0.3">
      <c r="A44">
        <v>29</v>
      </c>
      <c r="B44" t="s">
        <v>720</v>
      </c>
      <c r="C44" t="s">
        <v>1706</v>
      </c>
      <c r="F44" t="s">
        <v>649</v>
      </c>
      <c r="M44">
        <v>0</v>
      </c>
      <c r="N44">
        <v>0</v>
      </c>
      <c r="O44">
        <v>0</v>
      </c>
      <c r="P44">
        <v>31</v>
      </c>
      <c r="Q44">
        <v>2</v>
      </c>
    </row>
    <row r="45" spans="1:17" x14ac:dyDescent="0.3">
      <c r="A45">
        <v>30</v>
      </c>
      <c r="B45" t="s">
        <v>1085</v>
      </c>
      <c r="C45" t="s">
        <v>1706</v>
      </c>
      <c r="E45">
        <v>5153</v>
      </c>
      <c r="F45" t="s">
        <v>1086</v>
      </c>
      <c r="G45" t="s">
        <v>1087</v>
      </c>
      <c r="H45" t="s">
        <v>965</v>
      </c>
      <c r="I45">
        <v>77511</v>
      </c>
      <c r="J45" t="s">
        <v>1088</v>
      </c>
      <c r="K45">
        <v>7138942491</v>
      </c>
      <c r="M45">
        <v>1000</v>
      </c>
      <c r="N45">
        <v>1000</v>
      </c>
      <c r="O45">
        <v>6</v>
      </c>
      <c r="P45">
        <v>33</v>
      </c>
      <c r="Q45">
        <v>12</v>
      </c>
    </row>
    <row r="46" spans="1:17" x14ac:dyDescent="0.3">
      <c r="A46">
        <v>31</v>
      </c>
      <c r="B46" t="s">
        <v>963</v>
      </c>
      <c r="C46" t="s">
        <v>1706</v>
      </c>
      <c r="E46">
        <v>5141</v>
      </c>
      <c r="F46" t="s">
        <v>658</v>
      </c>
      <c r="G46" t="s">
        <v>964</v>
      </c>
      <c r="H46" t="s">
        <v>965</v>
      </c>
      <c r="I46">
        <v>77705</v>
      </c>
      <c r="J46" t="s">
        <v>966</v>
      </c>
      <c r="K46">
        <v>8322973609</v>
      </c>
      <c r="M46">
        <v>500</v>
      </c>
      <c r="N46">
        <v>500</v>
      </c>
      <c r="O46">
        <v>1</v>
      </c>
      <c r="P46">
        <v>42</v>
      </c>
      <c r="Q46">
        <v>3</v>
      </c>
    </row>
    <row r="47" spans="1:17" x14ac:dyDescent="0.3">
      <c r="A47" t="s">
        <v>926</v>
      </c>
      <c r="B47" t="s">
        <v>1089</v>
      </c>
      <c r="C47" t="s">
        <v>1706</v>
      </c>
      <c r="E47">
        <v>5159</v>
      </c>
      <c r="F47" t="s">
        <v>697</v>
      </c>
      <c r="G47" t="s">
        <v>1090</v>
      </c>
      <c r="H47" t="s">
        <v>965</v>
      </c>
      <c r="I47">
        <v>77449</v>
      </c>
      <c r="J47" t="s">
        <v>1091</v>
      </c>
      <c r="K47" t="s">
        <v>1092</v>
      </c>
      <c r="M47">
        <v>1500</v>
      </c>
      <c r="N47">
        <v>1500</v>
      </c>
      <c r="O47">
        <v>5</v>
      </c>
      <c r="P47">
        <v>70</v>
      </c>
      <c r="Q47">
        <v>16</v>
      </c>
    </row>
    <row r="48" spans="1:17" x14ac:dyDescent="0.3">
      <c r="A48">
        <v>32</v>
      </c>
      <c r="B48" t="s">
        <v>1093</v>
      </c>
      <c r="C48" t="s">
        <v>1706</v>
      </c>
      <c r="E48">
        <v>5232</v>
      </c>
      <c r="F48" t="s">
        <v>1094</v>
      </c>
      <c r="G48" t="s">
        <v>1095</v>
      </c>
      <c r="H48" t="s">
        <v>965</v>
      </c>
      <c r="I48">
        <v>77514</v>
      </c>
      <c r="J48" t="s">
        <v>1096</v>
      </c>
      <c r="K48">
        <v>8323347580</v>
      </c>
      <c r="M48">
        <v>2000</v>
      </c>
      <c r="N48">
        <v>2000</v>
      </c>
      <c r="O48">
        <v>6</v>
      </c>
      <c r="P48">
        <v>49</v>
      </c>
      <c r="Q48">
        <v>6</v>
      </c>
    </row>
    <row r="49" spans="1:17" x14ac:dyDescent="0.3">
      <c r="A49" t="s">
        <v>310</v>
      </c>
      <c r="B49" t="s">
        <v>282</v>
      </c>
      <c r="C49" t="s">
        <v>1706</v>
      </c>
      <c r="E49">
        <v>5046</v>
      </c>
      <c r="F49" t="s">
        <v>644</v>
      </c>
      <c r="G49" t="s">
        <v>968</v>
      </c>
      <c r="H49" t="s">
        <v>965</v>
      </c>
      <c r="I49">
        <v>77477</v>
      </c>
      <c r="J49" t="s">
        <v>969</v>
      </c>
      <c r="K49" t="s">
        <v>970</v>
      </c>
      <c r="M49">
        <v>6250</v>
      </c>
      <c r="N49">
        <v>20000</v>
      </c>
      <c r="O49">
        <v>11</v>
      </c>
      <c r="P49">
        <v>51</v>
      </c>
      <c r="Q49">
        <v>8</v>
      </c>
    </row>
    <row r="50" spans="1:17" x14ac:dyDescent="0.3">
      <c r="A50">
        <v>33</v>
      </c>
      <c r="B50" t="s">
        <v>1097</v>
      </c>
      <c r="C50" t="s">
        <v>1706</v>
      </c>
      <c r="E50">
        <v>5212</v>
      </c>
      <c r="F50" t="s">
        <v>709</v>
      </c>
      <c r="G50" t="s">
        <v>1098</v>
      </c>
      <c r="H50" t="s">
        <v>965</v>
      </c>
      <c r="I50">
        <v>77478</v>
      </c>
      <c r="J50" t="s">
        <v>1099</v>
      </c>
      <c r="K50">
        <v>8325263666</v>
      </c>
      <c r="M50">
        <v>675</v>
      </c>
      <c r="N50">
        <v>675</v>
      </c>
      <c r="O50">
        <v>8</v>
      </c>
      <c r="P50">
        <v>63</v>
      </c>
      <c r="Q50">
        <v>5</v>
      </c>
    </row>
    <row r="51" spans="1:17" x14ac:dyDescent="0.3">
      <c r="A51">
        <v>34</v>
      </c>
      <c r="B51" t="s">
        <v>1100</v>
      </c>
      <c r="C51" t="s">
        <v>1706</v>
      </c>
      <c r="F51" t="s">
        <v>649</v>
      </c>
      <c r="M51">
        <v>0</v>
      </c>
      <c r="N51">
        <v>0</v>
      </c>
      <c r="O51">
        <v>0</v>
      </c>
      <c r="P51">
        <v>27</v>
      </c>
      <c r="Q51">
        <v>8</v>
      </c>
    </row>
    <row r="52" spans="1:17" x14ac:dyDescent="0.3">
      <c r="A52">
        <v>35</v>
      </c>
      <c r="B52" t="s">
        <v>971</v>
      </c>
      <c r="C52" t="s">
        <v>1706</v>
      </c>
      <c r="E52">
        <v>5101</v>
      </c>
      <c r="F52" t="s">
        <v>1101</v>
      </c>
      <c r="G52" t="s">
        <v>1102</v>
      </c>
      <c r="H52" t="s">
        <v>965</v>
      </c>
      <c r="I52">
        <v>77075</v>
      </c>
      <c r="J52" t="s">
        <v>1103</v>
      </c>
      <c r="K52">
        <v>8328830204</v>
      </c>
      <c r="M52">
        <v>1300</v>
      </c>
      <c r="N52">
        <v>1300</v>
      </c>
      <c r="O52">
        <v>6</v>
      </c>
      <c r="P52">
        <v>13</v>
      </c>
      <c r="Q52">
        <v>18</v>
      </c>
    </row>
    <row r="53" spans="1:17" x14ac:dyDescent="0.3">
      <c r="A53">
        <v>36</v>
      </c>
      <c r="B53" t="s">
        <v>1104</v>
      </c>
      <c r="C53" t="s">
        <v>1706</v>
      </c>
      <c r="E53">
        <v>5165</v>
      </c>
      <c r="F53" t="s">
        <v>1105</v>
      </c>
      <c r="G53" t="s">
        <v>1106</v>
      </c>
      <c r="H53" t="s">
        <v>965</v>
      </c>
      <c r="I53">
        <v>77004</v>
      </c>
      <c r="J53" t="s">
        <v>1107</v>
      </c>
      <c r="K53">
        <v>8324075796</v>
      </c>
      <c r="M53">
        <v>800</v>
      </c>
      <c r="N53">
        <v>800</v>
      </c>
      <c r="O53">
        <v>5</v>
      </c>
      <c r="P53">
        <v>16</v>
      </c>
      <c r="Q53">
        <v>9</v>
      </c>
    </row>
    <row r="54" spans="1:17" x14ac:dyDescent="0.3">
      <c r="A54" t="s">
        <v>469</v>
      </c>
      <c r="B54" t="s">
        <v>1108</v>
      </c>
      <c r="C54" t="s">
        <v>1706</v>
      </c>
      <c r="E54">
        <v>5046</v>
      </c>
      <c r="F54" t="s">
        <v>644</v>
      </c>
      <c r="G54" t="s">
        <v>968</v>
      </c>
      <c r="H54" t="s">
        <v>965</v>
      </c>
      <c r="I54">
        <v>77477</v>
      </c>
      <c r="J54" t="s">
        <v>969</v>
      </c>
      <c r="K54" t="s">
        <v>970</v>
      </c>
      <c r="M54">
        <v>11000</v>
      </c>
      <c r="N54">
        <v>12000</v>
      </c>
      <c r="O54">
        <v>26</v>
      </c>
      <c r="P54">
        <v>50</v>
      </c>
      <c r="Q54">
        <v>25</v>
      </c>
    </row>
    <row r="55" spans="1:17" x14ac:dyDescent="0.3">
      <c r="A55">
        <v>37</v>
      </c>
      <c r="B55" t="s">
        <v>1109</v>
      </c>
      <c r="C55" t="s">
        <v>1706</v>
      </c>
      <c r="E55">
        <v>5159</v>
      </c>
      <c r="F55" t="s">
        <v>697</v>
      </c>
      <c r="G55" t="s">
        <v>1090</v>
      </c>
      <c r="H55" t="s">
        <v>965</v>
      </c>
      <c r="I55">
        <v>77449</v>
      </c>
      <c r="J55" t="s">
        <v>1091</v>
      </c>
      <c r="K55" t="s">
        <v>1092</v>
      </c>
      <c r="M55">
        <v>1000</v>
      </c>
      <c r="N55">
        <v>1000</v>
      </c>
      <c r="O55">
        <v>6</v>
      </c>
      <c r="P55">
        <v>39</v>
      </c>
      <c r="Q55">
        <v>14</v>
      </c>
    </row>
    <row r="56" spans="1:17" x14ac:dyDescent="0.3">
      <c r="A56" t="s">
        <v>402</v>
      </c>
      <c r="B56" t="s">
        <v>1110</v>
      </c>
      <c r="C56" t="s">
        <v>1706</v>
      </c>
      <c r="E56">
        <v>5141</v>
      </c>
      <c r="F56" t="s">
        <v>658</v>
      </c>
      <c r="G56" t="s">
        <v>964</v>
      </c>
      <c r="H56" t="s">
        <v>965</v>
      </c>
      <c r="I56">
        <v>77705</v>
      </c>
      <c r="J56" t="s">
        <v>966</v>
      </c>
      <c r="K56">
        <v>8322973609</v>
      </c>
      <c r="M56">
        <v>2200</v>
      </c>
      <c r="N56">
        <v>2200</v>
      </c>
      <c r="O56">
        <v>11</v>
      </c>
      <c r="P56">
        <v>46</v>
      </c>
      <c r="Q56">
        <v>20</v>
      </c>
    </row>
    <row r="57" spans="1:17" x14ac:dyDescent="0.3">
      <c r="A57">
        <v>38</v>
      </c>
      <c r="B57" t="s">
        <v>1111</v>
      </c>
      <c r="C57" t="s">
        <v>1706</v>
      </c>
      <c r="E57">
        <v>5154</v>
      </c>
      <c r="F57" t="s">
        <v>1045</v>
      </c>
      <c r="G57" t="s">
        <v>1046</v>
      </c>
      <c r="H57" t="s">
        <v>965</v>
      </c>
      <c r="I57">
        <v>77478</v>
      </c>
      <c r="J57" t="s">
        <v>1047</v>
      </c>
      <c r="K57">
        <v>7132023905</v>
      </c>
      <c r="M57">
        <v>500</v>
      </c>
      <c r="N57">
        <v>500</v>
      </c>
      <c r="O57">
        <v>1</v>
      </c>
      <c r="P57">
        <v>16</v>
      </c>
      <c r="Q57">
        <v>5</v>
      </c>
    </row>
    <row r="58" spans="1:17" x14ac:dyDescent="0.3">
      <c r="A58">
        <v>39</v>
      </c>
      <c r="B58" t="s">
        <v>971</v>
      </c>
      <c r="C58" t="s">
        <v>1706</v>
      </c>
      <c r="E58">
        <v>5063</v>
      </c>
      <c r="F58" t="s">
        <v>1031</v>
      </c>
      <c r="G58" t="s">
        <v>1032</v>
      </c>
      <c r="H58" t="s">
        <v>965</v>
      </c>
      <c r="I58">
        <v>77060</v>
      </c>
      <c r="J58" t="s">
        <v>1033</v>
      </c>
      <c r="K58">
        <v>8322472600</v>
      </c>
      <c r="M58">
        <v>1050</v>
      </c>
      <c r="N58">
        <v>1050</v>
      </c>
      <c r="O58">
        <v>11</v>
      </c>
      <c r="P58">
        <v>14</v>
      </c>
      <c r="Q58">
        <v>16</v>
      </c>
    </row>
    <row r="59" spans="1:17" x14ac:dyDescent="0.3">
      <c r="A59">
        <v>40</v>
      </c>
      <c r="B59" t="s">
        <v>1112</v>
      </c>
      <c r="C59" t="s">
        <v>1706</v>
      </c>
      <c r="F59" t="s">
        <v>649</v>
      </c>
      <c r="M59">
        <v>0</v>
      </c>
      <c r="N59">
        <v>0</v>
      </c>
      <c r="O59">
        <v>0</v>
      </c>
      <c r="P59">
        <v>15</v>
      </c>
      <c r="Q59">
        <v>2</v>
      </c>
    </row>
    <row r="60" spans="1:17" x14ac:dyDescent="0.3">
      <c r="A60">
        <v>41</v>
      </c>
      <c r="B60" t="s">
        <v>1113</v>
      </c>
      <c r="C60" t="s">
        <v>1706</v>
      </c>
      <c r="E60">
        <v>5254</v>
      </c>
      <c r="F60" t="s">
        <v>1114</v>
      </c>
      <c r="G60" t="s">
        <v>1115</v>
      </c>
      <c r="H60" t="s">
        <v>965</v>
      </c>
      <c r="I60">
        <v>77406</v>
      </c>
      <c r="J60" t="s">
        <v>1116</v>
      </c>
      <c r="K60">
        <v>9792573358</v>
      </c>
      <c r="M60">
        <v>625</v>
      </c>
      <c r="N60">
        <v>625</v>
      </c>
      <c r="O60">
        <v>6</v>
      </c>
      <c r="P60">
        <v>18</v>
      </c>
      <c r="Q60">
        <v>7</v>
      </c>
    </row>
    <row r="61" spans="1:17" x14ac:dyDescent="0.3">
      <c r="A61" t="s">
        <v>471</v>
      </c>
      <c r="B61" t="s">
        <v>1117</v>
      </c>
      <c r="C61" t="s">
        <v>1706</v>
      </c>
      <c r="E61">
        <v>5210</v>
      </c>
      <c r="F61" t="s">
        <v>1118</v>
      </c>
      <c r="G61" t="s">
        <v>1119</v>
      </c>
      <c r="H61" t="s">
        <v>965</v>
      </c>
      <c r="I61">
        <v>77469</v>
      </c>
      <c r="J61" t="s">
        <v>1120</v>
      </c>
      <c r="K61" t="s">
        <v>1121</v>
      </c>
      <c r="M61">
        <v>500</v>
      </c>
      <c r="N61">
        <v>500</v>
      </c>
      <c r="O61">
        <v>1</v>
      </c>
      <c r="P61">
        <v>26</v>
      </c>
      <c r="Q61">
        <v>6</v>
      </c>
    </row>
    <row r="62" spans="1:17" x14ac:dyDescent="0.3">
      <c r="A62">
        <v>42</v>
      </c>
      <c r="B62" t="s">
        <v>1122</v>
      </c>
      <c r="C62" t="s">
        <v>1706</v>
      </c>
      <c r="F62" t="s">
        <v>649</v>
      </c>
      <c r="M62">
        <v>0</v>
      </c>
      <c r="N62">
        <v>0</v>
      </c>
      <c r="O62">
        <v>0</v>
      </c>
      <c r="P62">
        <v>56</v>
      </c>
      <c r="Q62">
        <v>6</v>
      </c>
    </row>
    <row r="63" spans="1:17" x14ac:dyDescent="0.3">
      <c r="A63">
        <v>43</v>
      </c>
      <c r="B63" t="s">
        <v>1111</v>
      </c>
      <c r="C63" t="s">
        <v>1706</v>
      </c>
      <c r="E63">
        <v>5154</v>
      </c>
      <c r="F63" t="s">
        <v>1045</v>
      </c>
      <c r="G63" t="s">
        <v>1046</v>
      </c>
      <c r="H63" t="s">
        <v>965</v>
      </c>
      <c r="I63">
        <v>77478</v>
      </c>
      <c r="J63" t="s">
        <v>1047</v>
      </c>
      <c r="K63">
        <v>7132023905</v>
      </c>
      <c r="M63">
        <v>500</v>
      </c>
      <c r="N63">
        <v>500</v>
      </c>
      <c r="O63">
        <v>1</v>
      </c>
      <c r="P63">
        <v>14</v>
      </c>
      <c r="Q63">
        <v>5</v>
      </c>
    </row>
    <row r="64" spans="1:17" x14ac:dyDescent="0.3">
      <c r="A64">
        <v>44</v>
      </c>
      <c r="B64" t="s">
        <v>1123</v>
      </c>
      <c r="C64" t="s">
        <v>1706</v>
      </c>
      <c r="E64">
        <v>5076</v>
      </c>
      <c r="F64" t="s">
        <v>1024</v>
      </c>
      <c r="G64" t="s">
        <v>1025</v>
      </c>
      <c r="H64" t="s">
        <v>965</v>
      </c>
      <c r="I64">
        <v>77024</v>
      </c>
      <c r="J64" t="s">
        <v>1026</v>
      </c>
      <c r="K64">
        <v>3059263864</v>
      </c>
      <c r="M64">
        <v>6250</v>
      </c>
      <c r="N64">
        <v>6250</v>
      </c>
      <c r="O64">
        <v>16</v>
      </c>
      <c r="P64">
        <v>69</v>
      </c>
      <c r="Q64">
        <v>10</v>
      </c>
    </row>
    <row r="65" spans="1:17" x14ac:dyDescent="0.3">
      <c r="A65">
        <v>45</v>
      </c>
      <c r="B65" t="s">
        <v>1124</v>
      </c>
      <c r="C65" t="s">
        <v>1706</v>
      </c>
      <c r="E65">
        <v>5239</v>
      </c>
      <c r="F65" t="s">
        <v>683</v>
      </c>
      <c r="G65" t="s">
        <v>1125</v>
      </c>
      <c r="H65" t="s">
        <v>965</v>
      </c>
      <c r="I65">
        <v>77017</v>
      </c>
      <c r="J65" t="s">
        <v>1126</v>
      </c>
      <c r="K65">
        <v>8322771242</v>
      </c>
      <c r="M65">
        <v>3350</v>
      </c>
      <c r="N65">
        <v>3350</v>
      </c>
      <c r="O65">
        <v>23</v>
      </c>
      <c r="P65">
        <v>125</v>
      </c>
      <c r="Q65">
        <v>26</v>
      </c>
    </row>
    <row r="66" spans="1:17" x14ac:dyDescent="0.3">
      <c r="A66">
        <v>46</v>
      </c>
      <c r="B66" t="s">
        <v>715</v>
      </c>
      <c r="C66" t="s">
        <v>1706</v>
      </c>
      <c r="F66" t="s">
        <v>649</v>
      </c>
      <c r="M66">
        <v>0</v>
      </c>
      <c r="N66">
        <v>0</v>
      </c>
      <c r="O66">
        <v>0</v>
      </c>
      <c r="P66">
        <v>31</v>
      </c>
      <c r="Q66">
        <v>3</v>
      </c>
    </row>
    <row r="67" spans="1:17" x14ac:dyDescent="0.3">
      <c r="A67" t="s">
        <v>475</v>
      </c>
      <c r="B67" t="s">
        <v>1127</v>
      </c>
      <c r="C67" t="s">
        <v>1706</v>
      </c>
      <c r="E67">
        <v>5219</v>
      </c>
      <c r="F67" t="s">
        <v>1028</v>
      </c>
      <c r="G67" t="s">
        <v>1029</v>
      </c>
      <c r="H67" t="s">
        <v>965</v>
      </c>
      <c r="I67">
        <v>77092</v>
      </c>
      <c r="J67" t="s">
        <v>1030</v>
      </c>
      <c r="K67">
        <v>7138189124</v>
      </c>
      <c r="M67">
        <v>19000</v>
      </c>
      <c r="N67">
        <v>19000</v>
      </c>
      <c r="O67">
        <v>35</v>
      </c>
      <c r="P67">
        <v>63</v>
      </c>
      <c r="Q67">
        <v>20</v>
      </c>
    </row>
    <row r="68" spans="1:17" x14ac:dyDescent="0.3">
      <c r="A68">
        <v>47</v>
      </c>
      <c r="B68" t="s">
        <v>963</v>
      </c>
      <c r="C68" t="s">
        <v>1706</v>
      </c>
      <c r="E68">
        <v>5141</v>
      </c>
      <c r="F68" t="s">
        <v>658</v>
      </c>
      <c r="G68" t="s">
        <v>964</v>
      </c>
      <c r="H68" t="s">
        <v>965</v>
      </c>
      <c r="I68">
        <v>77705</v>
      </c>
      <c r="J68" t="s">
        <v>966</v>
      </c>
      <c r="K68">
        <v>8322973609</v>
      </c>
      <c r="M68">
        <v>525</v>
      </c>
      <c r="N68">
        <v>525</v>
      </c>
      <c r="O68">
        <v>2</v>
      </c>
      <c r="P68">
        <v>38</v>
      </c>
      <c r="Q68">
        <v>3</v>
      </c>
    </row>
    <row r="69" spans="1:17" x14ac:dyDescent="0.3">
      <c r="A69">
        <v>48</v>
      </c>
      <c r="B69" t="s">
        <v>1128</v>
      </c>
      <c r="C69" t="s">
        <v>1706</v>
      </c>
      <c r="F69" t="s">
        <v>649</v>
      </c>
      <c r="M69">
        <v>0</v>
      </c>
      <c r="N69">
        <v>0</v>
      </c>
      <c r="O69">
        <v>0</v>
      </c>
      <c r="P69">
        <v>17</v>
      </c>
      <c r="Q69">
        <v>3</v>
      </c>
    </row>
    <row r="70" spans="1:17" x14ac:dyDescent="0.3">
      <c r="A70">
        <v>49</v>
      </c>
      <c r="B70" t="s">
        <v>1129</v>
      </c>
      <c r="C70" t="s">
        <v>1706</v>
      </c>
      <c r="F70" t="s">
        <v>649</v>
      </c>
      <c r="M70">
        <v>0</v>
      </c>
      <c r="N70">
        <v>0</v>
      </c>
      <c r="O70">
        <v>0</v>
      </c>
      <c r="P70">
        <v>11</v>
      </c>
      <c r="Q70">
        <v>2</v>
      </c>
    </row>
    <row r="71" spans="1:17" x14ac:dyDescent="0.3">
      <c r="A71">
        <v>50</v>
      </c>
      <c r="B71" t="s">
        <v>1130</v>
      </c>
      <c r="C71" t="s">
        <v>1706</v>
      </c>
      <c r="F71" t="s">
        <v>649</v>
      </c>
      <c r="M71">
        <v>0</v>
      </c>
      <c r="N71">
        <v>0</v>
      </c>
      <c r="O71">
        <v>0</v>
      </c>
      <c r="P71">
        <v>26</v>
      </c>
      <c r="Q71">
        <v>2</v>
      </c>
    </row>
    <row r="72" spans="1:17" x14ac:dyDescent="0.3">
      <c r="A72">
        <v>51</v>
      </c>
      <c r="B72" t="s">
        <v>605</v>
      </c>
      <c r="C72" t="s">
        <v>1706</v>
      </c>
      <c r="E72">
        <v>5115</v>
      </c>
      <c r="F72" t="s">
        <v>986</v>
      </c>
      <c r="G72" t="s">
        <v>987</v>
      </c>
      <c r="H72" t="s">
        <v>965</v>
      </c>
      <c r="I72">
        <v>77379</v>
      </c>
      <c r="J72" t="s">
        <v>988</v>
      </c>
      <c r="K72" t="s">
        <v>989</v>
      </c>
      <c r="M72">
        <v>525</v>
      </c>
      <c r="N72">
        <v>525</v>
      </c>
      <c r="O72">
        <v>2</v>
      </c>
      <c r="P72">
        <v>31</v>
      </c>
      <c r="Q72">
        <v>6</v>
      </c>
    </row>
    <row r="73" spans="1:17" x14ac:dyDescent="0.3">
      <c r="A73">
        <v>52</v>
      </c>
      <c r="B73" t="s">
        <v>1104</v>
      </c>
      <c r="C73" t="s">
        <v>1706</v>
      </c>
      <c r="F73" t="s">
        <v>649</v>
      </c>
      <c r="M73">
        <v>0</v>
      </c>
      <c r="N73">
        <v>0</v>
      </c>
      <c r="O73">
        <v>0</v>
      </c>
      <c r="P73">
        <v>9</v>
      </c>
      <c r="Q73">
        <v>6</v>
      </c>
    </row>
    <row r="74" spans="1:17" x14ac:dyDescent="0.3">
      <c r="A74">
        <v>53</v>
      </c>
      <c r="B74" t="s">
        <v>1131</v>
      </c>
      <c r="C74" t="s">
        <v>1706</v>
      </c>
      <c r="E74">
        <v>5060</v>
      </c>
      <c r="F74" t="s">
        <v>702</v>
      </c>
      <c r="G74" t="s">
        <v>1132</v>
      </c>
      <c r="H74" t="s">
        <v>965</v>
      </c>
      <c r="I74">
        <v>77407</v>
      </c>
      <c r="J74" t="s">
        <v>1133</v>
      </c>
      <c r="K74">
        <v>8324644119</v>
      </c>
      <c r="M74">
        <v>500</v>
      </c>
      <c r="N74">
        <v>500</v>
      </c>
      <c r="O74">
        <v>1</v>
      </c>
      <c r="P74">
        <v>111</v>
      </c>
      <c r="Q74">
        <v>10</v>
      </c>
    </row>
    <row r="75" spans="1:17" x14ac:dyDescent="0.3">
      <c r="A75">
        <v>54</v>
      </c>
      <c r="B75" t="s">
        <v>971</v>
      </c>
      <c r="C75" t="s">
        <v>1706</v>
      </c>
      <c r="E75">
        <v>5211</v>
      </c>
      <c r="F75" t="s">
        <v>972</v>
      </c>
      <c r="G75" t="s">
        <v>973</v>
      </c>
      <c r="H75" t="s">
        <v>965</v>
      </c>
      <c r="I75">
        <v>77355</v>
      </c>
      <c r="J75" t="s">
        <v>974</v>
      </c>
      <c r="K75" t="s">
        <v>975</v>
      </c>
      <c r="M75">
        <v>1050</v>
      </c>
      <c r="N75">
        <v>1050</v>
      </c>
      <c r="O75">
        <v>13</v>
      </c>
      <c r="P75">
        <v>11</v>
      </c>
      <c r="Q75">
        <v>15</v>
      </c>
    </row>
    <row r="76" spans="1:17" x14ac:dyDescent="0.3">
      <c r="A76">
        <v>55</v>
      </c>
      <c r="B76" t="s">
        <v>1134</v>
      </c>
      <c r="C76" t="s">
        <v>1706</v>
      </c>
      <c r="E76">
        <v>5076</v>
      </c>
      <c r="F76" t="s">
        <v>1024</v>
      </c>
      <c r="G76" t="s">
        <v>1025</v>
      </c>
      <c r="H76" t="s">
        <v>965</v>
      </c>
      <c r="I76">
        <v>77024</v>
      </c>
      <c r="J76" t="s">
        <v>1026</v>
      </c>
      <c r="K76">
        <v>3059263864</v>
      </c>
      <c r="M76">
        <v>1800</v>
      </c>
      <c r="N76">
        <v>1800</v>
      </c>
      <c r="O76">
        <v>21</v>
      </c>
      <c r="P76">
        <v>54</v>
      </c>
      <c r="Q76">
        <v>48</v>
      </c>
    </row>
    <row r="77" spans="1:17" x14ac:dyDescent="0.3">
      <c r="A77" t="s">
        <v>930</v>
      </c>
      <c r="B77" t="s">
        <v>1135</v>
      </c>
      <c r="C77" t="s">
        <v>1706</v>
      </c>
      <c r="E77">
        <v>5186</v>
      </c>
      <c r="F77" t="s">
        <v>1136</v>
      </c>
      <c r="G77" t="s">
        <v>1137</v>
      </c>
      <c r="H77" t="s">
        <v>965</v>
      </c>
      <c r="I77">
        <v>77478</v>
      </c>
      <c r="J77" t="s">
        <v>1138</v>
      </c>
      <c r="K77">
        <v>7654097448</v>
      </c>
      <c r="M77">
        <v>20000</v>
      </c>
      <c r="N77">
        <v>20000</v>
      </c>
      <c r="O77">
        <v>36</v>
      </c>
      <c r="P77">
        <v>149</v>
      </c>
      <c r="Q77">
        <v>29</v>
      </c>
    </row>
    <row r="78" spans="1:17" x14ac:dyDescent="0.3">
      <c r="A78">
        <v>56</v>
      </c>
      <c r="B78" t="s">
        <v>1139</v>
      </c>
      <c r="C78" t="s">
        <v>1706</v>
      </c>
      <c r="E78">
        <v>5222</v>
      </c>
      <c r="F78" t="s">
        <v>1140</v>
      </c>
      <c r="G78" t="s">
        <v>1141</v>
      </c>
      <c r="H78" t="s">
        <v>965</v>
      </c>
      <c r="I78">
        <v>77583</v>
      </c>
      <c r="J78" t="s">
        <v>1142</v>
      </c>
      <c r="K78">
        <v>2813009653</v>
      </c>
      <c r="M78">
        <v>1300</v>
      </c>
      <c r="N78">
        <v>1300</v>
      </c>
      <c r="O78">
        <v>12</v>
      </c>
      <c r="P78">
        <v>41</v>
      </c>
      <c r="Q78">
        <v>13</v>
      </c>
    </row>
    <row r="79" spans="1:17" x14ac:dyDescent="0.3">
      <c r="A79" t="s">
        <v>479</v>
      </c>
      <c r="B79" t="s">
        <v>1143</v>
      </c>
      <c r="C79" t="s">
        <v>1706</v>
      </c>
      <c r="E79">
        <v>5046</v>
      </c>
      <c r="F79" t="s">
        <v>644</v>
      </c>
      <c r="G79" t="s">
        <v>968</v>
      </c>
      <c r="H79" t="s">
        <v>965</v>
      </c>
      <c r="I79">
        <v>77477</v>
      </c>
      <c r="J79" t="s">
        <v>969</v>
      </c>
      <c r="K79" t="s">
        <v>970</v>
      </c>
      <c r="M79">
        <v>1850</v>
      </c>
      <c r="N79">
        <v>4500</v>
      </c>
      <c r="O79">
        <v>15</v>
      </c>
      <c r="P79">
        <v>30</v>
      </c>
      <c r="Q79">
        <v>13</v>
      </c>
    </row>
    <row r="80" spans="1:17" x14ac:dyDescent="0.3">
      <c r="A80">
        <v>57</v>
      </c>
      <c r="B80" t="s">
        <v>1144</v>
      </c>
      <c r="C80" t="s">
        <v>1706</v>
      </c>
      <c r="E80">
        <v>5237</v>
      </c>
      <c r="F80" t="s">
        <v>1145</v>
      </c>
      <c r="G80" t="s">
        <v>1146</v>
      </c>
      <c r="H80" t="s">
        <v>965</v>
      </c>
      <c r="I80">
        <v>77029</v>
      </c>
      <c r="J80" t="s">
        <v>1147</v>
      </c>
      <c r="K80">
        <v>2818571757</v>
      </c>
      <c r="M80">
        <v>2600</v>
      </c>
      <c r="N80">
        <v>2600</v>
      </c>
      <c r="O80">
        <v>31</v>
      </c>
      <c r="P80">
        <v>37</v>
      </c>
      <c r="Q80">
        <v>22</v>
      </c>
    </row>
    <row r="81" spans="1:17" x14ac:dyDescent="0.3">
      <c r="A81">
        <v>58</v>
      </c>
      <c r="B81" t="s">
        <v>1148</v>
      </c>
      <c r="C81" t="s">
        <v>1706</v>
      </c>
      <c r="E81">
        <v>5063</v>
      </c>
      <c r="F81" t="s">
        <v>1031</v>
      </c>
      <c r="G81" t="s">
        <v>1032</v>
      </c>
      <c r="H81" t="s">
        <v>965</v>
      </c>
      <c r="I81">
        <v>77060</v>
      </c>
      <c r="J81" t="s">
        <v>1033</v>
      </c>
      <c r="K81">
        <v>8322472600</v>
      </c>
      <c r="M81">
        <v>1350</v>
      </c>
      <c r="N81">
        <v>1450</v>
      </c>
      <c r="O81">
        <v>17</v>
      </c>
      <c r="P81">
        <v>26</v>
      </c>
      <c r="Q81">
        <v>31</v>
      </c>
    </row>
    <row r="82" spans="1:17" x14ac:dyDescent="0.3">
      <c r="A82">
        <v>59</v>
      </c>
      <c r="B82" t="s">
        <v>1109</v>
      </c>
      <c r="C82" t="s">
        <v>1706</v>
      </c>
      <c r="E82">
        <v>5216</v>
      </c>
      <c r="F82" t="s">
        <v>1149</v>
      </c>
      <c r="G82" t="s">
        <v>1150</v>
      </c>
      <c r="H82" t="s">
        <v>965</v>
      </c>
      <c r="I82">
        <v>77583</v>
      </c>
      <c r="J82" t="s">
        <v>1151</v>
      </c>
      <c r="K82">
        <v>2818242435</v>
      </c>
      <c r="M82">
        <v>650</v>
      </c>
      <c r="N82">
        <v>725</v>
      </c>
      <c r="O82">
        <v>6</v>
      </c>
      <c r="P82">
        <v>34</v>
      </c>
      <c r="Q82">
        <v>15</v>
      </c>
    </row>
    <row r="83" spans="1:17" x14ac:dyDescent="0.3">
      <c r="A83">
        <v>60</v>
      </c>
      <c r="B83" t="s">
        <v>1152</v>
      </c>
      <c r="C83" t="s">
        <v>1706</v>
      </c>
      <c r="E83">
        <v>5260</v>
      </c>
      <c r="F83" t="s">
        <v>1153</v>
      </c>
      <c r="G83" t="s">
        <v>1154</v>
      </c>
      <c r="H83" t="s">
        <v>965</v>
      </c>
      <c r="I83">
        <v>77068</v>
      </c>
      <c r="J83" t="s">
        <v>1155</v>
      </c>
      <c r="K83">
        <v>8186310414</v>
      </c>
      <c r="M83">
        <v>2300</v>
      </c>
      <c r="N83">
        <v>2300</v>
      </c>
      <c r="O83">
        <v>9</v>
      </c>
      <c r="P83">
        <v>74</v>
      </c>
      <c r="Q83">
        <v>12</v>
      </c>
    </row>
    <row r="84" spans="1:17" x14ac:dyDescent="0.3">
      <c r="A84">
        <v>61</v>
      </c>
      <c r="B84" t="s">
        <v>1156</v>
      </c>
      <c r="C84" t="s">
        <v>1706</v>
      </c>
      <c r="E84">
        <v>5254</v>
      </c>
      <c r="F84" t="s">
        <v>1114</v>
      </c>
      <c r="G84" t="s">
        <v>1115</v>
      </c>
      <c r="H84" t="s">
        <v>965</v>
      </c>
      <c r="I84">
        <v>77406</v>
      </c>
      <c r="J84" t="s">
        <v>1116</v>
      </c>
      <c r="K84">
        <v>9792573358</v>
      </c>
      <c r="M84">
        <v>2500</v>
      </c>
      <c r="N84">
        <v>2500</v>
      </c>
      <c r="O84">
        <v>27</v>
      </c>
      <c r="P84">
        <v>42</v>
      </c>
      <c r="Q84">
        <v>10</v>
      </c>
    </row>
    <row r="85" spans="1:17" x14ac:dyDescent="0.3">
      <c r="A85" t="s">
        <v>481</v>
      </c>
      <c r="B85" t="s">
        <v>1157</v>
      </c>
      <c r="C85" t="s">
        <v>1706</v>
      </c>
      <c r="E85">
        <v>5141</v>
      </c>
      <c r="F85" t="s">
        <v>658</v>
      </c>
      <c r="G85" t="s">
        <v>964</v>
      </c>
      <c r="H85" t="s">
        <v>965</v>
      </c>
      <c r="I85">
        <v>77705</v>
      </c>
      <c r="J85" t="s">
        <v>966</v>
      </c>
      <c r="K85">
        <v>8322973609</v>
      </c>
      <c r="M85">
        <v>525</v>
      </c>
      <c r="N85">
        <v>525</v>
      </c>
      <c r="O85">
        <v>2</v>
      </c>
      <c r="P85">
        <v>30</v>
      </c>
      <c r="Q85">
        <v>8</v>
      </c>
    </row>
    <row r="86" spans="1:17" x14ac:dyDescent="0.3">
      <c r="A86">
        <v>62</v>
      </c>
      <c r="B86" t="s">
        <v>1158</v>
      </c>
      <c r="C86" t="s">
        <v>1706</v>
      </c>
      <c r="E86">
        <v>5154</v>
      </c>
      <c r="F86" t="s">
        <v>1045</v>
      </c>
      <c r="G86" t="s">
        <v>1046</v>
      </c>
      <c r="H86" t="s">
        <v>965</v>
      </c>
      <c r="I86">
        <v>77478</v>
      </c>
      <c r="J86" t="s">
        <v>1047</v>
      </c>
      <c r="K86">
        <v>7132023905</v>
      </c>
      <c r="M86">
        <v>525</v>
      </c>
      <c r="N86">
        <v>525</v>
      </c>
      <c r="O86">
        <v>2</v>
      </c>
      <c r="P86">
        <v>16</v>
      </c>
      <c r="Q86">
        <v>4</v>
      </c>
    </row>
    <row r="87" spans="1:17" x14ac:dyDescent="0.3">
      <c r="A87">
        <v>63</v>
      </c>
      <c r="B87" t="s">
        <v>1159</v>
      </c>
      <c r="C87" t="s">
        <v>1706</v>
      </c>
      <c r="F87" t="s">
        <v>649</v>
      </c>
      <c r="M87">
        <v>0</v>
      </c>
      <c r="N87">
        <v>0</v>
      </c>
      <c r="O87">
        <v>0</v>
      </c>
      <c r="P87">
        <v>30</v>
      </c>
      <c r="Q87">
        <v>5</v>
      </c>
    </row>
    <row r="88" spans="1:17" x14ac:dyDescent="0.3">
      <c r="A88">
        <v>64</v>
      </c>
      <c r="B88" t="s">
        <v>1160</v>
      </c>
      <c r="C88" t="s">
        <v>1706</v>
      </c>
      <c r="E88">
        <v>5154</v>
      </c>
      <c r="F88" t="s">
        <v>1045</v>
      </c>
      <c r="G88" t="s">
        <v>1046</v>
      </c>
      <c r="H88" t="s">
        <v>965</v>
      </c>
      <c r="I88">
        <v>77478</v>
      </c>
      <c r="J88" t="s">
        <v>1047</v>
      </c>
      <c r="K88">
        <v>7132023905</v>
      </c>
      <c r="M88">
        <v>500</v>
      </c>
      <c r="N88">
        <v>500</v>
      </c>
      <c r="O88">
        <v>1</v>
      </c>
      <c r="P88">
        <v>14</v>
      </c>
      <c r="Q88">
        <v>3</v>
      </c>
    </row>
    <row r="89" spans="1:17" x14ac:dyDescent="0.3">
      <c r="A89">
        <v>65</v>
      </c>
      <c r="B89" t="s">
        <v>1161</v>
      </c>
      <c r="C89" t="s">
        <v>1706</v>
      </c>
      <c r="E89">
        <v>5065</v>
      </c>
      <c r="F89" t="s">
        <v>976</v>
      </c>
      <c r="G89" t="s">
        <v>977</v>
      </c>
      <c r="H89" t="s">
        <v>965</v>
      </c>
      <c r="I89">
        <v>77095</v>
      </c>
      <c r="J89" t="s">
        <v>978</v>
      </c>
      <c r="K89">
        <v>8325679148</v>
      </c>
      <c r="M89">
        <v>900</v>
      </c>
      <c r="N89">
        <v>900</v>
      </c>
      <c r="O89">
        <v>9</v>
      </c>
      <c r="P89">
        <v>45</v>
      </c>
      <c r="Q89">
        <v>6</v>
      </c>
    </row>
    <row r="90" spans="1:17" x14ac:dyDescent="0.3">
      <c r="A90">
        <v>66</v>
      </c>
      <c r="B90" t="s">
        <v>1162</v>
      </c>
      <c r="C90" t="s">
        <v>1706</v>
      </c>
      <c r="E90">
        <v>5212</v>
      </c>
      <c r="F90" t="s">
        <v>709</v>
      </c>
      <c r="G90" t="s">
        <v>1098</v>
      </c>
      <c r="H90" t="s">
        <v>965</v>
      </c>
      <c r="I90">
        <v>77478</v>
      </c>
      <c r="J90" t="s">
        <v>1099</v>
      </c>
      <c r="K90">
        <v>8325263666</v>
      </c>
      <c r="M90">
        <v>2500</v>
      </c>
      <c r="N90">
        <v>2500</v>
      </c>
      <c r="O90">
        <v>25</v>
      </c>
      <c r="P90">
        <v>97</v>
      </c>
      <c r="Q90">
        <v>17</v>
      </c>
    </row>
    <row r="91" spans="1:17" x14ac:dyDescent="0.3">
      <c r="A91" t="s">
        <v>483</v>
      </c>
      <c r="B91" t="s">
        <v>1163</v>
      </c>
      <c r="C91" t="s">
        <v>1706</v>
      </c>
      <c r="E91">
        <v>5211</v>
      </c>
      <c r="F91" t="s">
        <v>972</v>
      </c>
      <c r="G91" t="s">
        <v>973</v>
      </c>
      <c r="H91" t="s">
        <v>965</v>
      </c>
      <c r="I91">
        <v>77355</v>
      </c>
      <c r="J91" t="s">
        <v>974</v>
      </c>
      <c r="K91" t="s">
        <v>975</v>
      </c>
      <c r="M91">
        <v>13500</v>
      </c>
      <c r="N91">
        <v>13500</v>
      </c>
      <c r="O91">
        <v>38</v>
      </c>
      <c r="P91">
        <v>116</v>
      </c>
      <c r="Q91">
        <v>52</v>
      </c>
    </row>
    <row r="92" spans="1:17" x14ac:dyDescent="0.3">
      <c r="A92">
        <v>67</v>
      </c>
      <c r="B92" t="s">
        <v>1164</v>
      </c>
      <c r="C92" t="s">
        <v>1706</v>
      </c>
      <c r="E92">
        <v>5265</v>
      </c>
      <c r="F92" t="s">
        <v>1165</v>
      </c>
      <c r="G92" t="s">
        <v>1166</v>
      </c>
      <c r="H92" t="s">
        <v>965</v>
      </c>
      <c r="I92">
        <v>77494</v>
      </c>
      <c r="J92" t="s">
        <v>1167</v>
      </c>
      <c r="K92">
        <v>7138207145</v>
      </c>
      <c r="M92">
        <v>3000</v>
      </c>
      <c r="N92">
        <v>3000</v>
      </c>
      <c r="O92">
        <v>32</v>
      </c>
      <c r="P92">
        <v>99</v>
      </c>
      <c r="Q92">
        <v>35</v>
      </c>
    </row>
    <row r="93" spans="1:17" x14ac:dyDescent="0.3">
      <c r="A93">
        <v>68</v>
      </c>
      <c r="B93" t="s">
        <v>1168</v>
      </c>
      <c r="C93" t="s">
        <v>1706</v>
      </c>
      <c r="E93">
        <v>5212</v>
      </c>
      <c r="F93" t="s">
        <v>709</v>
      </c>
      <c r="G93" t="s">
        <v>1098</v>
      </c>
      <c r="H93" t="s">
        <v>965</v>
      </c>
      <c r="I93">
        <v>77478</v>
      </c>
      <c r="J93" t="s">
        <v>1099</v>
      </c>
      <c r="K93">
        <v>8325263666</v>
      </c>
      <c r="M93">
        <v>2200</v>
      </c>
      <c r="N93">
        <v>2200</v>
      </c>
      <c r="O93">
        <v>26</v>
      </c>
      <c r="P93">
        <v>64</v>
      </c>
      <c r="Q93">
        <v>44</v>
      </c>
    </row>
    <row r="94" spans="1:17" x14ac:dyDescent="0.3">
      <c r="A94">
        <v>69</v>
      </c>
      <c r="B94" t="s">
        <v>1169</v>
      </c>
      <c r="C94" t="s">
        <v>1706</v>
      </c>
      <c r="E94">
        <v>5032</v>
      </c>
      <c r="F94" t="s">
        <v>1170</v>
      </c>
      <c r="G94" t="s">
        <v>1171</v>
      </c>
      <c r="H94" t="s">
        <v>965</v>
      </c>
      <c r="I94">
        <v>77478</v>
      </c>
      <c r="J94" t="s">
        <v>1172</v>
      </c>
      <c r="K94">
        <v>8327467594</v>
      </c>
      <c r="L94">
        <v>7137291033</v>
      </c>
      <c r="M94">
        <v>500</v>
      </c>
      <c r="N94">
        <v>500</v>
      </c>
      <c r="O94">
        <v>1</v>
      </c>
      <c r="P94">
        <v>15</v>
      </c>
      <c r="Q94">
        <v>3</v>
      </c>
    </row>
    <row r="95" spans="1:17" x14ac:dyDescent="0.3">
      <c r="A95">
        <v>70</v>
      </c>
      <c r="B95" t="s">
        <v>1173</v>
      </c>
      <c r="C95" t="s">
        <v>1706</v>
      </c>
      <c r="E95">
        <v>5141</v>
      </c>
      <c r="F95" t="s">
        <v>658</v>
      </c>
      <c r="G95" t="s">
        <v>964</v>
      </c>
      <c r="H95" t="s">
        <v>965</v>
      </c>
      <c r="I95">
        <v>77705</v>
      </c>
      <c r="J95" t="s">
        <v>966</v>
      </c>
      <c r="K95">
        <v>8322973609</v>
      </c>
      <c r="M95">
        <v>500</v>
      </c>
      <c r="N95">
        <v>500</v>
      </c>
      <c r="O95">
        <v>1</v>
      </c>
      <c r="P95">
        <v>24</v>
      </c>
      <c r="Q95">
        <v>11</v>
      </c>
    </row>
    <row r="96" spans="1:17" x14ac:dyDescent="0.3">
      <c r="A96">
        <v>71</v>
      </c>
      <c r="B96" t="s">
        <v>1174</v>
      </c>
      <c r="C96" t="s">
        <v>1706</v>
      </c>
      <c r="E96">
        <v>5086</v>
      </c>
      <c r="F96" t="s">
        <v>991</v>
      </c>
      <c r="G96" t="s">
        <v>992</v>
      </c>
      <c r="H96" t="s">
        <v>965</v>
      </c>
      <c r="I96">
        <v>77583</v>
      </c>
      <c r="J96" t="s">
        <v>993</v>
      </c>
      <c r="K96">
        <v>2819327605</v>
      </c>
      <c r="M96">
        <v>3000</v>
      </c>
      <c r="N96">
        <v>3000</v>
      </c>
      <c r="O96">
        <v>9</v>
      </c>
      <c r="P96">
        <v>33</v>
      </c>
      <c r="Q96">
        <v>19</v>
      </c>
    </row>
    <row r="97" spans="1:17" x14ac:dyDescent="0.3">
      <c r="A97" t="s">
        <v>487</v>
      </c>
      <c r="B97" t="s">
        <v>1175</v>
      </c>
      <c r="C97" t="s">
        <v>1706</v>
      </c>
      <c r="E97">
        <v>5217</v>
      </c>
      <c r="F97" t="s">
        <v>1000</v>
      </c>
      <c r="G97" t="s">
        <v>1001</v>
      </c>
      <c r="H97" t="s">
        <v>965</v>
      </c>
      <c r="I97">
        <v>77598</v>
      </c>
      <c r="J97" t="s">
        <v>1002</v>
      </c>
      <c r="K97" t="s">
        <v>1003</v>
      </c>
      <c r="M97">
        <v>32000</v>
      </c>
      <c r="N97">
        <v>32000</v>
      </c>
      <c r="O97">
        <v>34</v>
      </c>
      <c r="P97">
        <v>191</v>
      </c>
      <c r="Q97">
        <v>57</v>
      </c>
    </row>
    <row r="98" spans="1:17" x14ac:dyDescent="0.3">
      <c r="A98">
        <v>72</v>
      </c>
      <c r="B98" t="s">
        <v>1176</v>
      </c>
      <c r="C98" t="s">
        <v>1706</v>
      </c>
      <c r="F98" t="s">
        <v>649</v>
      </c>
      <c r="M98">
        <v>0</v>
      </c>
      <c r="N98">
        <v>0</v>
      </c>
      <c r="O98">
        <v>0</v>
      </c>
      <c r="P98">
        <v>22</v>
      </c>
      <c r="Q98">
        <v>4</v>
      </c>
    </row>
    <row r="99" spans="1:17" x14ac:dyDescent="0.3">
      <c r="A99">
        <v>73</v>
      </c>
      <c r="B99" t="s">
        <v>1177</v>
      </c>
      <c r="C99" t="s">
        <v>1706</v>
      </c>
      <c r="E99">
        <v>5264</v>
      </c>
      <c r="F99" t="s">
        <v>1178</v>
      </c>
      <c r="G99" t="s">
        <v>1179</v>
      </c>
      <c r="H99" t="s">
        <v>965</v>
      </c>
      <c r="I99">
        <v>77433</v>
      </c>
      <c r="J99" t="s">
        <v>1180</v>
      </c>
      <c r="K99" t="s">
        <v>1181</v>
      </c>
      <c r="M99">
        <v>650</v>
      </c>
      <c r="N99">
        <v>650</v>
      </c>
      <c r="O99">
        <v>7</v>
      </c>
      <c r="P99">
        <v>42</v>
      </c>
      <c r="Q99">
        <v>7</v>
      </c>
    </row>
    <row r="100" spans="1:17" x14ac:dyDescent="0.3">
      <c r="A100">
        <v>74</v>
      </c>
      <c r="B100" t="s">
        <v>1182</v>
      </c>
      <c r="C100" t="s">
        <v>1706</v>
      </c>
      <c r="E100">
        <v>5279</v>
      </c>
      <c r="F100" t="s">
        <v>1183</v>
      </c>
      <c r="G100" t="s">
        <v>1184</v>
      </c>
      <c r="H100" t="s">
        <v>965</v>
      </c>
      <c r="I100">
        <v>77498</v>
      </c>
      <c r="J100" t="s">
        <v>1185</v>
      </c>
      <c r="K100">
        <v>8325447995</v>
      </c>
      <c r="M100">
        <v>500</v>
      </c>
      <c r="N100">
        <v>500</v>
      </c>
      <c r="O100">
        <v>1</v>
      </c>
      <c r="P100">
        <v>19</v>
      </c>
      <c r="Q100">
        <v>7</v>
      </c>
    </row>
    <row r="101" spans="1:17" x14ac:dyDescent="0.3">
      <c r="A101">
        <v>75</v>
      </c>
      <c r="B101" t="s">
        <v>1186</v>
      </c>
      <c r="C101" t="s">
        <v>1706</v>
      </c>
      <c r="E101">
        <v>5068</v>
      </c>
      <c r="F101" t="s">
        <v>1055</v>
      </c>
      <c r="G101" t="s">
        <v>1056</v>
      </c>
      <c r="H101" t="s">
        <v>965</v>
      </c>
      <c r="I101">
        <v>77007</v>
      </c>
      <c r="J101" t="s">
        <v>1057</v>
      </c>
      <c r="K101">
        <v>2816914766</v>
      </c>
      <c r="M101">
        <v>4500</v>
      </c>
      <c r="N101">
        <v>4500</v>
      </c>
      <c r="O101">
        <v>13</v>
      </c>
      <c r="P101">
        <v>52</v>
      </c>
      <c r="Q101">
        <v>19</v>
      </c>
    </row>
    <row r="102" spans="1:17" x14ac:dyDescent="0.3">
      <c r="A102">
        <v>76</v>
      </c>
      <c r="B102" t="s">
        <v>1187</v>
      </c>
      <c r="C102" t="s">
        <v>1706</v>
      </c>
      <c r="E102">
        <v>5246</v>
      </c>
      <c r="F102" t="s">
        <v>689</v>
      </c>
      <c r="G102" t="s">
        <v>1188</v>
      </c>
      <c r="H102" t="s">
        <v>965</v>
      </c>
      <c r="I102">
        <v>77469</v>
      </c>
      <c r="J102" t="s">
        <v>1189</v>
      </c>
      <c r="K102">
        <v>7133056434</v>
      </c>
      <c r="M102">
        <v>550</v>
      </c>
      <c r="N102">
        <v>600</v>
      </c>
      <c r="O102">
        <v>3</v>
      </c>
      <c r="P102">
        <v>20</v>
      </c>
      <c r="Q102">
        <v>6</v>
      </c>
    </row>
    <row r="103" spans="1:17" x14ac:dyDescent="0.3">
      <c r="A103" t="s">
        <v>473</v>
      </c>
      <c r="B103" t="s">
        <v>1190</v>
      </c>
      <c r="C103" t="s">
        <v>1706</v>
      </c>
      <c r="E103">
        <v>5046</v>
      </c>
      <c r="F103" t="s">
        <v>644</v>
      </c>
      <c r="G103" t="s">
        <v>968</v>
      </c>
      <c r="H103" t="s">
        <v>965</v>
      </c>
      <c r="I103">
        <v>77477</v>
      </c>
      <c r="J103" t="s">
        <v>969</v>
      </c>
      <c r="K103" t="s">
        <v>970</v>
      </c>
      <c r="M103">
        <v>11000</v>
      </c>
      <c r="N103">
        <v>40000</v>
      </c>
      <c r="O103">
        <v>44</v>
      </c>
      <c r="P103">
        <v>106</v>
      </c>
      <c r="Q103">
        <v>22</v>
      </c>
    </row>
    <row r="104" spans="1:17" x14ac:dyDescent="0.3">
      <c r="A104">
        <v>77</v>
      </c>
      <c r="B104" t="s">
        <v>1104</v>
      </c>
      <c r="C104" t="s">
        <v>1706</v>
      </c>
      <c r="F104" t="s">
        <v>649</v>
      </c>
      <c r="M104">
        <v>0</v>
      </c>
      <c r="N104">
        <v>0</v>
      </c>
      <c r="O104">
        <v>0</v>
      </c>
      <c r="P104">
        <v>5</v>
      </c>
      <c r="Q104">
        <v>5</v>
      </c>
    </row>
    <row r="105" spans="1:17" x14ac:dyDescent="0.3">
      <c r="A105">
        <v>78</v>
      </c>
      <c r="B105" t="s">
        <v>1191</v>
      </c>
      <c r="C105" t="s">
        <v>1706</v>
      </c>
      <c r="E105">
        <v>5070</v>
      </c>
      <c r="F105" t="s">
        <v>1192</v>
      </c>
      <c r="G105" t="s">
        <v>1193</v>
      </c>
      <c r="H105" t="s">
        <v>965</v>
      </c>
      <c r="I105">
        <v>77478</v>
      </c>
      <c r="J105" t="s">
        <v>1194</v>
      </c>
      <c r="K105">
        <v>8328594872</v>
      </c>
      <c r="M105">
        <v>525</v>
      </c>
      <c r="N105">
        <v>525</v>
      </c>
      <c r="O105">
        <v>2</v>
      </c>
      <c r="P105">
        <v>16</v>
      </c>
      <c r="Q105">
        <v>12</v>
      </c>
    </row>
    <row r="106" spans="1:17" x14ac:dyDescent="0.3">
      <c r="A106">
        <v>79</v>
      </c>
      <c r="B106" t="s">
        <v>1191</v>
      </c>
      <c r="C106" t="s">
        <v>1706</v>
      </c>
      <c r="E106">
        <v>5279</v>
      </c>
      <c r="F106" t="s">
        <v>1183</v>
      </c>
      <c r="G106" t="s">
        <v>1184</v>
      </c>
      <c r="H106" t="s">
        <v>965</v>
      </c>
      <c r="I106">
        <v>77498</v>
      </c>
      <c r="J106" t="s">
        <v>1185</v>
      </c>
      <c r="K106">
        <v>8325447995</v>
      </c>
      <c r="M106">
        <v>525</v>
      </c>
      <c r="N106">
        <v>525</v>
      </c>
      <c r="O106">
        <v>2</v>
      </c>
      <c r="P106">
        <v>7</v>
      </c>
      <c r="Q106">
        <v>11</v>
      </c>
    </row>
    <row r="107" spans="1:17" x14ac:dyDescent="0.3">
      <c r="A107">
        <v>80</v>
      </c>
      <c r="B107" t="s">
        <v>1195</v>
      </c>
      <c r="C107" t="s">
        <v>1706</v>
      </c>
      <c r="E107">
        <v>5141</v>
      </c>
      <c r="F107" t="s">
        <v>658</v>
      </c>
      <c r="G107" t="s">
        <v>964</v>
      </c>
      <c r="H107" t="s">
        <v>965</v>
      </c>
      <c r="I107">
        <v>77705</v>
      </c>
      <c r="J107" t="s">
        <v>966</v>
      </c>
      <c r="K107">
        <v>8322973609</v>
      </c>
      <c r="M107">
        <v>550</v>
      </c>
      <c r="N107">
        <v>550</v>
      </c>
      <c r="O107">
        <v>3</v>
      </c>
      <c r="P107">
        <v>16</v>
      </c>
      <c r="Q107">
        <v>9</v>
      </c>
    </row>
    <row r="108" spans="1:17" x14ac:dyDescent="0.3">
      <c r="A108">
        <v>81</v>
      </c>
      <c r="B108" t="s">
        <v>1195</v>
      </c>
      <c r="C108" t="s">
        <v>1706</v>
      </c>
      <c r="E108">
        <v>5141</v>
      </c>
      <c r="F108" t="s">
        <v>658</v>
      </c>
      <c r="G108" t="s">
        <v>964</v>
      </c>
      <c r="H108" t="s">
        <v>965</v>
      </c>
      <c r="I108">
        <v>77705</v>
      </c>
      <c r="J108" t="s">
        <v>966</v>
      </c>
      <c r="K108">
        <v>8322973609</v>
      </c>
      <c r="M108">
        <v>575</v>
      </c>
      <c r="N108">
        <v>575</v>
      </c>
      <c r="O108">
        <v>4</v>
      </c>
      <c r="P108">
        <v>13</v>
      </c>
      <c r="Q108">
        <v>9</v>
      </c>
    </row>
    <row r="109" spans="1:17" x14ac:dyDescent="0.3">
      <c r="A109" t="s">
        <v>489</v>
      </c>
      <c r="B109" t="s">
        <v>1196</v>
      </c>
      <c r="C109" t="s">
        <v>1706</v>
      </c>
      <c r="E109">
        <v>5155</v>
      </c>
      <c r="F109" t="s">
        <v>1197</v>
      </c>
      <c r="G109" t="s">
        <v>1198</v>
      </c>
      <c r="H109" t="s">
        <v>965</v>
      </c>
      <c r="I109" t="s">
        <v>1199</v>
      </c>
      <c r="J109" t="s">
        <v>1200</v>
      </c>
      <c r="K109">
        <v>7138573591</v>
      </c>
      <c r="L109">
        <v>7138573591</v>
      </c>
      <c r="M109">
        <v>20500</v>
      </c>
      <c r="N109">
        <v>20500</v>
      </c>
      <c r="O109">
        <v>24</v>
      </c>
      <c r="P109">
        <v>49</v>
      </c>
      <c r="Q109">
        <v>25</v>
      </c>
    </row>
    <row r="110" spans="1:17" x14ac:dyDescent="0.3">
      <c r="A110">
        <v>82</v>
      </c>
      <c r="B110" t="s">
        <v>1201</v>
      </c>
      <c r="C110" t="s">
        <v>1706</v>
      </c>
      <c r="E110">
        <v>5006</v>
      </c>
      <c r="F110" t="s">
        <v>1202</v>
      </c>
      <c r="G110" t="s">
        <v>1203</v>
      </c>
      <c r="H110" t="s">
        <v>965</v>
      </c>
      <c r="I110">
        <v>77429</v>
      </c>
      <c r="J110" t="s">
        <v>1204</v>
      </c>
      <c r="K110" t="s">
        <v>1205</v>
      </c>
      <c r="M110">
        <v>500</v>
      </c>
      <c r="N110">
        <v>500</v>
      </c>
      <c r="O110">
        <v>1</v>
      </c>
      <c r="P110">
        <v>9</v>
      </c>
      <c r="Q110">
        <v>6</v>
      </c>
    </row>
    <row r="111" spans="1:17" x14ac:dyDescent="0.3">
      <c r="A111">
        <v>83</v>
      </c>
      <c r="B111" t="s">
        <v>719</v>
      </c>
      <c r="C111" t="s">
        <v>1706</v>
      </c>
      <c r="F111" t="s">
        <v>649</v>
      </c>
      <c r="M111">
        <v>0</v>
      </c>
      <c r="N111">
        <v>0</v>
      </c>
      <c r="O111">
        <v>0</v>
      </c>
      <c r="P111">
        <v>18</v>
      </c>
      <c r="Q111">
        <v>1</v>
      </c>
    </row>
    <row r="112" spans="1:17" x14ac:dyDescent="0.3">
      <c r="A112">
        <v>84</v>
      </c>
      <c r="B112" t="s">
        <v>719</v>
      </c>
      <c r="C112" t="s">
        <v>1706</v>
      </c>
      <c r="F112" t="s">
        <v>649</v>
      </c>
      <c r="M112">
        <v>0</v>
      </c>
      <c r="N112">
        <v>0</v>
      </c>
      <c r="O112">
        <v>0</v>
      </c>
      <c r="P112">
        <v>13</v>
      </c>
      <c r="Q112">
        <v>1</v>
      </c>
    </row>
    <row r="113" spans="1:17" x14ac:dyDescent="0.3">
      <c r="A113">
        <v>85</v>
      </c>
      <c r="B113" t="s">
        <v>1206</v>
      </c>
      <c r="C113" t="s">
        <v>1706</v>
      </c>
      <c r="E113">
        <v>5141</v>
      </c>
      <c r="F113" t="s">
        <v>658</v>
      </c>
      <c r="G113" t="s">
        <v>964</v>
      </c>
      <c r="H113" t="s">
        <v>965</v>
      </c>
      <c r="I113">
        <v>77705</v>
      </c>
      <c r="J113" t="s">
        <v>966</v>
      </c>
      <c r="K113">
        <v>8322973609</v>
      </c>
      <c r="M113">
        <v>600</v>
      </c>
      <c r="N113">
        <v>600</v>
      </c>
      <c r="O113">
        <v>5</v>
      </c>
      <c r="P113">
        <v>55</v>
      </c>
      <c r="Q113">
        <v>17</v>
      </c>
    </row>
    <row r="114" spans="1:17" x14ac:dyDescent="0.3">
      <c r="A114">
        <v>86</v>
      </c>
      <c r="B114" t="s">
        <v>1207</v>
      </c>
      <c r="C114" t="s">
        <v>1706</v>
      </c>
      <c r="E114">
        <v>5216</v>
      </c>
      <c r="F114" t="s">
        <v>1149</v>
      </c>
      <c r="G114" t="s">
        <v>1150</v>
      </c>
      <c r="H114" t="s">
        <v>965</v>
      </c>
      <c r="I114">
        <v>77583</v>
      </c>
      <c r="J114" t="s">
        <v>1151</v>
      </c>
      <c r="K114">
        <v>2818242435</v>
      </c>
      <c r="M114">
        <v>600</v>
      </c>
      <c r="N114">
        <v>600</v>
      </c>
      <c r="O114">
        <v>3</v>
      </c>
      <c r="P114">
        <v>29</v>
      </c>
      <c r="Q114">
        <v>11</v>
      </c>
    </row>
    <row r="115" spans="1:17" x14ac:dyDescent="0.3">
      <c r="A115" t="s">
        <v>491</v>
      </c>
      <c r="B115" t="s">
        <v>1143</v>
      </c>
      <c r="C115" t="s">
        <v>1706</v>
      </c>
      <c r="E115">
        <v>5046</v>
      </c>
      <c r="F115" t="s">
        <v>644</v>
      </c>
      <c r="G115" t="s">
        <v>968</v>
      </c>
      <c r="H115" t="s">
        <v>965</v>
      </c>
      <c r="I115">
        <v>77477</v>
      </c>
      <c r="J115" t="s">
        <v>969</v>
      </c>
      <c r="K115" t="s">
        <v>970</v>
      </c>
      <c r="M115">
        <v>1750</v>
      </c>
      <c r="N115">
        <v>4500</v>
      </c>
      <c r="O115">
        <v>6</v>
      </c>
      <c r="P115">
        <v>28</v>
      </c>
      <c r="Q115">
        <v>16</v>
      </c>
    </row>
    <row r="116" spans="1:17" x14ac:dyDescent="0.3">
      <c r="A116">
        <v>87</v>
      </c>
      <c r="B116" t="s">
        <v>1208</v>
      </c>
      <c r="C116" t="s">
        <v>1706</v>
      </c>
      <c r="E116">
        <v>5070</v>
      </c>
      <c r="F116" t="s">
        <v>1192</v>
      </c>
      <c r="G116" t="s">
        <v>1193</v>
      </c>
      <c r="H116" t="s">
        <v>965</v>
      </c>
      <c r="I116">
        <v>77478</v>
      </c>
      <c r="J116" t="s">
        <v>1194</v>
      </c>
      <c r="K116">
        <v>8328594872</v>
      </c>
      <c r="M116">
        <v>2700</v>
      </c>
      <c r="N116">
        <v>2700</v>
      </c>
      <c r="O116">
        <v>14</v>
      </c>
      <c r="P116">
        <v>47</v>
      </c>
      <c r="Q116">
        <v>11</v>
      </c>
    </row>
    <row r="117" spans="1:17" x14ac:dyDescent="0.3">
      <c r="A117">
        <v>88</v>
      </c>
      <c r="B117" t="s">
        <v>1209</v>
      </c>
      <c r="C117" t="s">
        <v>1706</v>
      </c>
      <c r="F117" t="s">
        <v>649</v>
      </c>
      <c r="M117">
        <v>0</v>
      </c>
      <c r="N117">
        <v>0</v>
      </c>
      <c r="O117">
        <v>0</v>
      </c>
      <c r="P117">
        <v>13</v>
      </c>
      <c r="Q117">
        <v>9</v>
      </c>
    </row>
    <row r="118" spans="1:17" x14ac:dyDescent="0.3">
      <c r="A118">
        <v>89</v>
      </c>
      <c r="B118" t="s">
        <v>1210</v>
      </c>
      <c r="C118" t="s">
        <v>1706</v>
      </c>
      <c r="F118" t="s">
        <v>649</v>
      </c>
      <c r="M118">
        <v>0</v>
      </c>
      <c r="N118">
        <v>0</v>
      </c>
      <c r="O118">
        <v>0</v>
      </c>
      <c r="P118">
        <v>27</v>
      </c>
      <c r="Q118">
        <v>2</v>
      </c>
    </row>
    <row r="119" spans="1:17" x14ac:dyDescent="0.3">
      <c r="A119">
        <v>90</v>
      </c>
      <c r="B119" t="s">
        <v>1209</v>
      </c>
      <c r="C119" t="s">
        <v>1706</v>
      </c>
      <c r="E119">
        <v>5223</v>
      </c>
      <c r="F119" t="s">
        <v>1211</v>
      </c>
      <c r="G119" t="s">
        <v>1212</v>
      </c>
      <c r="H119" t="s">
        <v>965</v>
      </c>
      <c r="I119">
        <v>77345</v>
      </c>
      <c r="J119" t="s">
        <v>1213</v>
      </c>
      <c r="K119" t="s">
        <v>1214</v>
      </c>
      <c r="M119">
        <v>525</v>
      </c>
      <c r="N119">
        <v>525</v>
      </c>
      <c r="O119">
        <v>2</v>
      </c>
      <c r="P119">
        <v>15</v>
      </c>
      <c r="Q119">
        <v>12</v>
      </c>
    </row>
    <row r="120" spans="1:17" x14ac:dyDescent="0.3">
      <c r="A120">
        <v>91</v>
      </c>
      <c r="B120" t="s">
        <v>1210</v>
      </c>
      <c r="C120" t="s">
        <v>1706</v>
      </c>
      <c r="F120" t="s">
        <v>649</v>
      </c>
      <c r="M120">
        <v>0</v>
      </c>
      <c r="N120">
        <v>0</v>
      </c>
      <c r="O120">
        <v>0</v>
      </c>
      <c r="P120">
        <v>15</v>
      </c>
      <c r="Q120">
        <v>1</v>
      </c>
    </row>
    <row r="121" spans="1:17" x14ac:dyDescent="0.3">
      <c r="A121" t="s">
        <v>493</v>
      </c>
      <c r="B121" t="s">
        <v>1215</v>
      </c>
      <c r="C121" t="s">
        <v>1706</v>
      </c>
      <c r="E121">
        <v>5038</v>
      </c>
      <c r="F121" t="s">
        <v>1216</v>
      </c>
      <c r="G121" t="s">
        <v>1217</v>
      </c>
      <c r="H121" t="s">
        <v>965</v>
      </c>
      <c r="I121">
        <v>77071</v>
      </c>
      <c r="J121" t="s">
        <v>1218</v>
      </c>
      <c r="K121">
        <v>8325254642</v>
      </c>
      <c r="M121">
        <v>18500</v>
      </c>
      <c r="N121">
        <v>18500</v>
      </c>
      <c r="O121">
        <v>27</v>
      </c>
      <c r="P121">
        <v>31</v>
      </c>
      <c r="Q121">
        <v>29</v>
      </c>
    </row>
    <row r="122" spans="1:17" x14ac:dyDescent="0.3">
      <c r="A122">
        <v>92</v>
      </c>
      <c r="B122" t="s">
        <v>1219</v>
      </c>
      <c r="C122" t="s">
        <v>1706</v>
      </c>
      <c r="E122">
        <v>5276</v>
      </c>
      <c r="F122" t="s">
        <v>1220</v>
      </c>
      <c r="G122" t="s">
        <v>1221</v>
      </c>
      <c r="H122" t="s">
        <v>965</v>
      </c>
      <c r="I122">
        <v>77562</v>
      </c>
      <c r="J122" t="s">
        <v>1222</v>
      </c>
      <c r="K122">
        <v>7132944851</v>
      </c>
      <c r="M122">
        <v>38500</v>
      </c>
      <c r="N122">
        <v>38500</v>
      </c>
      <c r="O122">
        <v>77</v>
      </c>
      <c r="P122">
        <v>179</v>
      </c>
      <c r="Q122">
        <v>32</v>
      </c>
    </row>
    <row r="123" spans="1:17" x14ac:dyDescent="0.3">
      <c r="A123">
        <v>93</v>
      </c>
      <c r="B123" t="s">
        <v>1223</v>
      </c>
      <c r="C123" t="s">
        <v>1706</v>
      </c>
      <c r="F123" t="s">
        <v>649</v>
      </c>
      <c r="M123">
        <v>0</v>
      </c>
      <c r="N123">
        <v>0</v>
      </c>
      <c r="O123">
        <v>0</v>
      </c>
      <c r="P123">
        <v>11</v>
      </c>
      <c r="Q123">
        <v>2</v>
      </c>
    </row>
    <row r="124" spans="1:17" x14ac:dyDescent="0.3">
      <c r="A124">
        <v>94</v>
      </c>
      <c r="B124" t="s">
        <v>1209</v>
      </c>
      <c r="C124" t="s">
        <v>1706</v>
      </c>
      <c r="E124">
        <v>5223</v>
      </c>
      <c r="F124" t="s">
        <v>1211</v>
      </c>
      <c r="G124" t="s">
        <v>1212</v>
      </c>
      <c r="H124" t="s">
        <v>965</v>
      </c>
      <c r="I124">
        <v>77345</v>
      </c>
      <c r="J124" t="s">
        <v>1213</v>
      </c>
      <c r="K124" t="s">
        <v>1214</v>
      </c>
      <c r="M124">
        <v>525</v>
      </c>
      <c r="N124">
        <v>525</v>
      </c>
      <c r="O124">
        <v>2</v>
      </c>
      <c r="P124">
        <v>9</v>
      </c>
      <c r="Q124">
        <v>8</v>
      </c>
    </row>
    <row r="125" spans="1:17" x14ac:dyDescent="0.3">
      <c r="A125">
        <v>95</v>
      </c>
      <c r="B125" t="s">
        <v>1224</v>
      </c>
      <c r="C125" t="s">
        <v>1706</v>
      </c>
      <c r="E125">
        <v>5046</v>
      </c>
      <c r="F125" t="s">
        <v>644</v>
      </c>
      <c r="G125" t="s">
        <v>968</v>
      </c>
      <c r="H125" t="s">
        <v>965</v>
      </c>
      <c r="I125">
        <v>77477</v>
      </c>
      <c r="J125" t="s">
        <v>969</v>
      </c>
      <c r="K125" t="s">
        <v>970</v>
      </c>
      <c r="M125">
        <v>525</v>
      </c>
      <c r="N125">
        <v>2000</v>
      </c>
      <c r="O125">
        <v>2</v>
      </c>
      <c r="P125">
        <v>30</v>
      </c>
      <c r="Q125">
        <v>3</v>
      </c>
    </row>
    <row r="126" spans="1:17" x14ac:dyDescent="0.3">
      <c r="A126">
        <v>96</v>
      </c>
      <c r="B126" t="s">
        <v>1225</v>
      </c>
      <c r="C126" t="s">
        <v>1706</v>
      </c>
      <c r="E126">
        <v>5194</v>
      </c>
      <c r="F126" t="s">
        <v>1078</v>
      </c>
      <c r="G126" t="s">
        <v>1079</v>
      </c>
      <c r="H126" t="s">
        <v>965</v>
      </c>
      <c r="I126">
        <v>77478</v>
      </c>
      <c r="J126" t="s">
        <v>1080</v>
      </c>
      <c r="K126">
        <v>8322164341</v>
      </c>
      <c r="M126">
        <v>2000</v>
      </c>
      <c r="N126">
        <v>2000</v>
      </c>
      <c r="O126">
        <v>22</v>
      </c>
      <c r="P126">
        <v>44</v>
      </c>
      <c r="Q126">
        <v>32</v>
      </c>
    </row>
    <row r="127" spans="1:17" x14ac:dyDescent="0.3">
      <c r="A127" t="s">
        <v>495</v>
      </c>
      <c r="B127" t="s">
        <v>1196</v>
      </c>
      <c r="C127" t="s">
        <v>1706</v>
      </c>
      <c r="E127">
        <v>5276</v>
      </c>
      <c r="F127" t="s">
        <v>1220</v>
      </c>
      <c r="G127" t="s">
        <v>1221</v>
      </c>
      <c r="H127" t="s">
        <v>965</v>
      </c>
      <c r="I127">
        <v>77562</v>
      </c>
      <c r="J127" t="s">
        <v>1222</v>
      </c>
      <c r="K127">
        <v>7132944851</v>
      </c>
      <c r="M127">
        <v>18500</v>
      </c>
      <c r="N127">
        <v>18500</v>
      </c>
      <c r="O127">
        <v>18</v>
      </c>
      <c r="P127">
        <v>27</v>
      </c>
      <c r="Q127">
        <v>25</v>
      </c>
    </row>
    <row r="128" spans="1:17" x14ac:dyDescent="0.3">
      <c r="A128">
        <v>97</v>
      </c>
      <c r="B128" t="s">
        <v>1226</v>
      </c>
      <c r="C128" t="s">
        <v>1706</v>
      </c>
      <c r="E128">
        <v>5133</v>
      </c>
      <c r="F128" t="s">
        <v>1227</v>
      </c>
      <c r="G128" t="s">
        <v>1228</v>
      </c>
      <c r="H128" t="s">
        <v>965</v>
      </c>
      <c r="I128">
        <v>77459</v>
      </c>
      <c r="J128" t="s">
        <v>1229</v>
      </c>
      <c r="K128">
        <v>2812029040</v>
      </c>
      <c r="M128">
        <v>16750</v>
      </c>
      <c r="N128">
        <v>16850</v>
      </c>
      <c r="O128">
        <v>45</v>
      </c>
      <c r="P128">
        <v>82</v>
      </c>
      <c r="Q128">
        <v>24</v>
      </c>
    </row>
    <row r="129" spans="1:17" x14ac:dyDescent="0.3">
      <c r="A129">
        <v>98</v>
      </c>
      <c r="B129" t="s">
        <v>1209</v>
      </c>
      <c r="C129" t="s">
        <v>1706</v>
      </c>
      <c r="E129">
        <v>5223</v>
      </c>
      <c r="F129" t="s">
        <v>1211</v>
      </c>
      <c r="G129" t="s">
        <v>1212</v>
      </c>
      <c r="H129" t="s">
        <v>965</v>
      </c>
      <c r="I129">
        <v>77345</v>
      </c>
      <c r="J129" t="s">
        <v>1213</v>
      </c>
      <c r="K129" t="s">
        <v>1214</v>
      </c>
      <c r="M129">
        <v>525</v>
      </c>
      <c r="N129">
        <v>525</v>
      </c>
      <c r="O129">
        <v>2</v>
      </c>
      <c r="P129">
        <v>3</v>
      </c>
      <c r="Q129">
        <v>8</v>
      </c>
    </row>
    <row r="130" spans="1:17" x14ac:dyDescent="0.3">
      <c r="A130">
        <v>99</v>
      </c>
      <c r="B130" t="s">
        <v>1230</v>
      </c>
      <c r="C130" t="s">
        <v>1706</v>
      </c>
      <c r="E130">
        <v>5122</v>
      </c>
      <c r="F130" t="s">
        <v>686</v>
      </c>
      <c r="G130" t="s">
        <v>1231</v>
      </c>
      <c r="H130" t="s">
        <v>965</v>
      </c>
      <c r="I130">
        <v>77578</v>
      </c>
      <c r="J130" t="s">
        <v>1232</v>
      </c>
      <c r="K130" t="s">
        <v>1233</v>
      </c>
      <c r="M130">
        <v>3200</v>
      </c>
      <c r="N130">
        <v>3200</v>
      </c>
      <c r="O130">
        <v>18</v>
      </c>
      <c r="P130">
        <v>45</v>
      </c>
      <c r="Q130">
        <v>29</v>
      </c>
    </row>
    <row r="131" spans="1:17" x14ac:dyDescent="0.3">
      <c r="A131">
        <v>100</v>
      </c>
      <c r="B131" t="s">
        <v>1234</v>
      </c>
      <c r="C131" t="s">
        <v>1706</v>
      </c>
      <c r="E131">
        <v>5184</v>
      </c>
      <c r="F131" t="s">
        <v>1235</v>
      </c>
      <c r="G131" t="s">
        <v>1236</v>
      </c>
      <c r="H131" t="s">
        <v>965</v>
      </c>
      <c r="I131">
        <v>77489</v>
      </c>
      <c r="J131" t="s">
        <v>1237</v>
      </c>
      <c r="K131">
        <v>8328882596</v>
      </c>
      <c r="M131">
        <v>1600</v>
      </c>
      <c r="N131">
        <v>1600</v>
      </c>
      <c r="O131">
        <v>17</v>
      </c>
      <c r="P131">
        <v>81</v>
      </c>
      <c r="Q131">
        <v>34</v>
      </c>
    </row>
    <row r="132" spans="1:17" x14ac:dyDescent="0.3">
      <c r="A132">
        <v>101</v>
      </c>
      <c r="B132" t="s">
        <v>1238</v>
      </c>
      <c r="C132" t="s">
        <v>1706</v>
      </c>
      <c r="E132">
        <v>5060</v>
      </c>
      <c r="F132" t="s">
        <v>702</v>
      </c>
      <c r="G132" t="s">
        <v>1132</v>
      </c>
      <c r="H132" t="s">
        <v>965</v>
      </c>
      <c r="I132">
        <v>77407</v>
      </c>
      <c r="J132" t="s">
        <v>1133</v>
      </c>
      <c r="K132">
        <v>8324644119</v>
      </c>
      <c r="M132">
        <v>525</v>
      </c>
      <c r="N132">
        <v>525</v>
      </c>
      <c r="O132">
        <v>2</v>
      </c>
      <c r="P132">
        <v>32</v>
      </c>
      <c r="Q132">
        <v>14</v>
      </c>
    </row>
    <row r="133" spans="1:17" x14ac:dyDescent="0.3">
      <c r="A133">
        <v>102</v>
      </c>
      <c r="B133" t="s">
        <v>1239</v>
      </c>
      <c r="C133" t="s">
        <v>1706</v>
      </c>
      <c r="E133">
        <v>5065</v>
      </c>
      <c r="F133" t="s">
        <v>976</v>
      </c>
      <c r="G133" t="s">
        <v>977</v>
      </c>
      <c r="H133" t="s">
        <v>965</v>
      </c>
      <c r="I133">
        <v>77095</v>
      </c>
      <c r="J133" t="s">
        <v>978</v>
      </c>
      <c r="K133">
        <v>8325679148</v>
      </c>
      <c r="M133">
        <v>1725</v>
      </c>
      <c r="N133">
        <v>1725</v>
      </c>
      <c r="O133">
        <v>15</v>
      </c>
      <c r="P133">
        <v>73</v>
      </c>
      <c r="Q133">
        <v>25</v>
      </c>
    </row>
    <row r="134" spans="1:17" x14ac:dyDescent="0.3">
      <c r="A134">
        <v>103</v>
      </c>
      <c r="B134" t="s">
        <v>1104</v>
      </c>
      <c r="C134" t="s">
        <v>1706</v>
      </c>
      <c r="E134">
        <v>5113</v>
      </c>
      <c r="F134" t="s">
        <v>1240</v>
      </c>
      <c r="G134" t="s">
        <v>1241</v>
      </c>
      <c r="H134" t="s">
        <v>965</v>
      </c>
      <c r="I134">
        <v>77066</v>
      </c>
      <c r="J134" t="s">
        <v>1242</v>
      </c>
      <c r="K134">
        <v>7132038387</v>
      </c>
      <c r="M134">
        <v>500</v>
      </c>
      <c r="N134">
        <v>500</v>
      </c>
      <c r="O134">
        <v>1</v>
      </c>
      <c r="P134">
        <v>5</v>
      </c>
      <c r="Q134">
        <v>5</v>
      </c>
    </row>
    <row r="135" spans="1:17" x14ac:dyDescent="0.3">
      <c r="A135">
        <v>104</v>
      </c>
      <c r="B135" t="s">
        <v>1243</v>
      </c>
      <c r="C135" t="s">
        <v>1706</v>
      </c>
      <c r="E135">
        <v>5085</v>
      </c>
      <c r="F135" t="s">
        <v>1244</v>
      </c>
      <c r="G135" t="s">
        <v>1245</v>
      </c>
      <c r="H135" t="s">
        <v>965</v>
      </c>
      <c r="I135">
        <v>77511</v>
      </c>
      <c r="J135" t="s">
        <v>1246</v>
      </c>
      <c r="K135" t="s">
        <v>1247</v>
      </c>
      <c r="M135">
        <v>525</v>
      </c>
      <c r="N135">
        <v>525</v>
      </c>
      <c r="O135">
        <v>2</v>
      </c>
      <c r="P135">
        <v>2</v>
      </c>
      <c r="Q135">
        <v>7</v>
      </c>
    </row>
    <row r="136" spans="1:17" x14ac:dyDescent="0.3">
      <c r="A136">
        <v>105</v>
      </c>
      <c r="B136" t="s">
        <v>1243</v>
      </c>
      <c r="C136" t="s">
        <v>1706</v>
      </c>
      <c r="E136">
        <v>5279</v>
      </c>
      <c r="F136" t="s">
        <v>1183</v>
      </c>
      <c r="G136" t="s">
        <v>1184</v>
      </c>
      <c r="H136" t="s">
        <v>965</v>
      </c>
      <c r="I136">
        <v>77498</v>
      </c>
      <c r="J136" t="s">
        <v>1185</v>
      </c>
      <c r="K136">
        <v>8325447995</v>
      </c>
      <c r="M136">
        <v>525</v>
      </c>
      <c r="N136">
        <v>525</v>
      </c>
      <c r="O136">
        <v>2</v>
      </c>
      <c r="P136">
        <v>7</v>
      </c>
      <c r="Q136">
        <v>7</v>
      </c>
    </row>
    <row r="137" spans="1:17" x14ac:dyDescent="0.3">
      <c r="A137">
        <v>106</v>
      </c>
      <c r="B137" t="s">
        <v>1206</v>
      </c>
      <c r="C137" t="s">
        <v>1706</v>
      </c>
      <c r="E137">
        <v>5211</v>
      </c>
      <c r="F137" t="s">
        <v>972</v>
      </c>
      <c r="G137" t="s">
        <v>973</v>
      </c>
      <c r="H137" t="s">
        <v>965</v>
      </c>
      <c r="I137">
        <v>77355</v>
      </c>
      <c r="J137" t="s">
        <v>974</v>
      </c>
      <c r="K137" t="s">
        <v>975</v>
      </c>
      <c r="M137">
        <v>825</v>
      </c>
      <c r="N137">
        <v>825</v>
      </c>
      <c r="O137">
        <v>14</v>
      </c>
      <c r="P137">
        <v>22</v>
      </c>
      <c r="Q137">
        <v>16</v>
      </c>
    </row>
    <row r="138" spans="1:17" x14ac:dyDescent="0.3">
      <c r="A138" t="s">
        <v>499</v>
      </c>
      <c r="B138" t="s">
        <v>1248</v>
      </c>
      <c r="C138" t="s">
        <v>1706</v>
      </c>
      <c r="E138">
        <v>5098</v>
      </c>
      <c r="F138" t="s">
        <v>1249</v>
      </c>
      <c r="G138" t="s">
        <v>1250</v>
      </c>
      <c r="H138" t="s">
        <v>965</v>
      </c>
      <c r="I138">
        <v>77581</v>
      </c>
      <c r="J138" t="s">
        <v>1251</v>
      </c>
      <c r="K138">
        <v>8328766812</v>
      </c>
      <c r="M138">
        <v>10500</v>
      </c>
      <c r="N138">
        <v>10600</v>
      </c>
      <c r="O138">
        <v>20</v>
      </c>
      <c r="P138">
        <v>70</v>
      </c>
      <c r="Q138">
        <v>27</v>
      </c>
    </row>
    <row r="139" spans="1:17" x14ac:dyDescent="0.3">
      <c r="A139">
        <v>107</v>
      </c>
      <c r="B139" t="s">
        <v>1252</v>
      </c>
      <c r="C139" t="s">
        <v>1706</v>
      </c>
      <c r="E139">
        <v>5279</v>
      </c>
      <c r="F139" t="s">
        <v>1183</v>
      </c>
      <c r="G139" t="s">
        <v>1184</v>
      </c>
      <c r="H139" t="s">
        <v>965</v>
      </c>
      <c r="I139">
        <v>77498</v>
      </c>
      <c r="J139" t="s">
        <v>1185</v>
      </c>
      <c r="K139">
        <v>8325447995</v>
      </c>
      <c r="M139">
        <v>953</v>
      </c>
      <c r="N139">
        <v>953</v>
      </c>
      <c r="O139">
        <v>11</v>
      </c>
      <c r="P139">
        <v>35</v>
      </c>
      <c r="Q139">
        <v>5</v>
      </c>
    </row>
    <row r="140" spans="1:17" x14ac:dyDescent="0.3">
      <c r="A140">
        <v>108</v>
      </c>
      <c r="B140" t="s">
        <v>1253</v>
      </c>
      <c r="C140" t="s">
        <v>1706</v>
      </c>
      <c r="E140">
        <v>5085</v>
      </c>
      <c r="F140" t="s">
        <v>1244</v>
      </c>
      <c r="G140" t="s">
        <v>1245</v>
      </c>
      <c r="H140" t="s">
        <v>965</v>
      </c>
      <c r="I140">
        <v>77511</v>
      </c>
      <c r="J140" t="s">
        <v>1246</v>
      </c>
      <c r="K140" t="s">
        <v>1247</v>
      </c>
      <c r="M140">
        <v>4500</v>
      </c>
      <c r="N140">
        <v>4500</v>
      </c>
      <c r="O140">
        <v>22</v>
      </c>
      <c r="P140">
        <v>45</v>
      </c>
      <c r="Q140">
        <v>19</v>
      </c>
    </row>
    <row r="141" spans="1:17" x14ac:dyDescent="0.3">
      <c r="A141">
        <v>109</v>
      </c>
      <c r="B141" t="s">
        <v>1254</v>
      </c>
      <c r="C141" t="s">
        <v>1706</v>
      </c>
      <c r="E141">
        <v>5260</v>
      </c>
      <c r="F141" t="s">
        <v>1153</v>
      </c>
      <c r="G141" t="s">
        <v>1154</v>
      </c>
      <c r="H141" t="s">
        <v>965</v>
      </c>
      <c r="I141">
        <v>77068</v>
      </c>
      <c r="J141" t="s">
        <v>1155</v>
      </c>
      <c r="K141">
        <v>8186310414</v>
      </c>
      <c r="M141">
        <v>550</v>
      </c>
      <c r="N141">
        <v>550</v>
      </c>
      <c r="O141">
        <v>3</v>
      </c>
      <c r="P141">
        <v>15</v>
      </c>
      <c r="Q141">
        <v>11</v>
      </c>
    </row>
    <row r="142" spans="1:17" x14ac:dyDescent="0.3">
      <c r="A142">
        <v>110</v>
      </c>
      <c r="B142" t="s">
        <v>1255</v>
      </c>
      <c r="C142" t="s">
        <v>1706</v>
      </c>
      <c r="E142">
        <v>5208</v>
      </c>
      <c r="F142" t="s">
        <v>981</v>
      </c>
      <c r="G142" t="s">
        <v>982</v>
      </c>
      <c r="H142" t="s">
        <v>965</v>
      </c>
      <c r="I142">
        <v>77471</v>
      </c>
      <c r="J142" t="s">
        <v>983</v>
      </c>
      <c r="K142" t="s">
        <v>984</v>
      </c>
      <c r="M142">
        <v>3500</v>
      </c>
      <c r="N142">
        <v>3500</v>
      </c>
      <c r="O142">
        <v>23</v>
      </c>
      <c r="P142">
        <v>59</v>
      </c>
      <c r="Q142">
        <v>58</v>
      </c>
    </row>
    <row r="143" spans="1:17" x14ac:dyDescent="0.3">
      <c r="A143">
        <v>111</v>
      </c>
      <c r="B143" t="s">
        <v>1256</v>
      </c>
      <c r="C143" t="s">
        <v>1706</v>
      </c>
      <c r="E143">
        <v>5046</v>
      </c>
      <c r="F143" t="s">
        <v>644</v>
      </c>
      <c r="G143" t="s">
        <v>968</v>
      </c>
      <c r="H143" t="s">
        <v>965</v>
      </c>
      <c r="I143">
        <v>77477</v>
      </c>
      <c r="J143" t="s">
        <v>969</v>
      </c>
      <c r="K143" t="s">
        <v>970</v>
      </c>
      <c r="M143">
        <v>1750</v>
      </c>
      <c r="N143">
        <v>3000</v>
      </c>
      <c r="O143">
        <v>4</v>
      </c>
      <c r="P143">
        <v>66</v>
      </c>
      <c r="Q143">
        <v>13</v>
      </c>
    </row>
    <row r="144" spans="1:17" x14ac:dyDescent="0.3">
      <c r="A144" t="s">
        <v>503</v>
      </c>
      <c r="B144" t="s">
        <v>1257</v>
      </c>
      <c r="C144" t="s">
        <v>1706</v>
      </c>
      <c r="E144">
        <v>5278</v>
      </c>
      <c r="F144" t="s">
        <v>1258</v>
      </c>
      <c r="G144" t="s">
        <v>1259</v>
      </c>
      <c r="H144" t="s">
        <v>965</v>
      </c>
      <c r="I144">
        <v>77040</v>
      </c>
      <c r="J144" t="s">
        <v>1260</v>
      </c>
      <c r="K144" t="s">
        <v>1261</v>
      </c>
      <c r="M144">
        <v>37500</v>
      </c>
      <c r="N144">
        <v>37500</v>
      </c>
      <c r="O144">
        <v>33</v>
      </c>
      <c r="P144">
        <v>132</v>
      </c>
      <c r="Q144">
        <v>48</v>
      </c>
    </row>
    <row r="145" spans="1:17" x14ac:dyDescent="0.3">
      <c r="A145">
        <v>112</v>
      </c>
      <c r="B145" t="s">
        <v>1262</v>
      </c>
      <c r="C145" t="s">
        <v>1706</v>
      </c>
      <c r="E145">
        <v>5091</v>
      </c>
      <c r="F145" t="s">
        <v>1010</v>
      </c>
      <c r="G145" t="s">
        <v>1011</v>
      </c>
      <c r="H145" t="s">
        <v>965</v>
      </c>
      <c r="I145">
        <v>77469</v>
      </c>
      <c r="J145" t="s">
        <v>1012</v>
      </c>
      <c r="K145" t="s">
        <v>1013</v>
      </c>
      <c r="M145">
        <v>500</v>
      </c>
      <c r="N145">
        <v>500</v>
      </c>
      <c r="O145">
        <v>1</v>
      </c>
      <c r="P145">
        <v>11</v>
      </c>
      <c r="Q145">
        <v>5</v>
      </c>
    </row>
    <row r="146" spans="1:17" x14ac:dyDescent="0.3">
      <c r="A146">
        <v>113</v>
      </c>
      <c r="B146" t="s">
        <v>1263</v>
      </c>
      <c r="C146" t="s">
        <v>1706</v>
      </c>
      <c r="E146">
        <v>5245</v>
      </c>
      <c r="F146" t="s">
        <v>1264</v>
      </c>
      <c r="G146" t="s">
        <v>1265</v>
      </c>
      <c r="H146" t="s">
        <v>965</v>
      </c>
      <c r="I146">
        <v>77469</v>
      </c>
      <c r="J146" t="s">
        <v>1266</v>
      </c>
      <c r="K146">
        <v>8327416157</v>
      </c>
      <c r="M146">
        <v>5000</v>
      </c>
      <c r="N146">
        <v>5000</v>
      </c>
      <c r="O146">
        <v>36</v>
      </c>
      <c r="P146">
        <v>91</v>
      </c>
      <c r="Q146">
        <v>28</v>
      </c>
    </row>
    <row r="147" spans="1:17" x14ac:dyDescent="0.3">
      <c r="A147" t="s">
        <v>1267</v>
      </c>
      <c r="B147" t="s">
        <v>1268</v>
      </c>
      <c r="C147" t="s">
        <v>1706</v>
      </c>
      <c r="E147">
        <v>5060</v>
      </c>
      <c r="F147" t="s">
        <v>702</v>
      </c>
      <c r="G147" t="s">
        <v>1132</v>
      </c>
      <c r="H147" t="s">
        <v>965</v>
      </c>
      <c r="I147">
        <v>77407</v>
      </c>
      <c r="J147" t="s">
        <v>1133</v>
      </c>
      <c r="K147">
        <v>8324644119</v>
      </c>
      <c r="M147">
        <v>4000</v>
      </c>
      <c r="N147">
        <v>4000</v>
      </c>
      <c r="O147">
        <v>27</v>
      </c>
      <c r="P147">
        <v>109</v>
      </c>
      <c r="Q147">
        <v>21</v>
      </c>
    </row>
    <row r="148" spans="1:17" x14ac:dyDescent="0.3">
      <c r="A148">
        <v>114</v>
      </c>
      <c r="B148" t="s">
        <v>1269</v>
      </c>
      <c r="C148" t="s">
        <v>1706</v>
      </c>
      <c r="E148">
        <v>5246</v>
      </c>
      <c r="F148" t="s">
        <v>689</v>
      </c>
      <c r="G148" t="s">
        <v>1188</v>
      </c>
      <c r="H148" t="s">
        <v>965</v>
      </c>
      <c r="I148">
        <v>77469</v>
      </c>
      <c r="J148" t="s">
        <v>1189</v>
      </c>
      <c r="K148">
        <v>7133056434</v>
      </c>
      <c r="M148">
        <v>500</v>
      </c>
      <c r="N148">
        <v>500</v>
      </c>
      <c r="O148">
        <v>1</v>
      </c>
      <c r="P148">
        <v>11</v>
      </c>
      <c r="Q148">
        <v>5</v>
      </c>
    </row>
    <row r="149" spans="1:17" x14ac:dyDescent="0.3">
      <c r="A149">
        <v>115</v>
      </c>
      <c r="B149" t="s">
        <v>1270</v>
      </c>
      <c r="C149" t="s">
        <v>1706</v>
      </c>
      <c r="E149">
        <v>5065</v>
      </c>
      <c r="F149" t="s">
        <v>976</v>
      </c>
      <c r="G149" t="s">
        <v>977</v>
      </c>
      <c r="H149" t="s">
        <v>965</v>
      </c>
      <c r="I149">
        <v>77095</v>
      </c>
      <c r="J149" t="s">
        <v>978</v>
      </c>
      <c r="K149">
        <v>8325679148</v>
      </c>
      <c r="M149">
        <v>3050</v>
      </c>
      <c r="N149">
        <v>3050</v>
      </c>
      <c r="O149">
        <v>28</v>
      </c>
      <c r="P149">
        <v>69</v>
      </c>
      <c r="Q149">
        <v>30</v>
      </c>
    </row>
    <row r="150" spans="1:17" x14ac:dyDescent="0.3">
      <c r="A150">
        <v>116</v>
      </c>
      <c r="B150" t="s">
        <v>1271</v>
      </c>
      <c r="C150" t="s">
        <v>1706</v>
      </c>
      <c r="E150">
        <v>5060</v>
      </c>
      <c r="F150" t="s">
        <v>702</v>
      </c>
      <c r="G150" t="s">
        <v>1132</v>
      </c>
      <c r="H150" t="s">
        <v>965</v>
      </c>
      <c r="I150">
        <v>77407</v>
      </c>
      <c r="J150" t="s">
        <v>1133</v>
      </c>
      <c r="K150">
        <v>8324644119</v>
      </c>
      <c r="M150">
        <v>3600</v>
      </c>
      <c r="N150">
        <v>3600</v>
      </c>
      <c r="O150">
        <v>28</v>
      </c>
      <c r="P150">
        <v>117</v>
      </c>
      <c r="Q150">
        <v>27</v>
      </c>
    </row>
    <row r="151" spans="1:17" x14ac:dyDescent="0.3">
      <c r="A151" t="s">
        <v>505</v>
      </c>
      <c r="B151" t="s">
        <v>1272</v>
      </c>
      <c r="C151" t="s">
        <v>1706</v>
      </c>
      <c r="E151">
        <v>5186</v>
      </c>
      <c r="F151" t="s">
        <v>1136</v>
      </c>
      <c r="G151" t="s">
        <v>1137</v>
      </c>
      <c r="H151" t="s">
        <v>965</v>
      </c>
      <c r="I151">
        <v>77478</v>
      </c>
      <c r="J151" t="s">
        <v>1138</v>
      </c>
      <c r="K151">
        <v>7654097448</v>
      </c>
      <c r="M151">
        <v>23000</v>
      </c>
      <c r="N151">
        <v>23000</v>
      </c>
      <c r="O151">
        <v>46</v>
      </c>
      <c r="P151">
        <v>125</v>
      </c>
      <c r="Q151">
        <v>30</v>
      </c>
    </row>
    <row r="152" spans="1:17" x14ac:dyDescent="0.3">
      <c r="A152">
        <v>117</v>
      </c>
      <c r="B152" t="s">
        <v>1273</v>
      </c>
      <c r="C152" t="s">
        <v>1706</v>
      </c>
      <c r="E152">
        <v>5088</v>
      </c>
      <c r="F152" t="s">
        <v>1050</v>
      </c>
      <c r="G152" t="s">
        <v>1051</v>
      </c>
      <c r="H152" t="s">
        <v>965</v>
      </c>
      <c r="I152">
        <v>77009</v>
      </c>
      <c r="J152" t="s">
        <v>1052</v>
      </c>
      <c r="K152" t="s">
        <v>1053</v>
      </c>
      <c r="M152">
        <v>4100</v>
      </c>
      <c r="N152">
        <v>4100</v>
      </c>
      <c r="O152">
        <v>19</v>
      </c>
      <c r="P152">
        <v>66</v>
      </c>
      <c r="Q152">
        <v>45</v>
      </c>
    </row>
    <row r="153" spans="1:17" x14ac:dyDescent="0.3">
      <c r="A153">
        <v>118</v>
      </c>
      <c r="B153" t="s">
        <v>1274</v>
      </c>
      <c r="C153" t="s">
        <v>1706</v>
      </c>
      <c r="E153">
        <v>5060</v>
      </c>
      <c r="F153" t="s">
        <v>702</v>
      </c>
      <c r="G153" t="s">
        <v>1132</v>
      </c>
      <c r="H153" t="s">
        <v>965</v>
      </c>
      <c r="I153">
        <v>77407</v>
      </c>
      <c r="J153" t="s">
        <v>1133</v>
      </c>
      <c r="K153">
        <v>8324644119</v>
      </c>
      <c r="M153">
        <v>1700</v>
      </c>
      <c r="N153">
        <v>1700</v>
      </c>
      <c r="O153">
        <v>18</v>
      </c>
      <c r="P153">
        <v>46</v>
      </c>
      <c r="Q153">
        <v>12</v>
      </c>
    </row>
    <row r="154" spans="1:17" x14ac:dyDescent="0.3">
      <c r="A154">
        <v>119</v>
      </c>
      <c r="B154" t="s">
        <v>1275</v>
      </c>
      <c r="C154" t="s">
        <v>1706</v>
      </c>
      <c r="E154">
        <v>5154</v>
      </c>
      <c r="F154" t="s">
        <v>1045</v>
      </c>
      <c r="G154" t="s">
        <v>1046</v>
      </c>
      <c r="H154" t="s">
        <v>965</v>
      </c>
      <c r="I154">
        <v>77478</v>
      </c>
      <c r="J154" t="s">
        <v>1047</v>
      </c>
      <c r="K154">
        <v>7132023905</v>
      </c>
      <c r="M154">
        <v>2600</v>
      </c>
      <c r="N154">
        <v>2700</v>
      </c>
      <c r="O154">
        <v>17</v>
      </c>
      <c r="P154">
        <v>51</v>
      </c>
      <c r="Q154">
        <v>31</v>
      </c>
    </row>
    <row r="155" spans="1:17" x14ac:dyDescent="0.3">
      <c r="A155">
        <v>120</v>
      </c>
      <c r="B155" t="s">
        <v>1276</v>
      </c>
      <c r="C155" t="s">
        <v>1706</v>
      </c>
      <c r="E155">
        <v>5070</v>
      </c>
      <c r="F155" t="s">
        <v>1192</v>
      </c>
      <c r="G155" t="s">
        <v>1193</v>
      </c>
      <c r="H155" t="s">
        <v>965</v>
      </c>
      <c r="I155">
        <v>77478</v>
      </c>
      <c r="J155" t="s">
        <v>1194</v>
      </c>
      <c r="K155">
        <v>8328594872</v>
      </c>
      <c r="M155">
        <v>3500</v>
      </c>
      <c r="N155">
        <v>3500</v>
      </c>
      <c r="O155">
        <v>26</v>
      </c>
      <c r="P155">
        <v>102</v>
      </c>
      <c r="Q155">
        <v>35</v>
      </c>
    </row>
    <row r="156" spans="1:17" x14ac:dyDescent="0.3">
      <c r="A156">
        <v>121</v>
      </c>
      <c r="B156" t="s">
        <v>1277</v>
      </c>
      <c r="C156" t="s">
        <v>1706</v>
      </c>
      <c r="E156">
        <v>5078</v>
      </c>
      <c r="F156" t="s">
        <v>1278</v>
      </c>
      <c r="G156" t="s">
        <v>1279</v>
      </c>
      <c r="H156" t="s">
        <v>965</v>
      </c>
      <c r="I156">
        <v>77478</v>
      </c>
      <c r="J156" t="s">
        <v>1280</v>
      </c>
      <c r="K156">
        <v>7138201376</v>
      </c>
      <c r="M156">
        <v>2000</v>
      </c>
      <c r="N156">
        <v>2000</v>
      </c>
      <c r="O156">
        <v>23</v>
      </c>
      <c r="P156">
        <v>55</v>
      </c>
      <c r="Q156">
        <v>14</v>
      </c>
    </row>
    <row r="157" spans="1:17" x14ac:dyDescent="0.3">
      <c r="A157" t="s">
        <v>507</v>
      </c>
      <c r="B157" t="s">
        <v>1281</v>
      </c>
      <c r="C157" t="s">
        <v>1706</v>
      </c>
      <c r="E157">
        <v>5005</v>
      </c>
      <c r="F157" t="s">
        <v>1282</v>
      </c>
      <c r="G157" t="s">
        <v>1283</v>
      </c>
      <c r="H157" t="s">
        <v>965</v>
      </c>
      <c r="I157">
        <v>77493</v>
      </c>
      <c r="J157" t="s">
        <v>1284</v>
      </c>
      <c r="K157" t="s">
        <v>1285</v>
      </c>
      <c r="M157">
        <v>20500</v>
      </c>
      <c r="N157">
        <v>20500</v>
      </c>
      <c r="O157">
        <v>20</v>
      </c>
      <c r="P157">
        <v>38</v>
      </c>
      <c r="Q157">
        <v>17</v>
      </c>
    </row>
    <row r="158" spans="1:17" x14ac:dyDescent="0.3">
      <c r="A158">
        <v>122</v>
      </c>
      <c r="B158" t="s">
        <v>1286</v>
      </c>
      <c r="C158" t="s">
        <v>1706</v>
      </c>
      <c r="E158">
        <v>5270</v>
      </c>
      <c r="F158" t="s">
        <v>1287</v>
      </c>
      <c r="G158" t="s">
        <v>1288</v>
      </c>
      <c r="H158" t="s">
        <v>965</v>
      </c>
      <c r="I158">
        <v>77021</v>
      </c>
      <c r="J158" t="s">
        <v>1289</v>
      </c>
      <c r="K158">
        <v>8326462255</v>
      </c>
      <c r="M158">
        <v>550</v>
      </c>
      <c r="N158">
        <v>550</v>
      </c>
      <c r="O158">
        <v>3</v>
      </c>
      <c r="P158">
        <v>40</v>
      </c>
      <c r="Q158">
        <v>12</v>
      </c>
    </row>
    <row r="159" spans="1:17" x14ac:dyDescent="0.3">
      <c r="A159">
        <v>123</v>
      </c>
      <c r="B159" t="s">
        <v>1290</v>
      </c>
      <c r="C159" t="s">
        <v>1706</v>
      </c>
      <c r="E159">
        <v>5229</v>
      </c>
      <c r="F159" t="s">
        <v>1291</v>
      </c>
      <c r="G159" t="s">
        <v>1292</v>
      </c>
      <c r="H159" t="s">
        <v>965</v>
      </c>
      <c r="I159">
        <v>77070</v>
      </c>
      <c r="J159" t="s">
        <v>1293</v>
      </c>
      <c r="K159">
        <v>7062291516</v>
      </c>
      <c r="M159">
        <v>2000</v>
      </c>
      <c r="N159">
        <v>2000</v>
      </c>
      <c r="O159">
        <v>27</v>
      </c>
      <c r="P159">
        <v>87</v>
      </c>
      <c r="Q159">
        <v>27</v>
      </c>
    </row>
    <row r="160" spans="1:17" x14ac:dyDescent="0.3">
      <c r="A160">
        <v>124</v>
      </c>
      <c r="B160" t="s">
        <v>1294</v>
      </c>
      <c r="C160" t="s">
        <v>1706</v>
      </c>
      <c r="E160">
        <v>5164</v>
      </c>
      <c r="F160" t="s">
        <v>1295</v>
      </c>
      <c r="G160" t="s">
        <v>1296</v>
      </c>
      <c r="H160" t="s">
        <v>965</v>
      </c>
      <c r="I160">
        <v>75094</v>
      </c>
      <c r="J160" t="s">
        <v>1297</v>
      </c>
      <c r="K160">
        <v>3478458311</v>
      </c>
      <c r="M160">
        <v>1700</v>
      </c>
      <c r="N160">
        <v>1750</v>
      </c>
      <c r="O160">
        <v>28</v>
      </c>
      <c r="P160">
        <v>48</v>
      </c>
      <c r="Q160">
        <v>35</v>
      </c>
    </row>
    <row r="161" spans="1:17" x14ac:dyDescent="0.3">
      <c r="A161">
        <v>126</v>
      </c>
      <c r="B161" t="s">
        <v>1298</v>
      </c>
      <c r="C161" t="s">
        <v>1706</v>
      </c>
      <c r="E161">
        <v>5204</v>
      </c>
      <c r="F161" t="s">
        <v>1299</v>
      </c>
      <c r="G161" t="s">
        <v>1300</v>
      </c>
      <c r="H161" t="s">
        <v>965</v>
      </c>
      <c r="I161">
        <v>77459</v>
      </c>
      <c r="J161" t="s">
        <v>1301</v>
      </c>
      <c r="K161">
        <v>8327132658</v>
      </c>
      <c r="M161">
        <v>2000</v>
      </c>
      <c r="N161">
        <v>2000</v>
      </c>
      <c r="O161">
        <v>11</v>
      </c>
      <c r="P161">
        <v>57</v>
      </c>
      <c r="Q161">
        <v>24</v>
      </c>
    </row>
    <row r="162" spans="1:17" x14ac:dyDescent="0.3">
      <c r="A162" t="s">
        <v>510</v>
      </c>
      <c r="B162" t="s">
        <v>1302</v>
      </c>
      <c r="C162" t="s">
        <v>1706</v>
      </c>
      <c r="E162">
        <v>5296</v>
      </c>
      <c r="F162" t="s">
        <v>1303</v>
      </c>
      <c r="G162" t="s">
        <v>1304</v>
      </c>
      <c r="H162" t="s">
        <v>965</v>
      </c>
      <c r="I162">
        <v>77377</v>
      </c>
      <c r="J162" t="s">
        <v>1305</v>
      </c>
      <c r="K162">
        <v>7133053537</v>
      </c>
      <c r="M162">
        <v>55000</v>
      </c>
      <c r="N162">
        <v>55000</v>
      </c>
      <c r="O162">
        <v>58</v>
      </c>
      <c r="P162">
        <v>158</v>
      </c>
      <c r="Q162">
        <v>44</v>
      </c>
    </row>
    <row r="163" spans="1:17" x14ac:dyDescent="0.3">
      <c r="A163">
        <v>127</v>
      </c>
      <c r="B163" t="s">
        <v>1298</v>
      </c>
      <c r="C163" t="s">
        <v>1706</v>
      </c>
      <c r="E163">
        <v>5070</v>
      </c>
      <c r="F163" t="s">
        <v>1192</v>
      </c>
      <c r="G163" t="s">
        <v>1193</v>
      </c>
      <c r="H163" t="s">
        <v>965</v>
      </c>
      <c r="I163">
        <v>77478</v>
      </c>
      <c r="J163" t="s">
        <v>1194</v>
      </c>
      <c r="K163">
        <v>8328594872</v>
      </c>
      <c r="M163">
        <v>2100</v>
      </c>
      <c r="N163">
        <v>2100</v>
      </c>
      <c r="O163">
        <v>12</v>
      </c>
      <c r="P163">
        <v>41</v>
      </c>
      <c r="Q163">
        <v>23</v>
      </c>
    </row>
    <row r="164" spans="1:17" x14ac:dyDescent="0.3">
      <c r="A164">
        <v>128</v>
      </c>
      <c r="B164" t="s">
        <v>1306</v>
      </c>
      <c r="C164" t="s">
        <v>1706</v>
      </c>
      <c r="F164" t="s">
        <v>649</v>
      </c>
      <c r="M164">
        <v>0</v>
      </c>
      <c r="N164">
        <v>0</v>
      </c>
      <c r="O164">
        <v>0</v>
      </c>
      <c r="P164">
        <v>12</v>
      </c>
      <c r="Q164">
        <v>3</v>
      </c>
    </row>
    <row r="165" spans="1:17" x14ac:dyDescent="0.3">
      <c r="A165">
        <v>129</v>
      </c>
      <c r="B165" t="s">
        <v>1307</v>
      </c>
      <c r="C165" t="s">
        <v>1706</v>
      </c>
      <c r="F165" t="s">
        <v>649</v>
      </c>
      <c r="M165">
        <v>0</v>
      </c>
      <c r="N165">
        <v>0</v>
      </c>
      <c r="O165">
        <v>0</v>
      </c>
      <c r="P165">
        <v>23</v>
      </c>
      <c r="Q165">
        <v>0</v>
      </c>
    </row>
    <row r="166" spans="1:17" x14ac:dyDescent="0.3">
      <c r="A166">
        <v>130</v>
      </c>
      <c r="B166" t="s">
        <v>1308</v>
      </c>
      <c r="C166" t="s">
        <v>1706</v>
      </c>
      <c r="E166">
        <v>5237</v>
      </c>
      <c r="F166" t="s">
        <v>1145</v>
      </c>
      <c r="G166" t="s">
        <v>1146</v>
      </c>
      <c r="H166" t="s">
        <v>965</v>
      </c>
      <c r="I166">
        <v>77029</v>
      </c>
      <c r="J166" t="s">
        <v>1147</v>
      </c>
      <c r="K166">
        <v>2818571757</v>
      </c>
      <c r="M166">
        <v>900</v>
      </c>
      <c r="N166">
        <v>900</v>
      </c>
      <c r="O166">
        <v>15</v>
      </c>
      <c r="P166">
        <v>29</v>
      </c>
      <c r="Q166">
        <v>15</v>
      </c>
    </row>
    <row r="167" spans="1:17" x14ac:dyDescent="0.3">
      <c r="A167">
        <v>131</v>
      </c>
      <c r="B167" t="s">
        <v>1309</v>
      </c>
      <c r="C167" t="s">
        <v>1706</v>
      </c>
      <c r="E167">
        <v>5147</v>
      </c>
      <c r="F167" t="s">
        <v>1310</v>
      </c>
      <c r="G167" t="s">
        <v>1311</v>
      </c>
      <c r="H167" t="s">
        <v>965</v>
      </c>
      <c r="I167">
        <v>77469</v>
      </c>
      <c r="J167" t="s">
        <v>1312</v>
      </c>
      <c r="K167">
        <v>3466402132</v>
      </c>
      <c r="M167">
        <v>1950</v>
      </c>
      <c r="N167">
        <v>1950</v>
      </c>
      <c r="O167">
        <v>19</v>
      </c>
      <c r="P167">
        <v>52</v>
      </c>
      <c r="Q167">
        <v>19</v>
      </c>
    </row>
    <row r="168" spans="1:17" x14ac:dyDescent="0.3">
      <c r="A168" t="s">
        <v>512</v>
      </c>
      <c r="B168" t="s">
        <v>1313</v>
      </c>
      <c r="C168" t="s">
        <v>1706</v>
      </c>
      <c r="E168">
        <v>5015</v>
      </c>
      <c r="F168" t="s">
        <v>682</v>
      </c>
      <c r="G168" t="s">
        <v>1314</v>
      </c>
      <c r="H168" t="s">
        <v>965</v>
      </c>
      <c r="I168">
        <v>77450</v>
      </c>
      <c r="J168" t="s">
        <v>1315</v>
      </c>
      <c r="K168">
        <v>6469236179</v>
      </c>
      <c r="M168">
        <v>19500</v>
      </c>
      <c r="N168">
        <v>19500</v>
      </c>
      <c r="O168">
        <v>20</v>
      </c>
      <c r="P168">
        <v>74</v>
      </c>
      <c r="Q168">
        <v>27</v>
      </c>
    </row>
    <row r="169" spans="1:17" x14ac:dyDescent="0.3">
      <c r="A169">
        <v>132</v>
      </c>
      <c r="B169" t="s">
        <v>1316</v>
      </c>
      <c r="C169" t="s">
        <v>1706</v>
      </c>
      <c r="E169">
        <v>5285</v>
      </c>
      <c r="F169" t="s">
        <v>1317</v>
      </c>
      <c r="G169" t="s">
        <v>1318</v>
      </c>
      <c r="H169" t="s">
        <v>965</v>
      </c>
      <c r="I169">
        <v>77583</v>
      </c>
      <c r="J169" t="s">
        <v>1319</v>
      </c>
      <c r="K169">
        <v>4096595811</v>
      </c>
      <c r="M169">
        <v>1550</v>
      </c>
      <c r="N169">
        <v>1550</v>
      </c>
      <c r="O169">
        <v>20</v>
      </c>
      <c r="P169">
        <v>45</v>
      </c>
      <c r="Q169">
        <v>43</v>
      </c>
    </row>
    <row r="170" spans="1:17" x14ac:dyDescent="0.3">
      <c r="A170">
        <v>133</v>
      </c>
      <c r="B170" t="s">
        <v>1320</v>
      </c>
      <c r="C170" t="s">
        <v>1706</v>
      </c>
      <c r="E170">
        <v>5237</v>
      </c>
      <c r="F170" t="s">
        <v>1145</v>
      </c>
      <c r="G170" t="s">
        <v>1146</v>
      </c>
      <c r="H170" t="s">
        <v>965</v>
      </c>
      <c r="I170">
        <v>77029</v>
      </c>
      <c r="J170" t="s">
        <v>1147</v>
      </c>
      <c r="K170">
        <v>2818571757</v>
      </c>
      <c r="M170">
        <v>3100</v>
      </c>
      <c r="N170">
        <v>3100</v>
      </c>
      <c r="O170">
        <v>23</v>
      </c>
      <c r="P170">
        <v>67</v>
      </c>
      <c r="Q170">
        <v>49</v>
      </c>
    </row>
    <row r="171" spans="1:17" x14ac:dyDescent="0.3">
      <c r="A171">
        <v>134</v>
      </c>
      <c r="B171" t="s">
        <v>1321</v>
      </c>
      <c r="C171" t="s">
        <v>1706</v>
      </c>
      <c r="E171">
        <v>5212</v>
      </c>
      <c r="F171" t="s">
        <v>709</v>
      </c>
      <c r="G171" t="s">
        <v>1098</v>
      </c>
      <c r="H171" t="s">
        <v>965</v>
      </c>
      <c r="I171">
        <v>77478</v>
      </c>
      <c r="J171" t="s">
        <v>1099</v>
      </c>
      <c r="K171">
        <v>8325263666</v>
      </c>
      <c r="M171">
        <v>4200</v>
      </c>
      <c r="N171">
        <v>4200</v>
      </c>
      <c r="O171">
        <v>46</v>
      </c>
      <c r="P171">
        <v>85</v>
      </c>
      <c r="Q171">
        <v>36</v>
      </c>
    </row>
    <row r="172" spans="1:17" x14ac:dyDescent="0.3">
      <c r="A172">
        <v>135</v>
      </c>
      <c r="B172" t="s">
        <v>1322</v>
      </c>
      <c r="C172" t="s">
        <v>1706</v>
      </c>
      <c r="E172">
        <v>5141</v>
      </c>
      <c r="F172" t="s">
        <v>658</v>
      </c>
      <c r="G172" t="s">
        <v>964</v>
      </c>
      <c r="H172" t="s">
        <v>965</v>
      </c>
      <c r="I172">
        <v>77705</v>
      </c>
      <c r="J172" t="s">
        <v>966</v>
      </c>
      <c r="K172">
        <v>8322973609</v>
      </c>
      <c r="M172">
        <v>575</v>
      </c>
      <c r="N172">
        <v>575</v>
      </c>
      <c r="O172">
        <v>4</v>
      </c>
      <c r="P172">
        <v>45</v>
      </c>
      <c r="Q172">
        <v>9</v>
      </c>
    </row>
    <row r="173" spans="1:17" x14ac:dyDescent="0.3">
      <c r="A173">
        <v>136</v>
      </c>
      <c r="B173" t="s">
        <v>1323</v>
      </c>
      <c r="C173" t="s">
        <v>1706</v>
      </c>
      <c r="E173">
        <v>5217</v>
      </c>
      <c r="F173" t="s">
        <v>1000</v>
      </c>
      <c r="G173" t="s">
        <v>1001</v>
      </c>
      <c r="H173" t="s">
        <v>965</v>
      </c>
      <c r="I173">
        <v>77598</v>
      </c>
      <c r="J173" t="s">
        <v>1002</v>
      </c>
      <c r="K173" t="s">
        <v>1003</v>
      </c>
      <c r="M173">
        <v>1500</v>
      </c>
      <c r="N173">
        <v>1500</v>
      </c>
      <c r="O173">
        <v>17</v>
      </c>
      <c r="P173">
        <v>46</v>
      </c>
      <c r="Q173">
        <v>16</v>
      </c>
    </row>
    <row r="174" spans="1:17" x14ac:dyDescent="0.3">
      <c r="A174" t="s">
        <v>514</v>
      </c>
      <c r="B174" t="s">
        <v>1324</v>
      </c>
      <c r="C174" t="s">
        <v>1706</v>
      </c>
      <c r="E174">
        <v>5046</v>
      </c>
      <c r="F174" t="s">
        <v>644</v>
      </c>
      <c r="G174" t="s">
        <v>968</v>
      </c>
      <c r="H174" t="s">
        <v>965</v>
      </c>
      <c r="I174">
        <v>77477</v>
      </c>
      <c r="J174" t="s">
        <v>969</v>
      </c>
      <c r="K174" t="s">
        <v>970</v>
      </c>
      <c r="M174">
        <v>23500</v>
      </c>
      <c r="N174">
        <v>31500</v>
      </c>
      <c r="O174">
        <v>20</v>
      </c>
      <c r="P174">
        <v>24</v>
      </c>
      <c r="Q174">
        <v>17</v>
      </c>
    </row>
    <row r="175" spans="1:17" x14ac:dyDescent="0.3">
      <c r="A175">
        <v>137</v>
      </c>
      <c r="B175" t="s">
        <v>1325</v>
      </c>
      <c r="C175" t="s">
        <v>1706</v>
      </c>
      <c r="E175">
        <v>5066</v>
      </c>
      <c r="F175" t="s">
        <v>1326</v>
      </c>
      <c r="G175" t="s">
        <v>1327</v>
      </c>
      <c r="H175" t="s">
        <v>965</v>
      </c>
      <c r="I175">
        <v>77578</v>
      </c>
      <c r="J175" t="s">
        <v>1328</v>
      </c>
      <c r="K175">
        <v>8324180330</v>
      </c>
      <c r="M175">
        <v>2600</v>
      </c>
      <c r="N175">
        <v>2600</v>
      </c>
      <c r="O175">
        <v>27</v>
      </c>
      <c r="P175">
        <v>55</v>
      </c>
      <c r="Q175">
        <v>28</v>
      </c>
    </row>
    <row r="176" spans="1:17" x14ac:dyDescent="0.3">
      <c r="A176">
        <v>138</v>
      </c>
      <c r="B176" t="s">
        <v>1329</v>
      </c>
      <c r="C176" t="s">
        <v>1706</v>
      </c>
      <c r="E176">
        <v>5079</v>
      </c>
      <c r="F176" t="s">
        <v>1070</v>
      </c>
      <c r="G176" t="s">
        <v>1071</v>
      </c>
      <c r="H176" t="s">
        <v>965</v>
      </c>
      <c r="I176">
        <v>77581</v>
      </c>
      <c r="J176" t="s">
        <v>1072</v>
      </c>
      <c r="K176">
        <v>2817738917</v>
      </c>
      <c r="L176">
        <v>2817152642</v>
      </c>
      <c r="M176">
        <v>11000</v>
      </c>
      <c r="N176">
        <v>11000</v>
      </c>
      <c r="O176">
        <v>20</v>
      </c>
      <c r="P176">
        <v>54</v>
      </c>
      <c r="Q176">
        <v>9</v>
      </c>
    </row>
    <row r="177" spans="1:17" x14ac:dyDescent="0.3">
      <c r="A177">
        <v>139</v>
      </c>
      <c r="B177" t="s">
        <v>1330</v>
      </c>
      <c r="C177" t="s">
        <v>1706</v>
      </c>
      <c r="E177">
        <v>5024</v>
      </c>
      <c r="F177" t="s">
        <v>1331</v>
      </c>
      <c r="G177" t="s">
        <v>1332</v>
      </c>
      <c r="H177" t="s">
        <v>965</v>
      </c>
      <c r="I177">
        <v>77479</v>
      </c>
      <c r="J177" t="s">
        <v>1333</v>
      </c>
      <c r="K177">
        <v>7137251858</v>
      </c>
      <c r="M177">
        <v>3600</v>
      </c>
      <c r="N177">
        <v>3600</v>
      </c>
      <c r="O177">
        <v>31</v>
      </c>
      <c r="P177">
        <v>49</v>
      </c>
      <c r="Q177">
        <v>20</v>
      </c>
    </row>
    <row r="178" spans="1:17" x14ac:dyDescent="0.3">
      <c r="A178">
        <v>140</v>
      </c>
      <c r="B178" t="s">
        <v>1334</v>
      </c>
      <c r="C178" t="s">
        <v>1706</v>
      </c>
      <c r="E178">
        <v>5166</v>
      </c>
      <c r="F178" t="s">
        <v>1335</v>
      </c>
      <c r="G178" t="s">
        <v>1336</v>
      </c>
      <c r="H178" t="s">
        <v>965</v>
      </c>
      <c r="I178">
        <v>77536</v>
      </c>
      <c r="J178" t="s">
        <v>1337</v>
      </c>
      <c r="K178" t="s">
        <v>1338</v>
      </c>
      <c r="M178">
        <v>500</v>
      </c>
      <c r="N178">
        <v>500</v>
      </c>
      <c r="O178">
        <v>1</v>
      </c>
      <c r="P178">
        <v>12</v>
      </c>
      <c r="Q178">
        <v>1</v>
      </c>
    </row>
    <row r="179" spans="1:17" x14ac:dyDescent="0.3">
      <c r="A179">
        <v>141</v>
      </c>
      <c r="B179" t="s">
        <v>1339</v>
      </c>
      <c r="C179" t="s">
        <v>1706</v>
      </c>
      <c r="F179" t="s">
        <v>649</v>
      </c>
      <c r="M179">
        <v>0</v>
      </c>
      <c r="N179">
        <v>0</v>
      </c>
      <c r="O179">
        <v>0</v>
      </c>
      <c r="P179">
        <v>12</v>
      </c>
      <c r="Q179">
        <v>2</v>
      </c>
    </row>
    <row r="180" spans="1:17" x14ac:dyDescent="0.3">
      <c r="A180" t="s">
        <v>516</v>
      </c>
      <c r="B180" t="s">
        <v>1340</v>
      </c>
      <c r="C180" t="s">
        <v>1706</v>
      </c>
      <c r="E180">
        <v>5046</v>
      </c>
      <c r="F180" t="s">
        <v>644</v>
      </c>
      <c r="G180" t="s">
        <v>968</v>
      </c>
      <c r="H180" t="s">
        <v>965</v>
      </c>
      <c r="I180">
        <v>77477</v>
      </c>
      <c r="J180" t="s">
        <v>969</v>
      </c>
      <c r="K180" t="s">
        <v>970</v>
      </c>
      <c r="M180">
        <v>4300</v>
      </c>
      <c r="N180">
        <v>29000</v>
      </c>
      <c r="O180">
        <v>14</v>
      </c>
      <c r="P180">
        <v>32</v>
      </c>
      <c r="Q180">
        <v>12</v>
      </c>
    </row>
    <row r="181" spans="1:17" x14ac:dyDescent="0.3">
      <c r="A181">
        <v>142</v>
      </c>
      <c r="B181" t="s">
        <v>1341</v>
      </c>
      <c r="C181" t="s">
        <v>1706</v>
      </c>
      <c r="E181">
        <v>5024</v>
      </c>
      <c r="F181" t="s">
        <v>1331</v>
      </c>
      <c r="G181" t="s">
        <v>1332</v>
      </c>
      <c r="H181" t="s">
        <v>965</v>
      </c>
      <c r="I181">
        <v>77479</v>
      </c>
      <c r="J181" t="s">
        <v>1333</v>
      </c>
      <c r="K181">
        <v>7137251858</v>
      </c>
      <c r="M181">
        <v>675</v>
      </c>
      <c r="N181">
        <v>700</v>
      </c>
      <c r="O181">
        <v>6</v>
      </c>
      <c r="P181">
        <v>10</v>
      </c>
      <c r="Q181">
        <v>7</v>
      </c>
    </row>
    <row r="182" spans="1:17" x14ac:dyDescent="0.3">
      <c r="A182">
        <v>143</v>
      </c>
      <c r="B182" t="s">
        <v>1342</v>
      </c>
      <c r="C182" t="s">
        <v>1706</v>
      </c>
      <c r="E182">
        <v>5060</v>
      </c>
      <c r="F182" t="s">
        <v>702</v>
      </c>
      <c r="G182" t="s">
        <v>1132</v>
      </c>
      <c r="H182" t="s">
        <v>965</v>
      </c>
      <c r="I182">
        <v>77407</v>
      </c>
      <c r="J182" t="s">
        <v>1133</v>
      </c>
      <c r="K182">
        <v>8324644119</v>
      </c>
      <c r="M182">
        <v>875</v>
      </c>
      <c r="N182">
        <v>875</v>
      </c>
      <c r="O182">
        <v>11</v>
      </c>
      <c r="P182">
        <v>35</v>
      </c>
      <c r="Q182">
        <v>11</v>
      </c>
    </row>
    <row r="183" spans="1:17" x14ac:dyDescent="0.3">
      <c r="A183">
        <v>144</v>
      </c>
      <c r="B183" t="s">
        <v>1343</v>
      </c>
      <c r="C183" t="s">
        <v>1706</v>
      </c>
      <c r="E183">
        <v>5212</v>
      </c>
      <c r="F183" t="s">
        <v>709</v>
      </c>
      <c r="G183" t="s">
        <v>1098</v>
      </c>
      <c r="H183" t="s">
        <v>965</v>
      </c>
      <c r="I183">
        <v>77478</v>
      </c>
      <c r="J183" t="s">
        <v>1099</v>
      </c>
      <c r="K183">
        <v>8325263666</v>
      </c>
      <c r="M183">
        <v>1450</v>
      </c>
      <c r="N183">
        <v>1450</v>
      </c>
      <c r="O183">
        <v>23</v>
      </c>
      <c r="P183">
        <v>62</v>
      </c>
      <c r="Q183">
        <v>26</v>
      </c>
    </row>
    <row r="184" spans="1:17" x14ac:dyDescent="0.3">
      <c r="A184">
        <v>145</v>
      </c>
      <c r="B184" t="s">
        <v>1344</v>
      </c>
      <c r="C184" t="s">
        <v>1706</v>
      </c>
      <c r="F184" t="s">
        <v>649</v>
      </c>
      <c r="M184">
        <v>0</v>
      </c>
      <c r="N184">
        <v>0</v>
      </c>
      <c r="O184">
        <v>0</v>
      </c>
      <c r="P184">
        <v>31</v>
      </c>
      <c r="Q184">
        <v>2</v>
      </c>
    </row>
    <row r="185" spans="1:17" x14ac:dyDescent="0.3">
      <c r="A185">
        <v>146</v>
      </c>
      <c r="B185" t="s">
        <v>1345</v>
      </c>
      <c r="C185" t="s">
        <v>1706</v>
      </c>
      <c r="E185">
        <v>5289</v>
      </c>
      <c r="F185" t="s">
        <v>1346</v>
      </c>
      <c r="G185" t="s">
        <v>1347</v>
      </c>
      <c r="H185" t="s">
        <v>965</v>
      </c>
      <c r="I185">
        <v>77575</v>
      </c>
      <c r="J185" t="s">
        <v>1348</v>
      </c>
      <c r="K185">
        <v>4099984301</v>
      </c>
      <c r="M185">
        <v>1850</v>
      </c>
      <c r="N185">
        <v>1850</v>
      </c>
      <c r="O185">
        <v>29</v>
      </c>
      <c r="P185">
        <v>51</v>
      </c>
      <c r="Q185">
        <v>20</v>
      </c>
    </row>
    <row r="186" spans="1:17" x14ac:dyDescent="0.3">
      <c r="A186" t="s">
        <v>519</v>
      </c>
      <c r="B186" t="s">
        <v>1215</v>
      </c>
      <c r="C186" t="s">
        <v>1706</v>
      </c>
      <c r="E186">
        <v>5046</v>
      </c>
      <c r="F186" t="s">
        <v>644</v>
      </c>
      <c r="G186" t="s">
        <v>968</v>
      </c>
      <c r="H186" t="s">
        <v>965</v>
      </c>
      <c r="I186">
        <v>77477</v>
      </c>
      <c r="J186" t="s">
        <v>969</v>
      </c>
      <c r="K186" t="s">
        <v>970</v>
      </c>
      <c r="M186">
        <v>18000</v>
      </c>
      <c r="N186">
        <v>18000</v>
      </c>
      <c r="O186">
        <v>20</v>
      </c>
      <c r="P186">
        <v>36</v>
      </c>
      <c r="Q186">
        <v>24</v>
      </c>
    </row>
    <row r="187" spans="1:17" x14ac:dyDescent="0.3">
      <c r="A187">
        <v>147</v>
      </c>
      <c r="B187" t="s">
        <v>1349</v>
      </c>
      <c r="C187" t="s">
        <v>1706</v>
      </c>
      <c r="E187">
        <v>5017</v>
      </c>
      <c r="F187" t="s">
        <v>995</v>
      </c>
      <c r="G187" t="s">
        <v>996</v>
      </c>
      <c r="H187" t="s">
        <v>965</v>
      </c>
      <c r="I187">
        <v>77521</v>
      </c>
      <c r="J187" t="s">
        <v>997</v>
      </c>
      <c r="K187">
        <v>8326906713</v>
      </c>
      <c r="M187">
        <v>4100</v>
      </c>
      <c r="N187">
        <v>4100</v>
      </c>
      <c r="O187">
        <v>22</v>
      </c>
      <c r="P187">
        <v>42</v>
      </c>
      <c r="Q187">
        <v>39</v>
      </c>
    </row>
    <row r="188" spans="1:17" x14ac:dyDescent="0.3">
      <c r="A188">
        <v>148</v>
      </c>
      <c r="B188" t="s">
        <v>1350</v>
      </c>
      <c r="C188" t="s">
        <v>1706</v>
      </c>
      <c r="E188">
        <v>5233</v>
      </c>
      <c r="F188" t="s">
        <v>1015</v>
      </c>
      <c r="G188" t="s">
        <v>1016</v>
      </c>
      <c r="H188" t="s">
        <v>965</v>
      </c>
      <c r="I188">
        <v>77039</v>
      </c>
      <c r="J188" t="s">
        <v>1017</v>
      </c>
      <c r="K188">
        <v>9176029905</v>
      </c>
      <c r="M188">
        <v>2400</v>
      </c>
      <c r="N188">
        <v>2400</v>
      </c>
      <c r="O188">
        <v>25</v>
      </c>
      <c r="P188">
        <v>41</v>
      </c>
      <c r="Q188">
        <v>23</v>
      </c>
    </row>
    <row r="189" spans="1:17" x14ac:dyDescent="0.3">
      <c r="A189">
        <v>149</v>
      </c>
      <c r="B189" t="s">
        <v>1351</v>
      </c>
      <c r="C189" t="s">
        <v>1706</v>
      </c>
      <c r="E189">
        <v>5303</v>
      </c>
      <c r="F189" t="s">
        <v>1352</v>
      </c>
      <c r="G189" t="s">
        <v>1353</v>
      </c>
      <c r="H189" t="s">
        <v>965</v>
      </c>
      <c r="I189">
        <v>77496</v>
      </c>
      <c r="J189" t="s">
        <v>1354</v>
      </c>
      <c r="K189" s="5">
        <v>7132547235</v>
      </c>
      <c r="M189">
        <v>6450</v>
      </c>
      <c r="N189">
        <v>6450</v>
      </c>
      <c r="O189">
        <v>44</v>
      </c>
      <c r="P189">
        <v>123</v>
      </c>
      <c r="Q189">
        <v>51</v>
      </c>
    </row>
    <row r="190" spans="1:17" x14ac:dyDescent="0.3">
      <c r="A190">
        <v>150</v>
      </c>
      <c r="B190" t="s">
        <v>1355</v>
      </c>
      <c r="C190" t="s">
        <v>1706</v>
      </c>
      <c r="E190">
        <v>5193</v>
      </c>
      <c r="F190" t="s">
        <v>1356</v>
      </c>
      <c r="G190" t="s">
        <v>1357</v>
      </c>
      <c r="H190" t="s">
        <v>965</v>
      </c>
      <c r="I190">
        <v>77583</v>
      </c>
      <c r="J190" t="s">
        <v>1358</v>
      </c>
      <c r="K190">
        <v>7133219370</v>
      </c>
      <c r="M190">
        <v>850</v>
      </c>
      <c r="N190">
        <v>850</v>
      </c>
      <c r="O190">
        <v>15</v>
      </c>
      <c r="P190">
        <v>35</v>
      </c>
      <c r="Q190">
        <v>13</v>
      </c>
    </row>
    <row r="191" spans="1:17" x14ac:dyDescent="0.3">
      <c r="A191">
        <v>151</v>
      </c>
      <c r="B191" t="s">
        <v>1359</v>
      </c>
      <c r="C191" t="s">
        <v>1706</v>
      </c>
      <c r="E191">
        <v>5227</v>
      </c>
      <c r="F191" t="s">
        <v>1037</v>
      </c>
      <c r="G191" t="s">
        <v>1038</v>
      </c>
      <c r="H191" t="s">
        <v>965</v>
      </c>
      <c r="I191">
        <v>77584</v>
      </c>
      <c r="J191" t="s">
        <v>1039</v>
      </c>
      <c r="K191" t="s">
        <v>1040</v>
      </c>
      <c r="M191">
        <v>725</v>
      </c>
      <c r="N191">
        <v>750</v>
      </c>
      <c r="O191">
        <v>6</v>
      </c>
      <c r="P191">
        <v>40</v>
      </c>
      <c r="Q191">
        <v>13</v>
      </c>
    </row>
    <row r="192" spans="1:17" x14ac:dyDescent="0.3">
      <c r="A192">
        <v>152</v>
      </c>
      <c r="B192" t="s">
        <v>1360</v>
      </c>
      <c r="C192" t="s">
        <v>1706</v>
      </c>
      <c r="E192">
        <v>5154</v>
      </c>
      <c r="F192" t="s">
        <v>1045</v>
      </c>
      <c r="G192" t="s">
        <v>1046</v>
      </c>
      <c r="H192" t="s">
        <v>965</v>
      </c>
      <c r="I192">
        <v>77478</v>
      </c>
      <c r="J192" t="s">
        <v>1047</v>
      </c>
      <c r="K192">
        <v>7132023905</v>
      </c>
      <c r="M192">
        <v>1200</v>
      </c>
      <c r="N192">
        <v>1200</v>
      </c>
      <c r="O192">
        <v>8</v>
      </c>
      <c r="P192">
        <v>17</v>
      </c>
      <c r="Q192">
        <v>8</v>
      </c>
    </row>
    <row r="193" spans="1:17" x14ac:dyDescent="0.3">
      <c r="A193">
        <v>153</v>
      </c>
      <c r="B193" t="s">
        <v>1361</v>
      </c>
      <c r="C193" t="s">
        <v>1706</v>
      </c>
      <c r="E193">
        <v>5233</v>
      </c>
      <c r="F193" t="s">
        <v>1015</v>
      </c>
      <c r="G193" t="s">
        <v>1016</v>
      </c>
      <c r="H193" t="s">
        <v>965</v>
      </c>
      <c r="I193">
        <v>77039</v>
      </c>
      <c r="J193" t="s">
        <v>1017</v>
      </c>
      <c r="K193">
        <v>9176029905</v>
      </c>
      <c r="M193">
        <v>2500</v>
      </c>
      <c r="N193">
        <v>2500</v>
      </c>
      <c r="O193">
        <v>16</v>
      </c>
      <c r="P193">
        <v>55</v>
      </c>
      <c r="Q193">
        <v>26</v>
      </c>
    </row>
    <row r="194" spans="1:17" x14ac:dyDescent="0.3">
      <c r="A194">
        <v>154</v>
      </c>
      <c r="B194" t="s">
        <v>1362</v>
      </c>
      <c r="C194" t="s">
        <v>1706</v>
      </c>
      <c r="E194">
        <v>5222</v>
      </c>
      <c r="F194" t="s">
        <v>1140</v>
      </c>
      <c r="G194" t="s">
        <v>1141</v>
      </c>
      <c r="H194" t="s">
        <v>965</v>
      </c>
      <c r="I194">
        <v>77583</v>
      </c>
      <c r="J194" t="s">
        <v>1142</v>
      </c>
      <c r="K194">
        <v>2813009653</v>
      </c>
      <c r="M194">
        <v>6500</v>
      </c>
      <c r="N194">
        <v>6500</v>
      </c>
      <c r="O194">
        <v>30</v>
      </c>
      <c r="P194">
        <v>110</v>
      </c>
      <c r="Q194">
        <v>49</v>
      </c>
    </row>
    <row r="195" spans="1:17" x14ac:dyDescent="0.3">
      <c r="A195">
        <v>155</v>
      </c>
      <c r="B195" t="s">
        <v>1363</v>
      </c>
      <c r="C195" t="s">
        <v>1706</v>
      </c>
      <c r="E195">
        <v>5091</v>
      </c>
      <c r="F195" t="s">
        <v>1010</v>
      </c>
      <c r="G195" t="s">
        <v>1011</v>
      </c>
      <c r="H195" t="s">
        <v>965</v>
      </c>
      <c r="I195">
        <v>77469</v>
      </c>
      <c r="J195" t="s">
        <v>1012</v>
      </c>
      <c r="K195" t="s">
        <v>1013</v>
      </c>
      <c r="M195">
        <v>600</v>
      </c>
      <c r="N195">
        <v>600</v>
      </c>
      <c r="O195">
        <v>5</v>
      </c>
      <c r="P195">
        <v>31</v>
      </c>
      <c r="Q195">
        <v>10</v>
      </c>
    </row>
    <row r="196" spans="1:17" x14ac:dyDescent="0.3">
      <c r="A196">
        <v>156</v>
      </c>
      <c r="B196" t="s">
        <v>1360</v>
      </c>
      <c r="C196" t="s">
        <v>1706</v>
      </c>
      <c r="E196">
        <v>5304</v>
      </c>
      <c r="F196" t="s">
        <v>1364</v>
      </c>
      <c r="G196" t="s">
        <v>1365</v>
      </c>
      <c r="H196" t="s">
        <v>965</v>
      </c>
      <c r="I196">
        <v>77536</v>
      </c>
      <c r="J196" t="s">
        <v>1366</v>
      </c>
      <c r="K196">
        <v>7138289536</v>
      </c>
      <c r="M196">
        <v>850</v>
      </c>
      <c r="N196">
        <v>850</v>
      </c>
      <c r="O196">
        <v>4</v>
      </c>
      <c r="P196">
        <v>14</v>
      </c>
      <c r="Q196">
        <v>9</v>
      </c>
    </row>
    <row r="197" spans="1:17" x14ac:dyDescent="0.3">
      <c r="A197" t="s">
        <v>523</v>
      </c>
      <c r="B197" t="s">
        <v>1215</v>
      </c>
      <c r="C197" t="s">
        <v>1706</v>
      </c>
      <c r="E197">
        <v>5046</v>
      </c>
      <c r="F197" t="s">
        <v>644</v>
      </c>
      <c r="G197" t="s">
        <v>968</v>
      </c>
      <c r="H197" t="s">
        <v>965</v>
      </c>
      <c r="I197">
        <v>77477</v>
      </c>
      <c r="J197" t="s">
        <v>969</v>
      </c>
      <c r="K197" t="s">
        <v>970</v>
      </c>
      <c r="M197">
        <v>16000</v>
      </c>
      <c r="N197">
        <v>18000</v>
      </c>
      <c r="O197">
        <v>15</v>
      </c>
      <c r="P197">
        <v>28</v>
      </c>
      <c r="Q197">
        <v>26</v>
      </c>
    </row>
    <row r="198" spans="1:17" x14ac:dyDescent="0.3">
      <c r="A198">
        <v>157</v>
      </c>
      <c r="B198" t="s">
        <v>1367</v>
      </c>
      <c r="C198" t="s">
        <v>1706</v>
      </c>
      <c r="E198">
        <v>5307</v>
      </c>
      <c r="F198" t="s">
        <v>1368</v>
      </c>
      <c r="G198" t="s">
        <v>1369</v>
      </c>
      <c r="H198" t="s">
        <v>965</v>
      </c>
      <c r="I198">
        <v>77009</v>
      </c>
      <c r="J198" t="s">
        <v>1370</v>
      </c>
      <c r="K198">
        <v>7134260854</v>
      </c>
      <c r="M198">
        <v>5325</v>
      </c>
      <c r="N198">
        <v>5325</v>
      </c>
      <c r="O198">
        <v>34</v>
      </c>
      <c r="P198">
        <v>90</v>
      </c>
      <c r="Q198">
        <v>43</v>
      </c>
    </row>
    <row r="199" spans="1:17" x14ac:dyDescent="0.3">
      <c r="A199">
        <v>158</v>
      </c>
      <c r="B199" t="s">
        <v>1371</v>
      </c>
      <c r="C199" t="s">
        <v>1706</v>
      </c>
      <c r="E199">
        <v>5227</v>
      </c>
      <c r="F199" t="s">
        <v>1037</v>
      </c>
      <c r="G199" t="s">
        <v>1038</v>
      </c>
      <c r="H199" t="s">
        <v>965</v>
      </c>
      <c r="I199">
        <v>77584</v>
      </c>
      <c r="J199" t="s">
        <v>1039</v>
      </c>
      <c r="K199" t="s">
        <v>1040</v>
      </c>
      <c r="M199">
        <v>525</v>
      </c>
      <c r="N199">
        <v>575</v>
      </c>
      <c r="O199">
        <v>2</v>
      </c>
      <c r="P199">
        <v>24</v>
      </c>
      <c r="Q199">
        <v>11</v>
      </c>
    </row>
    <row r="200" spans="1:17" x14ac:dyDescent="0.3">
      <c r="A200">
        <v>159</v>
      </c>
      <c r="B200" t="s">
        <v>717</v>
      </c>
      <c r="C200" t="s">
        <v>1706</v>
      </c>
      <c r="F200" t="s">
        <v>649</v>
      </c>
      <c r="M200">
        <v>0</v>
      </c>
      <c r="N200">
        <v>0</v>
      </c>
      <c r="O200">
        <v>0</v>
      </c>
      <c r="P200">
        <v>17</v>
      </c>
      <c r="Q200">
        <v>2</v>
      </c>
    </row>
    <row r="201" spans="1:17" x14ac:dyDescent="0.3">
      <c r="A201" t="s">
        <v>1372</v>
      </c>
      <c r="B201" t="s">
        <v>1373</v>
      </c>
      <c r="C201" t="s">
        <v>1706</v>
      </c>
      <c r="E201">
        <v>5046</v>
      </c>
      <c r="F201" t="s">
        <v>644</v>
      </c>
      <c r="G201" t="s">
        <v>968</v>
      </c>
      <c r="H201" t="s">
        <v>965</v>
      </c>
      <c r="I201">
        <v>77477</v>
      </c>
      <c r="J201" t="s">
        <v>969</v>
      </c>
      <c r="K201" t="s">
        <v>970</v>
      </c>
      <c r="M201">
        <v>550</v>
      </c>
      <c r="N201">
        <v>8000</v>
      </c>
      <c r="O201">
        <v>2</v>
      </c>
      <c r="P201">
        <v>19</v>
      </c>
      <c r="Q201">
        <v>2</v>
      </c>
    </row>
    <row r="202" spans="1:17" x14ac:dyDescent="0.3">
      <c r="A202">
        <v>160</v>
      </c>
      <c r="B202" t="s">
        <v>1374</v>
      </c>
      <c r="C202" t="s">
        <v>1706</v>
      </c>
      <c r="E202">
        <v>5133</v>
      </c>
      <c r="F202" t="s">
        <v>1227</v>
      </c>
      <c r="G202" t="s">
        <v>1228</v>
      </c>
      <c r="H202" t="s">
        <v>965</v>
      </c>
      <c r="I202">
        <v>77459</v>
      </c>
      <c r="J202" t="s">
        <v>1229</v>
      </c>
      <c r="K202">
        <v>2812029040</v>
      </c>
      <c r="M202">
        <v>1625</v>
      </c>
      <c r="N202">
        <v>1625</v>
      </c>
      <c r="O202">
        <v>9</v>
      </c>
      <c r="P202">
        <v>20</v>
      </c>
      <c r="Q202">
        <v>6</v>
      </c>
    </row>
    <row r="203" spans="1:17" x14ac:dyDescent="0.3">
      <c r="A203" t="s">
        <v>1375</v>
      </c>
      <c r="B203" t="s">
        <v>1376</v>
      </c>
      <c r="C203" t="s">
        <v>1706</v>
      </c>
      <c r="E203">
        <v>5164</v>
      </c>
      <c r="F203" t="s">
        <v>1295</v>
      </c>
      <c r="G203" t="s">
        <v>1296</v>
      </c>
      <c r="H203" t="s">
        <v>965</v>
      </c>
      <c r="I203">
        <v>75094</v>
      </c>
      <c r="J203" t="s">
        <v>1297</v>
      </c>
      <c r="K203">
        <v>3478458311</v>
      </c>
      <c r="M203">
        <v>45000</v>
      </c>
      <c r="N203">
        <v>45000</v>
      </c>
      <c r="O203">
        <v>54</v>
      </c>
      <c r="P203">
        <v>218</v>
      </c>
      <c r="Q203">
        <v>54</v>
      </c>
    </row>
    <row r="204" spans="1:17" x14ac:dyDescent="0.3">
      <c r="A204">
        <v>162</v>
      </c>
      <c r="B204" t="s">
        <v>1377</v>
      </c>
      <c r="C204" t="s">
        <v>1706</v>
      </c>
      <c r="E204">
        <v>5060</v>
      </c>
      <c r="F204" t="s">
        <v>702</v>
      </c>
      <c r="G204" t="s">
        <v>1132</v>
      </c>
      <c r="H204" t="s">
        <v>965</v>
      </c>
      <c r="I204">
        <v>77407</v>
      </c>
      <c r="J204" t="s">
        <v>1133</v>
      </c>
      <c r="K204">
        <v>8324644119</v>
      </c>
      <c r="M204">
        <v>500</v>
      </c>
      <c r="N204">
        <v>500</v>
      </c>
      <c r="O204">
        <v>1</v>
      </c>
      <c r="P204">
        <v>22</v>
      </c>
      <c r="Q204">
        <v>7</v>
      </c>
    </row>
    <row r="205" spans="1:17" x14ac:dyDescent="0.3">
      <c r="A205">
        <v>163</v>
      </c>
      <c r="B205" t="s">
        <v>1378</v>
      </c>
      <c r="C205" t="s">
        <v>1706</v>
      </c>
      <c r="E205">
        <v>5291</v>
      </c>
      <c r="F205" t="s">
        <v>1379</v>
      </c>
      <c r="G205" t="s">
        <v>1380</v>
      </c>
      <c r="H205" t="s">
        <v>965</v>
      </c>
      <c r="I205">
        <v>77488</v>
      </c>
      <c r="J205" t="s">
        <v>1381</v>
      </c>
      <c r="K205">
        <v>9795331407</v>
      </c>
      <c r="L205">
        <v>9795331407</v>
      </c>
      <c r="M205">
        <v>2000</v>
      </c>
      <c r="N205">
        <v>2000</v>
      </c>
      <c r="O205">
        <v>10</v>
      </c>
      <c r="P205">
        <v>31</v>
      </c>
      <c r="Q205">
        <v>20</v>
      </c>
    </row>
    <row r="206" spans="1:17" x14ac:dyDescent="0.3">
      <c r="A206">
        <v>164</v>
      </c>
      <c r="B206" t="s">
        <v>1382</v>
      </c>
      <c r="C206" t="s">
        <v>1706</v>
      </c>
      <c r="E206">
        <v>5306</v>
      </c>
      <c r="F206" t="s">
        <v>1383</v>
      </c>
      <c r="G206" t="s">
        <v>1384</v>
      </c>
      <c r="H206" t="s">
        <v>965</v>
      </c>
      <c r="I206">
        <v>77354</v>
      </c>
      <c r="J206" t="s">
        <v>1385</v>
      </c>
      <c r="K206">
        <v>2816908916</v>
      </c>
      <c r="M206">
        <v>3100</v>
      </c>
      <c r="N206">
        <v>3100</v>
      </c>
      <c r="O206">
        <v>38</v>
      </c>
      <c r="P206">
        <v>115</v>
      </c>
      <c r="Q206">
        <v>36</v>
      </c>
    </row>
    <row r="207" spans="1:17" x14ac:dyDescent="0.3">
      <c r="A207">
        <v>165</v>
      </c>
      <c r="B207" t="s">
        <v>1386</v>
      </c>
      <c r="C207" t="s">
        <v>1706</v>
      </c>
      <c r="E207">
        <v>5218</v>
      </c>
      <c r="F207" t="s">
        <v>1387</v>
      </c>
      <c r="G207" t="s">
        <v>1388</v>
      </c>
      <c r="H207" t="s">
        <v>965</v>
      </c>
      <c r="I207">
        <v>77080</v>
      </c>
      <c r="J207" t="s">
        <v>1389</v>
      </c>
      <c r="K207">
        <v>5127871010</v>
      </c>
      <c r="M207">
        <v>1200</v>
      </c>
      <c r="N207">
        <v>1200</v>
      </c>
      <c r="O207">
        <v>3</v>
      </c>
      <c r="P207">
        <v>41</v>
      </c>
      <c r="Q207">
        <v>13</v>
      </c>
    </row>
    <row r="208" spans="1:17" x14ac:dyDescent="0.3">
      <c r="A208">
        <v>166</v>
      </c>
      <c r="B208" t="s">
        <v>1390</v>
      </c>
      <c r="C208" t="s">
        <v>1706</v>
      </c>
      <c r="E208">
        <v>5069</v>
      </c>
      <c r="F208" t="s">
        <v>1391</v>
      </c>
      <c r="G208" t="s">
        <v>1392</v>
      </c>
      <c r="H208" t="s">
        <v>965</v>
      </c>
      <c r="I208">
        <v>77581</v>
      </c>
      <c r="J208" t="s">
        <v>1393</v>
      </c>
      <c r="K208">
        <v>8326215422</v>
      </c>
      <c r="M208">
        <v>500</v>
      </c>
      <c r="N208">
        <v>500</v>
      </c>
      <c r="O208">
        <v>1</v>
      </c>
      <c r="P208">
        <v>34</v>
      </c>
      <c r="Q208">
        <v>11</v>
      </c>
    </row>
    <row r="209" spans="1:17" x14ac:dyDescent="0.3">
      <c r="A209" t="s">
        <v>525</v>
      </c>
      <c r="B209" t="s">
        <v>1394</v>
      </c>
      <c r="C209" t="s">
        <v>1706</v>
      </c>
      <c r="E209">
        <v>5214</v>
      </c>
      <c r="F209" t="s">
        <v>1395</v>
      </c>
      <c r="G209" t="s">
        <v>1396</v>
      </c>
      <c r="H209" t="s">
        <v>965</v>
      </c>
      <c r="I209">
        <v>77047</v>
      </c>
      <c r="J209" t="s">
        <v>1397</v>
      </c>
      <c r="K209">
        <v>7133208400</v>
      </c>
      <c r="M209">
        <v>27600</v>
      </c>
      <c r="N209">
        <v>27600</v>
      </c>
      <c r="O209">
        <v>25</v>
      </c>
      <c r="P209">
        <v>117</v>
      </c>
      <c r="Q209">
        <v>47</v>
      </c>
    </row>
    <row r="210" spans="1:17" x14ac:dyDescent="0.3">
      <c r="A210">
        <v>167</v>
      </c>
      <c r="B210" t="s">
        <v>1398</v>
      </c>
      <c r="C210" t="s">
        <v>1706</v>
      </c>
      <c r="E210">
        <v>5211</v>
      </c>
      <c r="F210" t="s">
        <v>972</v>
      </c>
      <c r="G210" t="s">
        <v>973</v>
      </c>
      <c r="H210" t="s">
        <v>965</v>
      </c>
      <c r="I210">
        <v>77355</v>
      </c>
      <c r="J210" t="s">
        <v>974</v>
      </c>
      <c r="K210" t="s">
        <v>975</v>
      </c>
      <c r="M210">
        <v>2300</v>
      </c>
      <c r="N210">
        <v>2300</v>
      </c>
      <c r="O210">
        <v>22</v>
      </c>
      <c r="P210">
        <v>76</v>
      </c>
      <c r="Q210">
        <v>44</v>
      </c>
    </row>
    <row r="211" spans="1:17" x14ac:dyDescent="0.3">
      <c r="A211">
        <v>168</v>
      </c>
      <c r="B211" t="s">
        <v>1399</v>
      </c>
      <c r="C211" t="s">
        <v>1706</v>
      </c>
      <c r="E211">
        <v>5024</v>
      </c>
      <c r="F211" t="s">
        <v>1331</v>
      </c>
      <c r="G211" t="s">
        <v>1332</v>
      </c>
      <c r="H211" t="s">
        <v>965</v>
      </c>
      <c r="I211">
        <v>77479</v>
      </c>
      <c r="J211" t="s">
        <v>1333</v>
      </c>
      <c r="K211">
        <v>7137251858</v>
      </c>
      <c r="M211">
        <v>2200</v>
      </c>
      <c r="N211">
        <v>2200</v>
      </c>
      <c r="O211">
        <v>25</v>
      </c>
      <c r="P211">
        <v>57</v>
      </c>
      <c r="Q211">
        <v>27</v>
      </c>
    </row>
    <row r="212" spans="1:17" x14ac:dyDescent="0.3">
      <c r="A212">
        <v>169</v>
      </c>
      <c r="B212" t="s">
        <v>1400</v>
      </c>
      <c r="C212" t="s">
        <v>1706</v>
      </c>
      <c r="E212">
        <v>5289</v>
      </c>
      <c r="F212" t="s">
        <v>1346</v>
      </c>
      <c r="G212" t="s">
        <v>1347</v>
      </c>
      <c r="H212" t="s">
        <v>965</v>
      </c>
      <c r="I212">
        <v>77575</v>
      </c>
      <c r="J212" t="s">
        <v>1348</v>
      </c>
      <c r="K212">
        <v>4099984301</v>
      </c>
      <c r="M212">
        <v>500</v>
      </c>
      <c r="N212">
        <v>500</v>
      </c>
      <c r="O212">
        <v>1</v>
      </c>
      <c r="P212">
        <v>14</v>
      </c>
      <c r="Q212">
        <v>5</v>
      </c>
    </row>
    <row r="213" spans="1:17" x14ac:dyDescent="0.3">
      <c r="A213">
        <v>170</v>
      </c>
      <c r="B213" t="s">
        <v>1401</v>
      </c>
      <c r="C213" t="s">
        <v>1706</v>
      </c>
      <c r="E213">
        <v>5194</v>
      </c>
      <c r="F213" t="s">
        <v>1078</v>
      </c>
      <c r="G213" t="s">
        <v>1079</v>
      </c>
      <c r="H213" t="s">
        <v>965</v>
      </c>
      <c r="I213">
        <v>77478</v>
      </c>
      <c r="J213" t="s">
        <v>1080</v>
      </c>
      <c r="K213">
        <v>8322164341</v>
      </c>
      <c r="M213">
        <v>12500</v>
      </c>
      <c r="N213">
        <v>12500</v>
      </c>
      <c r="O213">
        <v>40</v>
      </c>
      <c r="P213">
        <v>148</v>
      </c>
      <c r="Q213">
        <v>68</v>
      </c>
    </row>
    <row r="214" spans="1:17" x14ac:dyDescent="0.3">
      <c r="A214">
        <v>171</v>
      </c>
      <c r="B214" t="s">
        <v>1402</v>
      </c>
      <c r="C214" t="s">
        <v>1706</v>
      </c>
      <c r="E214">
        <v>5197</v>
      </c>
      <c r="F214" t="s">
        <v>1403</v>
      </c>
      <c r="G214" t="s">
        <v>1404</v>
      </c>
      <c r="H214" t="s">
        <v>965</v>
      </c>
      <c r="I214">
        <v>77581</v>
      </c>
      <c r="J214" t="s">
        <v>1405</v>
      </c>
      <c r="K214">
        <v>7138709843</v>
      </c>
      <c r="M214">
        <v>2800</v>
      </c>
      <c r="N214">
        <v>3200</v>
      </c>
      <c r="O214">
        <v>17</v>
      </c>
      <c r="P214">
        <v>60</v>
      </c>
      <c r="Q214">
        <v>23</v>
      </c>
    </row>
    <row r="215" spans="1:17" x14ac:dyDescent="0.3">
      <c r="A215" t="s">
        <v>485</v>
      </c>
      <c r="B215" t="s">
        <v>1406</v>
      </c>
      <c r="C215" t="s">
        <v>1706</v>
      </c>
      <c r="E215">
        <v>5046</v>
      </c>
      <c r="F215" t="s">
        <v>644</v>
      </c>
      <c r="G215" t="s">
        <v>968</v>
      </c>
      <c r="H215" t="s">
        <v>965</v>
      </c>
      <c r="I215">
        <v>77477</v>
      </c>
      <c r="J215" t="s">
        <v>969</v>
      </c>
      <c r="K215" t="s">
        <v>970</v>
      </c>
      <c r="M215">
        <v>21500</v>
      </c>
      <c r="N215">
        <v>45000</v>
      </c>
      <c r="O215">
        <v>26</v>
      </c>
      <c r="P215">
        <v>140</v>
      </c>
      <c r="Q215">
        <v>38</v>
      </c>
    </row>
    <row r="216" spans="1:17" x14ac:dyDescent="0.3">
      <c r="A216">
        <v>172</v>
      </c>
      <c r="B216" t="s">
        <v>1407</v>
      </c>
      <c r="C216" t="s">
        <v>1706</v>
      </c>
      <c r="E216">
        <v>5285</v>
      </c>
      <c r="F216" t="s">
        <v>1317</v>
      </c>
      <c r="G216" t="s">
        <v>1318</v>
      </c>
      <c r="H216" t="s">
        <v>965</v>
      </c>
      <c r="I216">
        <v>77583</v>
      </c>
      <c r="J216" t="s">
        <v>1319</v>
      </c>
      <c r="K216">
        <v>4096595811</v>
      </c>
      <c r="M216">
        <v>3400</v>
      </c>
      <c r="N216">
        <v>3400</v>
      </c>
      <c r="O216">
        <v>16</v>
      </c>
      <c r="P216">
        <v>27</v>
      </c>
      <c r="Q216">
        <v>43</v>
      </c>
    </row>
    <row r="217" spans="1:17" x14ac:dyDescent="0.3">
      <c r="A217">
        <v>173</v>
      </c>
      <c r="B217" t="s">
        <v>1408</v>
      </c>
      <c r="C217" t="s">
        <v>1706</v>
      </c>
      <c r="E217">
        <v>5286</v>
      </c>
      <c r="F217" t="s">
        <v>1409</v>
      </c>
      <c r="G217" t="s">
        <v>1410</v>
      </c>
      <c r="H217" t="s">
        <v>965</v>
      </c>
      <c r="I217">
        <v>77023</v>
      </c>
      <c r="J217" t="s">
        <v>1411</v>
      </c>
      <c r="K217">
        <v>8328905356</v>
      </c>
      <c r="M217">
        <v>11000</v>
      </c>
      <c r="N217">
        <v>11000</v>
      </c>
      <c r="O217">
        <v>49</v>
      </c>
      <c r="P217">
        <v>93</v>
      </c>
      <c r="Q217">
        <v>48</v>
      </c>
    </row>
    <row r="218" spans="1:17" x14ac:dyDescent="0.3">
      <c r="A218">
        <v>174</v>
      </c>
      <c r="B218" t="s">
        <v>1412</v>
      </c>
      <c r="C218" t="s">
        <v>1706</v>
      </c>
      <c r="F218" t="s">
        <v>649</v>
      </c>
      <c r="M218">
        <v>0</v>
      </c>
      <c r="N218">
        <v>0</v>
      </c>
      <c r="O218">
        <v>0</v>
      </c>
      <c r="P218">
        <v>19</v>
      </c>
      <c r="Q218">
        <v>2</v>
      </c>
    </row>
    <row r="219" spans="1:17" x14ac:dyDescent="0.3">
      <c r="A219">
        <v>175</v>
      </c>
      <c r="B219" t="s">
        <v>1413</v>
      </c>
      <c r="C219" t="s">
        <v>1706</v>
      </c>
      <c r="E219">
        <v>5065</v>
      </c>
      <c r="F219" t="s">
        <v>976</v>
      </c>
      <c r="G219" t="s">
        <v>977</v>
      </c>
      <c r="H219" t="s">
        <v>965</v>
      </c>
      <c r="I219">
        <v>77095</v>
      </c>
      <c r="J219" t="s">
        <v>978</v>
      </c>
      <c r="K219">
        <v>8325679148</v>
      </c>
      <c r="M219">
        <v>4600</v>
      </c>
      <c r="N219">
        <v>4650</v>
      </c>
      <c r="O219">
        <v>17</v>
      </c>
      <c r="P219">
        <v>64</v>
      </c>
      <c r="Q219">
        <v>42</v>
      </c>
    </row>
    <row r="220" spans="1:17" x14ac:dyDescent="0.3">
      <c r="A220">
        <v>176</v>
      </c>
      <c r="B220" t="s">
        <v>1274</v>
      </c>
      <c r="C220" t="s">
        <v>1706</v>
      </c>
      <c r="E220">
        <v>5265</v>
      </c>
      <c r="F220" t="s">
        <v>1165</v>
      </c>
      <c r="G220" t="s">
        <v>1166</v>
      </c>
      <c r="H220" t="s">
        <v>965</v>
      </c>
      <c r="I220">
        <v>77494</v>
      </c>
      <c r="J220" t="s">
        <v>1167</v>
      </c>
      <c r="K220">
        <v>7138207145</v>
      </c>
      <c r="M220">
        <v>2200</v>
      </c>
      <c r="N220">
        <v>2200</v>
      </c>
      <c r="O220">
        <v>28</v>
      </c>
      <c r="P220">
        <v>35</v>
      </c>
      <c r="Q220">
        <v>9</v>
      </c>
    </row>
    <row r="221" spans="1:17" x14ac:dyDescent="0.3">
      <c r="A221" t="s">
        <v>527</v>
      </c>
      <c r="B221" t="s">
        <v>1414</v>
      </c>
      <c r="C221" t="s">
        <v>1706</v>
      </c>
      <c r="E221">
        <v>5214</v>
      </c>
      <c r="F221" t="s">
        <v>1395</v>
      </c>
      <c r="G221" t="s">
        <v>1396</v>
      </c>
      <c r="H221" t="s">
        <v>965</v>
      </c>
      <c r="I221">
        <v>77047</v>
      </c>
      <c r="J221" t="s">
        <v>1397</v>
      </c>
      <c r="K221">
        <v>7133208400</v>
      </c>
      <c r="M221">
        <v>21000</v>
      </c>
      <c r="N221">
        <v>21000</v>
      </c>
      <c r="O221">
        <v>21</v>
      </c>
      <c r="P221">
        <v>124</v>
      </c>
      <c r="Q221">
        <v>58</v>
      </c>
    </row>
    <row r="222" spans="1:17" x14ac:dyDescent="0.3">
      <c r="A222">
        <v>177</v>
      </c>
      <c r="B222" t="s">
        <v>1415</v>
      </c>
      <c r="C222" t="s">
        <v>1706</v>
      </c>
      <c r="E222">
        <v>5285</v>
      </c>
      <c r="F222" t="s">
        <v>1317</v>
      </c>
      <c r="G222" t="s">
        <v>1318</v>
      </c>
      <c r="H222" t="s">
        <v>965</v>
      </c>
      <c r="I222">
        <v>77583</v>
      </c>
      <c r="J222" t="s">
        <v>1319</v>
      </c>
      <c r="K222">
        <v>4096595811</v>
      </c>
      <c r="M222">
        <v>600</v>
      </c>
      <c r="N222">
        <v>600</v>
      </c>
      <c r="O222">
        <v>5</v>
      </c>
      <c r="P222">
        <v>13</v>
      </c>
      <c r="Q222">
        <v>9</v>
      </c>
    </row>
    <row r="223" spans="1:17" x14ac:dyDescent="0.3">
      <c r="A223">
        <v>178</v>
      </c>
      <c r="B223" t="s">
        <v>1416</v>
      </c>
      <c r="C223" t="s">
        <v>1706</v>
      </c>
      <c r="E223">
        <v>5066</v>
      </c>
      <c r="F223" t="s">
        <v>1326</v>
      </c>
      <c r="G223" t="s">
        <v>1327</v>
      </c>
      <c r="H223" t="s">
        <v>965</v>
      </c>
      <c r="I223">
        <v>77578</v>
      </c>
      <c r="J223" t="s">
        <v>1328</v>
      </c>
      <c r="K223">
        <v>8324180330</v>
      </c>
      <c r="M223">
        <v>2200</v>
      </c>
      <c r="N223">
        <v>2200</v>
      </c>
      <c r="O223">
        <v>12</v>
      </c>
      <c r="P223">
        <v>32</v>
      </c>
      <c r="Q223">
        <v>24</v>
      </c>
    </row>
    <row r="224" spans="1:17" x14ac:dyDescent="0.3">
      <c r="A224">
        <v>179</v>
      </c>
      <c r="B224" t="s">
        <v>1417</v>
      </c>
      <c r="C224" t="s">
        <v>1706</v>
      </c>
      <c r="E224">
        <v>5285</v>
      </c>
      <c r="F224" t="s">
        <v>1317</v>
      </c>
      <c r="G224" t="s">
        <v>1318</v>
      </c>
      <c r="H224" t="s">
        <v>965</v>
      </c>
      <c r="I224">
        <v>77583</v>
      </c>
      <c r="J224" t="s">
        <v>1319</v>
      </c>
      <c r="K224">
        <v>4096595811</v>
      </c>
      <c r="M224">
        <v>1150</v>
      </c>
      <c r="N224">
        <v>1150</v>
      </c>
      <c r="O224">
        <v>23</v>
      </c>
      <c r="P224">
        <v>27</v>
      </c>
      <c r="Q224">
        <v>8</v>
      </c>
    </row>
    <row r="225" spans="1:17" x14ac:dyDescent="0.3">
      <c r="A225">
        <v>180</v>
      </c>
      <c r="B225" t="s">
        <v>1418</v>
      </c>
      <c r="C225" t="s">
        <v>1706</v>
      </c>
      <c r="E225">
        <v>5203</v>
      </c>
      <c r="F225" t="s">
        <v>1419</v>
      </c>
      <c r="G225" t="s">
        <v>1420</v>
      </c>
      <c r="H225" t="s">
        <v>965</v>
      </c>
      <c r="I225">
        <v>77063</v>
      </c>
      <c r="J225" t="s">
        <v>1421</v>
      </c>
      <c r="K225">
        <v>5182534954</v>
      </c>
      <c r="M225">
        <v>2100</v>
      </c>
      <c r="N225">
        <v>2100</v>
      </c>
      <c r="O225">
        <v>22</v>
      </c>
      <c r="P225">
        <v>48</v>
      </c>
      <c r="Q225">
        <v>22</v>
      </c>
    </row>
    <row r="226" spans="1:17" x14ac:dyDescent="0.3">
      <c r="A226">
        <v>181</v>
      </c>
      <c r="B226" t="s">
        <v>1422</v>
      </c>
      <c r="C226" t="s">
        <v>1706</v>
      </c>
      <c r="E226">
        <v>5083</v>
      </c>
      <c r="F226" t="s">
        <v>1423</v>
      </c>
      <c r="G226" t="s">
        <v>1424</v>
      </c>
      <c r="H226" t="s">
        <v>965</v>
      </c>
      <c r="I226" t="s">
        <v>1425</v>
      </c>
      <c r="J226" t="s">
        <v>1426</v>
      </c>
      <c r="M226">
        <v>6250</v>
      </c>
      <c r="N226">
        <v>6250</v>
      </c>
      <c r="O226">
        <v>21</v>
      </c>
      <c r="P226">
        <v>99</v>
      </c>
      <c r="Q226">
        <v>45</v>
      </c>
    </row>
    <row r="227" spans="1:17" x14ac:dyDescent="0.3">
      <c r="A227" t="s">
        <v>529</v>
      </c>
      <c r="B227" t="s">
        <v>1427</v>
      </c>
      <c r="C227" t="s">
        <v>1706</v>
      </c>
      <c r="E227">
        <v>5133</v>
      </c>
      <c r="F227" t="s">
        <v>1227</v>
      </c>
      <c r="G227" t="s">
        <v>1228</v>
      </c>
      <c r="H227" t="s">
        <v>965</v>
      </c>
      <c r="I227">
        <v>77459</v>
      </c>
      <c r="J227" t="s">
        <v>1229</v>
      </c>
      <c r="K227">
        <v>2812029040</v>
      </c>
      <c r="M227">
        <v>40500</v>
      </c>
      <c r="N227">
        <v>43650</v>
      </c>
      <c r="O227">
        <v>28</v>
      </c>
      <c r="P227">
        <v>111</v>
      </c>
      <c r="Q227">
        <v>45</v>
      </c>
    </row>
    <row r="228" spans="1:17" x14ac:dyDescent="0.3">
      <c r="A228">
        <v>182</v>
      </c>
      <c r="B228" t="s">
        <v>1428</v>
      </c>
      <c r="C228" t="s">
        <v>1706</v>
      </c>
      <c r="E228">
        <v>5156</v>
      </c>
      <c r="F228" t="s">
        <v>1429</v>
      </c>
      <c r="G228" t="s">
        <v>1430</v>
      </c>
      <c r="H228" t="s">
        <v>965</v>
      </c>
      <c r="I228">
        <v>77479</v>
      </c>
      <c r="J228" t="s">
        <v>1431</v>
      </c>
      <c r="K228">
        <v>3618343760</v>
      </c>
      <c r="M228">
        <v>2809</v>
      </c>
      <c r="N228">
        <v>2809</v>
      </c>
      <c r="O228">
        <v>8</v>
      </c>
      <c r="P228">
        <v>36</v>
      </c>
      <c r="Q228">
        <v>9</v>
      </c>
    </row>
    <row r="229" spans="1:17" x14ac:dyDescent="0.3">
      <c r="A229">
        <v>183</v>
      </c>
      <c r="B229" t="s">
        <v>1432</v>
      </c>
      <c r="C229" t="s">
        <v>1706</v>
      </c>
      <c r="E229">
        <v>5246</v>
      </c>
      <c r="F229" t="s">
        <v>689</v>
      </c>
      <c r="G229" t="s">
        <v>1188</v>
      </c>
      <c r="H229" t="s">
        <v>965</v>
      </c>
      <c r="I229">
        <v>77469</v>
      </c>
      <c r="J229" t="s">
        <v>1189</v>
      </c>
      <c r="K229">
        <v>7133056434</v>
      </c>
      <c r="M229">
        <v>1350</v>
      </c>
      <c r="N229">
        <v>1350</v>
      </c>
      <c r="O229">
        <v>17</v>
      </c>
      <c r="P229">
        <v>24</v>
      </c>
      <c r="Q229">
        <v>13</v>
      </c>
    </row>
    <row r="230" spans="1:17" x14ac:dyDescent="0.3">
      <c r="A230">
        <v>184</v>
      </c>
      <c r="B230" t="s">
        <v>1433</v>
      </c>
      <c r="C230" t="s">
        <v>1706</v>
      </c>
      <c r="F230" t="s">
        <v>649</v>
      </c>
      <c r="M230">
        <v>0</v>
      </c>
      <c r="N230">
        <v>0</v>
      </c>
      <c r="O230">
        <v>0</v>
      </c>
      <c r="P230">
        <v>21</v>
      </c>
      <c r="Q230">
        <v>4</v>
      </c>
    </row>
    <row r="231" spans="1:17" x14ac:dyDescent="0.3">
      <c r="A231">
        <v>185</v>
      </c>
      <c r="B231" t="s">
        <v>1434</v>
      </c>
      <c r="C231" t="s">
        <v>1706</v>
      </c>
      <c r="E231">
        <v>5227</v>
      </c>
      <c r="F231" t="s">
        <v>1037</v>
      </c>
      <c r="G231" t="s">
        <v>1038</v>
      </c>
      <c r="H231" t="s">
        <v>965</v>
      </c>
      <c r="I231">
        <v>77584</v>
      </c>
      <c r="J231" t="s">
        <v>1039</v>
      </c>
      <c r="K231" t="s">
        <v>1040</v>
      </c>
      <c r="M231">
        <v>2200</v>
      </c>
      <c r="N231">
        <v>2200</v>
      </c>
      <c r="O231">
        <v>13</v>
      </c>
      <c r="P231">
        <v>55</v>
      </c>
      <c r="Q231">
        <v>25</v>
      </c>
    </row>
    <row r="232" spans="1:17" x14ac:dyDescent="0.3">
      <c r="A232">
        <v>186</v>
      </c>
      <c r="B232" t="s">
        <v>1435</v>
      </c>
      <c r="C232" t="s">
        <v>1706</v>
      </c>
      <c r="E232">
        <v>5212</v>
      </c>
      <c r="F232" t="s">
        <v>709</v>
      </c>
      <c r="G232" t="s">
        <v>1098</v>
      </c>
      <c r="H232" t="s">
        <v>965</v>
      </c>
      <c r="I232">
        <v>77478</v>
      </c>
      <c r="J232" t="s">
        <v>1099</v>
      </c>
      <c r="K232">
        <v>8325263666</v>
      </c>
      <c r="M232">
        <v>11500</v>
      </c>
      <c r="N232">
        <v>11500</v>
      </c>
      <c r="O232">
        <v>49</v>
      </c>
      <c r="P232">
        <v>149</v>
      </c>
      <c r="Q232">
        <v>52</v>
      </c>
    </row>
    <row r="233" spans="1:17" x14ac:dyDescent="0.3">
      <c r="A233" t="s">
        <v>501</v>
      </c>
      <c r="B233" t="s">
        <v>1436</v>
      </c>
      <c r="C233" t="s">
        <v>1706</v>
      </c>
      <c r="E233">
        <v>5276</v>
      </c>
      <c r="F233" t="s">
        <v>1220</v>
      </c>
      <c r="G233" t="s">
        <v>1221</v>
      </c>
      <c r="H233" t="s">
        <v>965</v>
      </c>
      <c r="I233">
        <v>77562</v>
      </c>
      <c r="J233" t="s">
        <v>1222</v>
      </c>
      <c r="K233">
        <v>7132944851</v>
      </c>
      <c r="M233">
        <v>29500</v>
      </c>
      <c r="N233">
        <v>29500</v>
      </c>
      <c r="O233">
        <v>26</v>
      </c>
      <c r="P233">
        <v>102</v>
      </c>
      <c r="Q233">
        <v>39</v>
      </c>
    </row>
    <row r="234" spans="1:17" x14ac:dyDescent="0.3">
      <c r="A234">
        <v>187</v>
      </c>
      <c r="B234" t="s">
        <v>1437</v>
      </c>
      <c r="C234" t="s">
        <v>1706</v>
      </c>
      <c r="E234">
        <v>5068</v>
      </c>
      <c r="F234" t="s">
        <v>1055</v>
      </c>
      <c r="G234" t="s">
        <v>1056</v>
      </c>
      <c r="H234" t="s">
        <v>965</v>
      </c>
      <c r="I234">
        <v>77007</v>
      </c>
      <c r="J234" t="s">
        <v>1057</v>
      </c>
      <c r="K234">
        <v>2816914766</v>
      </c>
      <c r="M234">
        <v>2600</v>
      </c>
      <c r="N234">
        <v>2600</v>
      </c>
      <c r="O234">
        <v>32</v>
      </c>
      <c r="P234">
        <v>82</v>
      </c>
      <c r="Q234">
        <v>50</v>
      </c>
    </row>
    <row r="235" spans="1:17" x14ac:dyDescent="0.3">
      <c r="A235" t="s">
        <v>831</v>
      </c>
      <c r="B235" t="s">
        <v>1438</v>
      </c>
      <c r="C235" t="s">
        <v>1706</v>
      </c>
      <c r="E235">
        <v>5156</v>
      </c>
      <c r="F235" t="s">
        <v>1429</v>
      </c>
      <c r="G235" t="s">
        <v>1430</v>
      </c>
      <c r="H235" t="s">
        <v>965</v>
      </c>
      <c r="I235">
        <v>77479</v>
      </c>
      <c r="J235" t="s">
        <v>1431</v>
      </c>
      <c r="K235">
        <v>3618343760</v>
      </c>
      <c r="M235">
        <v>5689</v>
      </c>
      <c r="N235">
        <v>6500</v>
      </c>
      <c r="O235">
        <v>18</v>
      </c>
      <c r="P235">
        <v>83</v>
      </c>
      <c r="Q235">
        <v>22</v>
      </c>
    </row>
    <row r="236" spans="1:17" x14ac:dyDescent="0.3">
      <c r="A236">
        <v>189</v>
      </c>
      <c r="B236" t="s">
        <v>1439</v>
      </c>
      <c r="C236" t="s">
        <v>1706</v>
      </c>
      <c r="E236">
        <v>5024</v>
      </c>
      <c r="F236" t="s">
        <v>1331</v>
      </c>
      <c r="G236" t="s">
        <v>1332</v>
      </c>
      <c r="H236" t="s">
        <v>965</v>
      </c>
      <c r="I236">
        <v>77479</v>
      </c>
      <c r="J236" t="s">
        <v>1333</v>
      </c>
      <c r="K236">
        <v>7137251858</v>
      </c>
      <c r="M236">
        <v>3000</v>
      </c>
      <c r="N236">
        <v>3000</v>
      </c>
      <c r="O236">
        <v>13</v>
      </c>
      <c r="P236">
        <v>84</v>
      </c>
      <c r="Q236">
        <v>42</v>
      </c>
    </row>
    <row r="237" spans="1:17" x14ac:dyDescent="0.3">
      <c r="A237">
        <v>190</v>
      </c>
      <c r="B237" t="s">
        <v>1440</v>
      </c>
      <c r="C237" t="s">
        <v>1706</v>
      </c>
      <c r="E237">
        <v>5051</v>
      </c>
      <c r="F237" t="s">
        <v>1441</v>
      </c>
      <c r="G237" t="s">
        <v>1442</v>
      </c>
      <c r="H237" t="s">
        <v>965</v>
      </c>
      <c r="I237">
        <v>77082</v>
      </c>
      <c r="J237" t="s">
        <v>1443</v>
      </c>
      <c r="K237">
        <v>2818025025</v>
      </c>
      <c r="M237">
        <v>3200</v>
      </c>
      <c r="N237">
        <v>3200</v>
      </c>
      <c r="O237">
        <v>16</v>
      </c>
      <c r="P237">
        <v>70</v>
      </c>
      <c r="Q237">
        <v>14</v>
      </c>
    </row>
    <row r="238" spans="1:17" x14ac:dyDescent="0.3">
      <c r="A238" t="s">
        <v>531</v>
      </c>
      <c r="B238" t="s">
        <v>1444</v>
      </c>
      <c r="C238" t="s">
        <v>1706</v>
      </c>
      <c r="E238">
        <v>5046</v>
      </c>
      <c r="F238" t="s">
        <v>644</v>
      </c>
      <c r="G238" t="s">
        <v>968</v>
      </c>
      <c r="H238" t="s">
        <v>965</v>
      </c>
      <c r="I238">
        <v>77477</v>
      </c>
      <c r="J238" t="s">
        <v>969</v>
      </c>
      <c r="K238" t="s">
        <v>970</v>
      </c>
      <c r="M238">
        <v>14000</v>
      </c>
      <c r="N238">
        <v>20000</v>
      </c>
      <c r="O238">
        <v>19</v>
      </c>
      <c r="P238">
        <v>82</v>
      </c>
      <c r="Q238">
        <v>38</v>
      </c>
    </row>
    <row r="239" spans="1:17" x14ac:dyDescent="0.3">
      <c r="A239" t="s">
        <v>533</v>
      </c>
      <c r="B239" t="s">
        <v>1445</v>
      </c>
      <c r="C239" t="s">
        <v>1706</v>
      </c>
      <c r="E239">
        <v>5267</v>
      </c>
      <c r="F239" t="s">
        <v>1446</v>
      </c>
      <c r="G239" t="s">
        <v>1447</v>
      </c>
      <c r="H239" t="s">
        <v>965</v>
      </c>
      <c r="I239">
        <v>77035</v>
      </c>
      <c r="J239" t="s">
        <v>1448</v>
      </c>
      <c r="K239">
        <v>8328304325</v>
      </c>
      <c r="M239">
        <v>24000</v>
      </c>
      <c r="N239">
        <v>24000</v>
      </c>
      <c r="O239">
        <v>53</v>
      </c>
      <c r="P239">
        <v>77</v>
      </c>
      <c r="Q239">
        <v>29</v>
      </c>
    </row>
    <row r="240" spans="1:17" x14ac:dyDescent="0.3">
      <c r="A240">
        <v>201</v>
      </c>
      <c r="B240" t="s">
        <v>1417</v>
      </c>
      <c r="C240" t="s">
        <v>1706</v>
      </c>
      <c r="E240">
        <v>5289</v>
      </c>
      <c r="F240" t="s">
        <v>1346</v>
      </c>
      <c r="G240" t="s">
        <v>1347</v>
      </c>
      <c r="H240" t="s">
        <v>965</v>
      </c>
      <c r="I240">
        <v>77575</v>
      </c>
      <c r="J240" t="s">
        <v>1348</v>
      </c>
      <c r="K240">
        <v>4099984301</v>
      </c>
      <c r="M240">
        <v>1100</v>
      </c>
      <c r="N240">
        <v>1100</v>
      </c>
      <c r="O240">
        <v>18</v>
      </c>
      <c r="P240">
        <v>10</v>
      </c>
      <c r="Q240">
        <v>12</v>
      </c>
    </row>
    <row r="241" spans="1:17" x14ac:dyDescent="0.3">
      <c r="A241" t="s">
        <v>535</v>
      </c>
      <c r="B241" t="s">
        <v>1449</v>
      </c>
      <c r="C241" t="s">
        <v>1706</v>
      </c>
      <c r="E241">
        <v>5046</v>
      </c>
      <c r="F241" t="s">
        <v>644</v>
      </c>
      <c r="G241" t="s">
        <v>968</v>
      </c>
      <c r="H241" t="s">
        <v>965</v>
      </c>
      <c r="I241">
        <v>77477</v>
      </c>
      <c r="J241" t="s">
        <v>969</v>
      </c>
      <c r="K241" t="s">
        <v>970</v>
      </c>
      <c r="M241">
        <v>11000</v>
      </c>
      <c r="N241">
        <v>14000</v>
      </c>
      <c r="O241">
        <v>14</v>
      </c>
      <c r="P241">
        <v>53</v>
      </c>
      <c r="Q241">
        <v>30</v>
      </c>
    </row>
    <row r="242" spans="1:17" x14ac:dyDescent="0.3">
      <c r="A242">
        <v>202</v>
      </c>
      <c r="B242" t="s">
        <v>1416</v>
      </c>
      <c r="C242" t="s">
        <v>1706</v>
      </c>
      <c r="E242">
        <v>5065</v>
      </c>
      <c r="F242" t="s">
        <v>976</v>
      </c>
      <c r="G242" t="s">
        <v>977</v>
      </c>
      <c r="H242" t="s">
        <v>965</v>
      </c>
      <c r="I242">
        <v>77095</v>
      </c>
      <c r="J242" t="s">
        <v>978</v>
      </c>
      <c r="K242">
        <v>8325679148</v>
      </c>
      <c r="M242">
        <v>2700</v>
      </c>
      <c r="N242">
        <v>2700</v>
      </c>
      <c r="O242">
        <v>16</v>
      </c>
      <c r="P242">
        <v>26</v>
      </c>
      <c r="Q242">
        <v>27</v>
      </c>
    </row>
    <row r="243" spans="1:17" x14ac:dyDescent="0.3">
      <c r="A243">
        <v>203</v>
      </c>
      <c r="B243" t="s">
        <v>1450</v>
      </c>
      <c r="C243" t="s">
        <v>1706</v>
      </c>
      <c r="E243">
        <v>5068</v>
      </c>
      <c r="F243" t="s">
        <v>1055</v>
      </c>
      <c r="G243" t="s">
        <v>1056</v>
      </c>
      <c r="H243" t="s">
        <v>965</v>
      </c>
      <c r="I243">
        <v>77007</v>
      </c>
      <c r="J243" t="s">
        <v>1057</v>
      </c>
      <c r="K243">
        <v>2816914766</v>
      </c>
      <c r="M243">
        <v>10500</v>
      </c>
      <c r="N243">
        <v>10500</v>
      </c>
      <c r="O243">
        <v>16</v>
      </c>
      <c r="P243">
        <v>126</v>
      </c>
      <c r="Q243">
        <v>45</v>
      </c>
    </row>
    <row r="244" spans="1:17" x14ac:dyDescent="0.3">
      <c r="A244">
        <v>204</v>
      </c>
      <c r="B244" t="s">
        <v>1451</v>
      </c>
      <c r="C244" t="s">
        <v>1706</v>
      </c>
      <c r="E244">
        <v>5314</v>
      </c>
      <c r="F244" t="s">
        <v>1452</v>
      </c>
      <c r="G244" t="s">
        <v>1453</v>
      </c>
      <c r="H244" t="s">
        <v>965</v>
      </c>
      <c r="I244">
        <v>77584</v>
      </c>
      <c r="J244" t="s">
        <v>1454</v>
      </c>
      <c r="K244">
        <v>8327822066</v>
      </c>
      <c r="M244">
        <v>4900</v>
      </c>
      <c r="N244">
        <v>5000</v>
      </c>
      <c r="O244">
        <v>30</v>
      </c>
      <c r="P244">
        <v>89</v>
      </c>
      <c r="Q244">
        <v>37</v>
      </c>
    </row>
    <row r="245" spans="1:17" x14ac:dyDescent="0.3">
      <c r="A245">
        <v>205</v>
      </c>
      <c r="B245" t="s">
        <v>1455</v>
      </c>
      <c r="C245" t="s">
        <v>1706</v>
      </c>
      <c r="E245">
        <v>5194</v>
      </c>
      <c r="F245" t="s">
        <v>1078</v>
      </c>
      <c r="G245" t="s">
        <v>1079</v>
      </c>
      <c r="H245" t="s">
        <v>965</v>
      </c>
      <c r="I245">
        <v>77478</v>
      </c>
      <c r="J245" t="s">
        <v>1080</v>
      </c>
      <c r="K245">
        <v>8322164341</v>
      </c>
      <c r="M245">
        <v>2100</v>
      </c>
      <c r="N245">
        <v>2100</v>
      </c>
      <c r="O245">
        <v>16</v>
      </c>
      <c r="P245">
        <v>49</v>
      </c>
      <c r="Q245">
        <v>20</v>
      </c>
    </row>
    <row r="246" spans="1:17" x14ac:dyDescent="0.3">
      <c r="A246">
        <v>206</v>
      </c>
      <c r="B246" t="s">
        <v>1456</v>
      </c>
      <c r="C246" t="s">
        <v>1706</v>
      </c>
      <c r="E246">
        <v>5297</v>
      </c>
      <c r="F246" t="s">
        <v>1457</v>
      </c>
      <c r="G246" t="s">
        <v>1458</v>
      </c>
      <c r="H246" t="s">
        <v>965</v>
      </c>
      <c r="I246">
        <v>77019</v>
      </c>
      <c r="J246" t="s">
        <v>1459</v>
      </c>
      <c r="K246">
        <v>18322535252</v>
      </c>
      <c r="M246">
        <v>3600</v>
      </c>
      <c r="N246">
        <v>4000</v>
      </c>
      <c r="O246">
        <v>22</v>
      </c>
      <c r="P246">
        <v>59</v>
      </c>
      <c r="Q246">
        <v>24</v>
      </c>
    </row>
    <row r="247" spans="1:17" x14ac:dyDescent="0.3">
      <c r="A247" t="s">
        <v>537</v>
      </c>
      <c r="B247" t="s">
        <v>1460</v>
      </c>
      <c r="C247" t="s">
        <v>1706</v>
      </c>
      <c r="E247">
        <v>5046</v>
      </c>
      <c r="F247" t="s">
        <v>644</v>
      </c>
      <c r="G247" t="s">
        <v>968</v>
      </c>
      <c r="H247" t="s">
        <v>965</v>
      </c>
      <c r="I247">
        <v>77477</v>
      </c>
      <c r="J247" t="s">
        <v>969</v>
      </c>
      <c r="K247" t="s">
        <v>970</v>
      </c>
      <c r="M247">
        <v>10000</v>
      </c>
      <c r="N247">
        <v>28000</v>
      </c>
      <c r="O247">
        <v>13</v>
      </c>
      <c r="P247">
        <v>113</v>
      </c>
      <c r="Q247">
        <v>27</v>
      </c>
    </row>
    <row r="248" spans="1:17" x14ac:dyDescent="0.3">
      <c r="A248">
        <v>207</v>
      </c>
      <c r="B248" t="s">
        <v>1461</v>
      </c>
      <c r="C248" t="s">
        <v>1706</v>
      </c>
      <c r="E248">
        <v>5066</v>
      </c>
      <c r="F248" t="s">
        <v>1326</v>
      </c>
      <c r="G248" t="s">
        <v>1327</v>
      </c>
      <c r="H248" t="s">
        <v>965</v>
      </c>
      <c r="I248">
        <v>77578</v>
      </c>
      <c r="J248" t="s">
        <v>1328</v>
      </c>
      <c r="K248">
        <v>8324180330</v>
      </c>
      <c r="M248">
        <v>2100</v>
      </c>
      <c r="N248">
        <v>2100</v>
      </c>
      <c r="O248">
        <v>16</v>
      </c>
      <c r="P248">
        <v>31</v>
      </c>
      <c r="Q248">
        <v>15</v>
      </c>
    </row>
    <row r="249" spans="1:17" x14ac:dyDescent="0.3">
      <c r="A249">
        <v>208</v>
      </c>
      <c r="B249" t="s">
        <v>1462</v>
      </c>
      <c r="C249" t="s">
        <v>1706</v>
      </c>
      <c r="E249">
        <v>5014</v>
      </c>
      <c r="F249" t="s">
        <v>1463</v>
      </c>
      <c r="G249" t="s">
        <v>1464</v>
      </c>
      <c r="H249" t="s">
        <v>965</v>
      </c>
      <c r="I249">
        <v>77479</v>
      </c>
      <c r="J249" t="s">
        <v>1465</v>
      </c>
      <c r="K249" t="s">
        <v>1466</v>
      </c>
      <c r="M249">
        <v>600</v>
      </c>
      <c r="N249">
        <v>600</v>
      </c>
      <c r="O249">
        <v>5</v>
      </c>
      <c r="P249">
        <v>18</v>
      </c>
      <c r="Q249">
        <v>12</v>
      </c>
    </row>
    <row r="250" spans="1:17" x14ac:dyDescent="0.3">
      <c r="A250">
        <v>209</v>
      </c>
      <c r="B250" t="s">
        <v>1467</v>
      </c>
      <c r="C250" t="s">
        <v>1706</v>
      </c>
      <c r="F250" t="s">
        <v>649</v>
      </c>
      <c r="M250">
        <v>0</v>
      </c>
      <c r="N250">
        <v>0</v>
      </c>
      <c r="O250">
        <v>0</v>
      </c>
      <c r="P250">
        <v>9</v>
      </c>
      <c r="Q250">
        <v>0</v>
      </c>
    </row>
    <row r="251" spans="1:17" x14ac:dyDescent="0.3">
      <c r="A251">
        <v>210</v>
      </c>
      <c r="B251" t="s">
        <v>1468</v>
      </c>
      <c r="C251" t="s">
        <v>1706</v>
      </c>
      <c r="E251">
        <v>5201</v>
      </c>
      <c r="F251" t="s">
        <v>1469</v>
      </c>
      <c r="G251" t="s">
        <v>1470</v>
      </c>
      <c r="H251" t="s">
        <v>965</v>
      </c>
      <c r="I251">
        <v>77025</v>
      </c>
      <c r="J251" t="s">
        <v>1471</v>
      </c>
      <c r="K251">
        <v>7134191819</v>
      </c>
      <c r="M251">
        <v>500</v>
      </c>
      <c r="N251">
        <v>500</v>
      </c>
      <c r="O251">
        <v>1</v>
      </c>
      <c r="P251">
        <v>25</v>
      </c>
      <c r="Q251">
        <v>5</v>
      </c>
    </row>
    <row r="252" spans="1:17" x14ac:dyDescent="0.3">
      <c r="A252">
        <v>211</v>
      </c>
      <c r="B252" t="s">
        <v>1472</v>
      </c>
      <c r="C252" t="s">
        <v>1706</v>
      </c>
      <c r="E252">
        <v>5292</v>
      </c>
      <c r="F252" t="s">
        <v>1473</v>
      </c>
      <c r="G252" t="s">
        <v>1474</v>
      </c>
      <c r="H252" t="s">
        <v>965</v>
      </c>
      <c r="I252">
        <v>77581</v>
      </c>
      <c r="J252" t="s">
        <v>1475</v>
      </c>
      <c r="K252">
        <v>7134597338</v>
      </c>
      <c r="M252">
        <v>525</v>
      </c>
      <c r="N252">
        <v>575</v>
      </c>
      <c r="O252">
        <v>2</v>
      </c>
      <c r="P252">
        <v>22</v>
      </c>
      <c r="Q252">
        <v>5</v>
      </c>
    </row>
    <row r="253" spans="1:17" x14ac:dyDescent="0.3">
      <c r="A253" t="s">
        <v>539</v>
      </c>
      <c r="B253" t="s">
        <v>1476</v>
      </c>
      <c r="C253" t="s">
        <v>1706</v>
      </c>
      <c r="E253">
        <v>5164</v>
      </c>
      <c r="F253" t="s">
        <v>1295</v>
      </c>
      <c r="G253" t="s">
        <v>1296</v>
      </c>
      <c r="H253" t="s">
        <v>965</v>
      </c>
      <c r="I253">
        <v>75094</v>
      </c>
      <c r="J253" t="s">
        <v>1297</v>
      </c>
      <c r="K253">
        <v>3478458311</v>
      </c>
      <c r="M253">
        <v>22000</v>
      </c>
      <c r="N253">
        <v>22000</v>
      </c>
      <c r="O253">
        <v>26</v>
      </c>
      <c r="P253">
        <v>157</v>
      </c>
      <c r="Q253">
        <v>51</v>
      </c>
    </row>
    <row r="254" spans="1:17" x14ac:dyDescent="0.3">
      <c r="A254">
        <v>212</v>
      </c>
      <c r="B254" t="s">
        <v>1477</v>
      </c>
      <c r="C254" t="s">
        <v>1706</v>
      </c>
      <c r="E254">
        <v>5074</v>
      </c>
      <c r="F254" t="s">
        <v>1478</v>
      </c>
      <c r="G254" t="s">
        <v>1479</v>
      </c>
      <c r="H254" t="s">
        <v>965</v>
      </c>
      <c r="I254">
        <v>77354</v>
      </c>
      <c r="J254" t="s">
        <v>1480</v>
      </c>
      <c r="K254">
        <v>3462807335</v>
      </c>
      <c r="M254">
        <v>6000</v>
      </c>
      <c r="N254">
        <v>6000</v>
      </c>
      <c r="O254">
        <v>25</v>
      </c>
      <c r="P254">
        <v>71</v>
      </c>
      <c r="Q254">
        <v>43</v>
      </c>
    </row>
    <row r="255" spans="1:17" x14ac:dyDescent="0.3">
      <c r="A255">
        <v>213</v>
      </c>
      <c r="B255" t="s">
        <v>1481</v>
      </c>
      <c r="C255" t="s">
        <v>1706</v>
      </c>
      <c r="E255">
        <v>5046</v>
      </c>
      <c r="F255" t="s">
        <v>644</v>
      </c>
      <c r="G255" t="s">
        <v>968</v>
      </c>
      <c r="H255" t="s">
        <v>965</v>
      </c>
      <c r="I255">
        <v>77477</v>
      </c>
      <c r="J255" t="s">
        <v>969</v>
      </c>
      <c r="K255" t="s">
        <v>970</v>
      </c>
      <c r="M255">
        <v>6050</v>
      </c>
      <c r="N255">
        <v>7000</v>
      </c>
      <c r="O255">
        <v>16</v>
      </c>
      <c r="P255">
        <v>28</v>
      </c>
      <c r="Q255">
        <v>21</v>
      </c>
    </row>
    <row r="256" spans="1:17" x14ac:dyDescent="0.3">
      <c r="A256">
        <v>214</v>
      </c>
      <c r="B256" t="s">
        <v>1482</v>
      </c>
      <c r="C256" t="s">
        <v>1706</v>
      </c>
      <c r="E256">
        <v>5068</v>
      </c>
      <c r="F256" t="s">
        <v>1055</v>
      </c>
      <c r="G256" t="s">
        <v>1056</v>
      </c>
      <c r="H256" t="s">
        <v>965</v>
      </c>
      <c r="I256">
        <v>77007</v>
      </c>
      <c r="J256" t="s">
        <v>1057</v>
      </c>
      <c r="K256">
        <v>2816914766</v>
      </c>
      <c r="M256">
        <v>2699</v>
      </c>
      <c r="N256">
        <v>2699</v>
      </c>
      <c r="O256">
        <v>14</v>
      </c>
      <c r="P256">
        <v>29</v>
      </c>
      <c r="Q256">
        <v>20</v>
      </c>
    </row>
    <row r="257" spans="1:17" x14ac:dyDescent="0.3">
      <c r="A257">
        <v>215</v>
      </c>
      <c r="B257" t="s">
        <v>1483</v>
      </c>
      <c r="C257" t="s">
        <v>1706</v>
      </c>
      <c r="F257" t="s">
        <v>649</v>
      </c>
      <c r="M257">
        <v>0</v>
      </c>
      <c r="N257">
        <v>0</v>
      </c>
      <c r="O257">
        <v>0</v>
      </c>
      <c r="P257">
        <v>5</v>
      </c>
      <c r="Q257">
        <v>2</v>
      </c>
    </row>
    <row r="258" spans="1:17" x14ac:dyDescent="0.3">
      <c r="A258">
        <v>216</v>
      </c>
      <c r="B258" t="s">
        <v>1484</v>
      </c>
      <c r="C258" t="s">
        <v>1706</v>
      </c>
      <c r="E258">
        <v>5133</v>
      </c>
      <c r="F258" t="s">
        <v>1227</v>
      </c>
      <c r="G258" t="s">
        <v>1228</v>
      </c>
      <c r="H258" t="s">
        <v>965</v>
      </c>
      <c r="I258">
        <v>77459</v>
      </c>
      <c r="J258" t="s">
        <v>1229</v>
      </c>
      <c r="K258">
        <v>2812029040</v>
      </c>
      <c r="M258">
        <v>1750</v>
      </c>
      <c r="N258">
        <v>1750</v>
      </c>
      <c r="O258">
        <v>16</v>
      </c>
      <c r="P258">
        <v>65</v>
      </c>
      <c r="Q258">
        <v>14</v>
      </c>
    </row>
    <row r="259" spans="1:17" x14ac:dyDescent="0.3">
      <c r="A259">
        <v>217</v>
      </c>
      <c r="B259" t="s">
        <v>1485</v>
      </c>
      <c r="C259" t="s">
        <v>1706</v>
      </c>
      <c r="E259">
        <v>5311</v>
      </c>
      <c r="F259" t="s">
        <v>1486</v>
      </c>
      <c r="G259" t="s">
        <v>1487</v>
      </c>
      <c r="H259" t="s">
        <v>965</v>
      </c>
      <c r="I259">
        <v>77090</v>
      </c>
      <c r="J259" t="s">
        <v>1488</v>
      </c>
      <c r="K259">
        <v>2813006919</v>
      </c>
      <c r="L259">
        <v>2813006919</v>
      </c>
      <c r="M259">
        <v>550</v>
      </c>
      <c r="N259">
        <v>550</v>
      </c>
      <c r="O259">
        <v>3</v>
      </c>
      <c r="P259">
        <v>15</v>
      </c>
      <c r="Q259">
        <v>7</v>
      </c>
    </row>
    <row r="260" spans="1:17" x14ac:dyDescent="0.3">
      <c r="A260">
        <v>218</v>
      </c>
      <c r="B260" t="s">
        <v>1489</v>
      </c>
      <c r="C260" t="s">
        <v>1706</v>
      </c>
      <c r="E260">
        <v>5316</v>
      </c>
      <c r="F260" t="s">
        <v>1490</v>
      </c>
      <c r="G260" t="s">
        <v>1491</v>
      </c>
      <c r="H260" t="s">
        <v>965</v>
      </c>
      <c r="I260">
        <v>77494</v>
      </c>
      <c r="J260" t="s">
        <v>1492</v>
      </c>
      <c r="K260">
        <v>3464949098</v>
      </c>
      <c r="M260">
        <v>500</v>
      </c>
      <c r="N260">
        <v>500</v>
      </c>
      <c r="O260">
        <v>1</v>
      </c>
      <c r="P260">
        <v>11</v>
      </c>
      <c r="Q260">
        <v>2</v>
      </c>
    </row>
    <row r="261" spans="1:17" x14ac:dyDescent="0.3">
      <c r="A261" t="s">
        <v>854</v>
      </c>
      <c r="B261" t="s">
        <v>1493</v>
      </c>
      <c r="C261" t="s">
        <v>1706</v>
      </c>
      <c r="E261">
        <v>5046</v>
      </c>
      <c r="F261" t="s">
        <v>644</v>
      </c>
      <c r="G261" t="s">
        <v>968</v>
      </c>
      <c r="H261" t="s">
        <v>965</v>
      </c>
      <c r="I261">
        <v>77477</v>
      </c>
      <c r="J261" t="s">
        <v>969</v>
      </c>
      <c r="K261" t="s">
        <v>970</v>
      </c>
      <c r="M261">
        <v>7750</v>
      </c>
      <c r="N261">
        <v>8000</v>
      </c>
      <c r="O261">
        <v>24</v>
      </c>
      <c r="P261">
        <v>31</v>
      </c>
      <c r="Q261">
        <v>20</v>
      </c>
    </row>
    <row r="262" spans="1:17" x14ac:dyDescent="0.3">
      <c r="A262">
        <v>219</v>
      </c>
      <c r="B262" t="s">
        <v>1494</v>
      </c>
      <c r="C262" t="s">
        <v>1706</v>
      </c>
      <c r="E262">
        <v>5288</v>
      </c>
      <c r="F262" t="s">
        <v>1495</v>
      </c>
      <c r="G262" t="s">
        <v>1496</v>
      </c>
      <c r="H262" t="s">
        <v>965</v>
      </c>
      <c r="I262">
        <v>77034</v>
      </c>
      <c r="J262" t="s">
        <v>1497</v>
      </c>
      <c r="K262" t="s">
        <v>1498</v>
      </c>
      <c r="M262">
        <v>675</v>
      </c>
      <c r="N262">
        <v>675</v>
      </c>
      <c r="O262">
        <v>7</v>
      </c>
      <c r="P262">
        <v>23</v>
      </c>
      <c r="Q262">
        <v>9</v>
      </c>
    </row>
    <row r="263" spans="1:17" x14ac:dyDescent="0.3">
      <c r="A263">
        <v>220</v>
      </c>
      <c r="B263" t="s">
        <v>1499</v>
      </c>
      <c r="C263" t="s">
        <v>1706</v>
      </c>
      <c r="E263">
        <v>5086</v>
      </c>
      <c r="F263" t="s">
        <v>991</v>
      </c>
      <c r="G263" t="s">
        <v>992</v>
      </c>
      <c r="H263" t="s">
        <v>965</v>
      </c>
      <c r="I263">
        <v>77583</v>
      </c>
      <c r="J263" t="s">
        <v>993</v>
      </c>
      <c r="K263">
        <v>2819327605</v>
      </c>
      <c r="M263">
        <v>825</v>
      </c>
      <c r="N263">
        <v>825</v>
      </c>
      <c r="O263">
        <v>9</v>
      </c>
      <c r="P263">
        <v>35</v>
      </c>
      <c r="Q263">
        <v>32</v>
      </c>
    </row>
    <row r="264" spans="1:17" x14ac:dyDescent="0.3">
      <c r="A264">
        <v>221</v>
      </c>
      <c r="B264" t="s">
        <v>1500</v>
      </c>
      <c r="C264" t="s">
        <v>1706</v>
      </c>
      <c r="E264">
        <v>5213</v>
      </c>
      <c r="F264" t="s">
        <v>1501</v>
      </c>
      <c r="G264" t="s">
        <v>1502</v>
      </c>
      <c r="H264" t="s">
        <v>965</v>
      </c>
      <c r="I264">
        <v>77478</v>
      </c>
      <c r="J264" t="s">
        <v>1503</v>
      </c>
      <c r="K264" t="s">
        <v>1504</v>
      </c>
      <c r="M264">
        <v>500</v>
      </c>
      <c r="N264">
        <v>500</v>
      </c>
      <c r="O264">
        <v>1</v>
      </c>
      <c r="P264">
        <v>43</v>
      </c>
      <c r="Q264">
        <v>7</v>
      </c>
    </row>
    <row r="265" spans="1:17" x14ac:dyDescent="0.3">
      <c r="A265" t="s">
        <v>543</v>
      </c>
      <c r="B265" t="s">
        <v>1505</v>
      </c>
      <c r="C265" t="s">
        <v>1706</v>
      </c>
      <c r="E265">
        <v>5286</v>
      </c>
      <c r="F265" t="s">
        <v>1409</v>
      </c>
      <c r="G265" t="s">
        <v>1410</v>
      </c>
      <c r="H265" t="s">
        <v>965</v>
      </c>
      <c r="I265">
        <v>77023</v>
      </c>
      <c r="J265" t="s">
        <v>1411</v>
      </c>
      <c r="K265">
        <v>8328905356</v>
      </c>
      <c r="M265">
        <v>19000</v>
      </c>
      <c r="N265">
        <v>19000</v>
      </c>
      <c r="O265">
        <v>30</v>
      </c>
      <c r="P265">
        <v>55</v>
      </c>
      <c r="Q265">
        <v>30</v>
      </c>
    </row>
    <row r="266" spans="1:17" x14ac:dyDescent="0.3">
      <c r="A266">
        <v>222</v>
      </c>
      <c r="B266" t="s">
        <v>1506</v>
      </c>
      <c r="C266" t="s">
        <v>1706</v>
      </c>
      <c r="E266">
        <v>5014</v>
      </c>
      <c r="F266" t="s">
        <v>1463</v>
      </c>
      <c r="G266" t="s">
        <v>1464</v>
      </c>
      <c r="H266" t="s">
        <v>965</v>
      </c>
      <c r="I266">
        <v>77479</v>
      </c>
      <c r="J266" t="s">
        <v>1465</v>
      </c>
      <c r="K266" t="s">
        <v>1466</v>
      </c>
      <c r="M266">
        <v>2900</v>
      </c>
      <c r="N266">
        <v>2900</v>
      </c>
      <c r="O266">
        <v>30</v>
      </c>
      <c r="P266">
        <v>53</v>
      </c>
      <c r="Q266">
        <v>29</v>
      </c>
    </row>
    <row r="267" spans="1:17" x14ac:dyDescent="0.3">
      <c r="A267" t="s">
        <v>858</v>
      </c>
      <c r="B267" t="s">
        <v>1507</v>
      </c>
      <c r="C267" t="s">
        <v>1706</v>
      </c>
      <c r="E267">
        <v>5070</v>
      </c>
      <c r="F267" t="s">
        <v>1192</v>
      </c>
      <c r="G267" t="s">
        <v>1193</v>
      </c>
      <c r="H267" t="s">
        <v>965</v>
      </c>
      <c r="I267">
        <v>77478</v>
      </c>
      <c r="J267" t="s">
        <v>1194</v>
      </c>
      <c r="K267">
        <v>8328594872</v>
      </c>
      <c r="M267">
        <v>500</v>
      </c>
      <c r="N267">
        <v>500</v>
      </c>
      <c r="O267">
        <v>1</v>
      </c>
      <c r="P267">
        <v>25</v>
      </c>
      <c r="Q267">
        <v>4</v>
      </c>
    </row>
    <row r="268" spans="1:17" x14ac:dyDescent="0.3">
      <c r="A268">
        <v>223</v>
      </c>
      <c r="B268" t="s">
        <v>1508</v>
      </c>
      <c r="C268" t="s">
        <v>1706</v>
      </c>
      <c r="E268">
        <v>5057</v>
      </c>
      <c r="F268" t="s">
        <v>1509</v>
      </c>
      <c r="G268" t="s">
        <v>1510</v>
      </c>
      <c r="H268" t="s">
        <v>965</v>
      </c>
      <c r="I268">
        <v>77539</v>
      </c>
      <c r="J268" t="s">
        <v>1511</v>
      </c>
      <c r="K268">
        <v>8325887532</v>
      </c>
      <c r="L268">
        <v>8325887532</v>
      </c>
      <c r="M268">
        <v>500</v>
      </c>
      <c r="N268">
        <v>500</v>
      </c>
      <c r="O268">
        <v>1</v>
      </c>
      <c r="P268">
        <v>15</v>
      </c>
      <c r="Q268">
        <v>3</v>
      </c>
    </row>
    <row r="269" spans="1:17" x14ac:dyDescent="0.3">
      <c r="A269">
        <v>224</v>
      </c>
      <c r="B269" t="s">
        <v>1512</v>
      </c>
      <c r="C269" t="s">
        <v>1706</v>
      </c>
      <c r="E269">
        <v>5229</v>
      </c>
      <c r="F269" t="s">
        <v>1291</v>
      </c>
      <c r="G269" t="s">
        <v>1292</v>
      </c>
      <c r="H269" t="s">
        <v>965</v>
      </c>
      <c r="I269">
        <v>77070</v>
      </c>
      <c r="J269" t="s">
        <v>1293</v>
      </c>
      <c r="K269">
        <v>7062291516</v>
      </c>
      <c r="M269">
        <v>2300</v>
      </c>
      <c r="N269">
        <v>2300</v>
      </c>
      <c r="O269">
        <v>33</v>
      </c>
      <c r="P269">
        <v>54</v>
      </c>
      <c r="Q269">
        <v>20</v>
      </c>
    </row>
    <row r="270" spans="1:17" x14ac:dyDescent="0.3">
      <c r="A270">
        <v>225</v>
      </c>
      <c r="B270" t="s">
        <v>1513</v>
      </c>
      <c r="C270" t="s">
        <v>1706</v>
      </c>
      <c r="E270">
        <v>5243</v>
      </c>
      <c r="F270" t="s">
        <v>1514</v>
      </c>
      <c r="G270" t="s">
        <v>1515</v>
      </c>
      <c r="H270" t="s">
        <v>965</v>
      </c>
      <c r="I270">
        <v>77306</v>
      </c>
      <c r="J270" t="s">
        <v>1516</v>
      </c>
      <c r="K270">
        <v>2817040191</v>
      </c>
      <c r="M270">
        <v>1550</v>
      </c>
      <c r="N270">
        <v>1550</v>
      </c>
      <c r="O270">
        <v>21</v>
      </c>
      <c r="P270">
        <v>32</v>
      </c>
      <c r="Q270">
        <v>12</v>
      </c>
    </row>
    <row r="271" spans="1:17" x14ac:dyDescent="0.3">
      <c r="A271">
        <v>226</v>
      </c>
      <c r="B271" t="s">
        <v>1517</v>
      </c>
      <c r="C271" t="s">
        <v>1706</v>
      </c>
      <c r="E271">
        <v>5211</v>
      </c>
      <c r="F271" t="s">
        <v>972</v>
      </c>
      <c r="G271" t="s">
        <v>973</v>
      </c>
      <c r="H271" t="s">
        <v>965</v>
      </c>
      <c r="I271">
        <v>77355</v>
      </c>
      <c r="J271" t="s">
        <v>974</v>
      </c>
      <c r="K271" t="s">
        <v>975</v>
      </c>
      <c r="M271">
        <v>925</v>
      </c>
      <c r="N271">
        <v>925</v>
      </c>
      <c r="O271">
        <v>19</v>
      </c>
      <c r="P271">
        <v>39</v>
      </c>
      <c r="Q271">
        <v>12</v>
      </c>
    </row>
    <row r="272" spans="1:17" x14ac:dyDescent="0.3">
      <c r="A272" t="s">
        <v>545</v>
      </c>
      <c r="B272" t="s">
        <v>1518</v>
      </c>
      <c r="C272" t="s">
        <v>1706</v>
      </c>
      <c r="E272">
        <v>5045</v>
      </c>
      <c r="F272" t="s">
        <v>1519</v>
      </c>
      <c r="G272" t="s">
        <v>1520</v>
      </c>
      <c r="H272" t="s">
        <v>965</v>
      </c>
      <c r="I272">
        <v>75839</v>
      </c>
      <c r="J272" t="s">
        <v>1521</v>
      </c>
      <c r="K272" t="s">
        <v>1522</v>
      </c>
      <c r="M272">
        <v>15000</v>
      </c>
      <c r="N272">
        <v>15000</v>
      </c>
      <c r="O272">
        <v>7</v>
      </c>
      <c r="P272">
        <v>53</v>
      </c>
      <c r="Q272">
        <v>15</v>
      </c>
    </row>
    <row r="273" spans="1:17" x14ac:dyDescent="0.3">
      <c r="A273">
        <v>227</v>
      </c>
      <c r="B273" t="s">
        <v>1523</v>
      </c>
      <c r="C273" t="s">
        <v>1706</v>
      </c>
      <c r="E273">
        <v>5085</v>
      </c>
      <c r="F273" t="s">
        <v>1244</v>
      </c>
      <c r="G273" t="s">
        <v>1245</v>
      </c>
      <c r="H273" t="s">
        <v>965</v>
      </c>
      <c r="I273">
        <v>77511</v>
      </c>
      <c r="J273" t="s">
        <v>1246</v>
      </c>
      <c r="K273" t="s">
        <v>1247</v>
      </c>
      <c r="M273">
        <v>4300</v>
      </c>
      <c r="N273">
        <v>4300</v>
      </c>
      <c r="O273">
        <v>25</v>
      </c>
      <c r="P273">
        <v>44</v>
      </c>
      <c r="Q273">
        <v>39</v>
      </c>
    </row>
    <row r="274" spans="1:17" x14ac:dyDescent="0.3">
      <c r="A274" t="s">
        <v>1524</v>
      </c>
      <c r="B274" t="s">
        <v>1525</v>
      </c>
      <c r="C274" t="s">
        <v>1706</v>
      </c>
      <c r="E274">
        <v>5088</v>
      </c>
      <c r="F274" t="s">
        <v>1050</v>
      </c>
      <c r="G274" t="s">
        <v>1051</v>
      </c>
      <c r="H274" t="s">
        <v>965</v>
      </c>
      <c r="I274">
        <v>77009</v>
      </c>
      <c r="J274" t="s">
        <v>1052</v>
      </c>
      <c r="K274" t="s">
        <v>1053</v>
      </c>
      <c r="M274">
        <v>1700</v>
      </c>
      <c r="N274">
        <v>1750</v>
      </c>
      <c r="O274">
        <v>13</v>
      </c>
      <c r="P274">
        <v>17</v>
      </c>
      <c r="Q274">
        <v>11</v>
      </c>
    </row>
    <row r="275" spans="1:17" x14ac:dyDescent="0.3">
      <c r="A275">
        <v>228</v>
      </c>
      <c r="B275" t="s">
        <v>1526</v>
      </c>
      <c r="C275" t="s">
        <v>1706</v>
      </c>
      <c r="E275">
        <v>5154</v>
      </c>
      <c r="F275" t="s">
        <v>1045</v>
      </c>
      <c r="G275" t="s">
        <v>1046</v>
      </c>
      <c r="H275" t="s">
        <v>965</v>
      </c>
      <c r="I275">
        <v>77478</v>
      </c>
      <c r="J275" t="s">
        <v>1047</v>
      </c>
      <c r="K275">
        <v>7132023905</v>
      </c>
      <c r="M275">
        <v>2375</v>
      </c>
      <c r="N275">
        <v>2375</v>
      </c>
      <c r="O275">
        <v>31</v>
      </c>
      <c r="P275">
        <v>64</v>
      </c>
      <c r="Q275">
        <v>31</v>
      </c>
    </row>
    <row r="276" spans="1:17" x14ac:dyDescent="0.3">
      <c r="A276">
        <v>229</v>
      </c>
      <c r="B276" t="s">
        <v>1527</v>
      </c>
      <c r="C276" t="s">
        <v>1706</v>
      </c>
      <c r="E276">
        <v>5009</v>
      </c>
      <c r="F276" t="s">
        <v>1528</v>
      </c>
      <c r="G276" t="s">
        <v>1529</v>
      </c>
      <c r="H276" t="s">
        <v>965</v>
      </c>
      <c r="I276">
        <v>77493</v>
      </c>
      <c r="J276" t="s">
        <v>1530</v>
      </c>
      <c r="K276">
        <v>8019493690</v>
      </c>
      <c r="M276">
        <v>500</v>
      </c>
      <c r="N276">
        <v>500</v>
      </c>
      <c r="O276">
        <v>1</v>
      </c>
      <c r="P276">
        <v>7</v>
      </c>
      <c r="Q276">
        <v>3</v>
      </c>
    </row>
    <row r="277" spans="1:17" x14ac:dyDescent="0.3">
      <c r="A277">
        <v>230</v>
      </c>
      <c r="B277" t="s">
        <v>1531</v>
      </c>
      <c r="C277" t="s">
        <v>1706</v>
      </c>
      <c r="E277">
        <v>5159</v>
      </c>
      <c r="F277" t="s">
        <v>697</v>
      </c>
      <c r="G277" t="s">
        <v>1090</v>
      </c>
      <c r="H277" t="s">
        <v>965</v>
      </c>
      <c r="I277">
        <v>77449</v>
      </c>
      <c r="J277" t="s">
        <v>1091</v>
      </c>
      <c r="K277" t="s">
        <v>1092</v>
      </c>
      <c r="M277">
        <v>5000</v>
      </c>
      <c r="N277">
        <v>5000</v>
      </c>
      <c r="O277">
        <v>29</v>
      </c>
      <c r="P277">
        <v>59</v>
      </c>
      <c r="Q277">
        <v>33</v>
      </c>
    </row>
    <row r="278" spans="1:17" x14ac:dyDescent="0.3">
      <c r="A278">
        <v>231</v>
      </c>
      <c r="B278" t="s">
        <v>1532</v>
      </c>
      <c r="C278" t="s">
        <v>1706</v>
      </c>
      <c r="E278">
        <v>5279</v>
      </c>
      <c r="F278" t="s">
        <v>1183</v>
      </c>
      <c r="G278" t="s">
        <v>1184</v>
      </c>
      <c r="H278" t="s">
        <v>965</v>
      </c>
      <c r="I278">
        <v>77498</v>
      </c>
      <c r="J278" t="s">
        <v>1185</v>
      </c>
      <c r="K278">
        <v>8325447995</v>
      </c>
      <c r="M278">
        <v>1150</v>
      </c>
      <c r="N278">
        <v>1150</v>
      </c>
      <c r="O278">
        <v>18</v>
      </c>
      <c r="P278">
        <v>31</v>
      </c>
      <c r="Q278">
        <v>26</v>
      </c>
    </row>
    <row r="279" spans="1:17" x14ac:dyDescent="0.3">
      <c r="A279" t="s">
        <v>547</v>
      </c>
      <c r="B279" t="s">
        <v>1533</v>
      </c>
      <c r="C279" t="s">
        <v>1706</v>
      </c>
      <c r="E279">
        <v>5276</v>
      </c>
      <c r="F279" t="s">
        <v>1220</v>
      </c>
      <c r="G279" t="s">
        <v>1221</v>
      </c>
      <c r="H279" t="s">
        <v>965</v>
      </c>
      <c r="I279">
        <v>77562</v>
      </c>
      <c r="J279" t="s">
        <v>1222</v>
      </c>
      <c r="K279">
        <v>7132944851</v>
      </c>
      <c r="M279">
        <v>17500</v>
      </c>
      <c r="N279">
        <v>17500</v>
      </c>
      <c r="O279">
        <v>21</v>
      </c>
      <c r="P279">
        <v>120</v>
      </c>
      <c r="Q279">
        <v>23</v>
      </c>
    </row>
    <row r="280" spans="1:17" x14ac:dyDescent="0.3">
      <c r="A280">
        <v>232</v>
      </c>
      <c r="B280" t="s">
        <v>1534</v>
      </c>
      <c r="C280" t="s">
        <v>1706</v>
      </c>
      <c r="E280">
        <v>5292</v>
      </c>
      <c r="F280" t="s">
        <v>1473</v>
      </c>
      <c r="G280" t="s">
        <v>1474</v>
      </c>
      <c r="H280" t="s">
        <v>965</v>
      </c>
      <c r="I280">
        <v>77581</v>
      </c>
      <c r="J280" t="s">
        <v>1475</v>
      </c>
      <c r="K280">
        <v>7134597338</v>
      </c>
      <c r="M280">
        <v>550</v>
      </c>
      <c r="N280">
        <v>700</v>
      </c>
      <c r="O280">
        <v>3</v>
      </c>
      <c r="P280">
        <v>33</v>
      </c>
      <c r="Q280">
        <v>8</v>
      </c>
    </row>
    <row r="281" spans="1:17" x14ac:dyDescent="0.3">
      <c r="A281" t="s">
        <v>551</v>
      </c>
      <c r="B281" t="s">
        <v>1143</v>
      </c>
      <c r="C281" t="s">
        <v>1706</v>
      </c>
      <c r="E281">
        <v>5265</v>
      </c>
      <c r="F281" t="s">
        <v>1165</v>
      </c>
      <c r="G281" t="s">
        <v>1166</v>
      </c>
      <c r="H281" t="s">
        <v>965</v>
      </c>
      <c r="I281">
        <v>77494</v>
      </c>
      <c r="J281" t="s">
        <v>1167</v>
      </c>
      <c r="K281">
        <v>7138207145</v>
      </c>
      <c r="M281">
        <v>1050</v>
      </c>
      <c r="N281">
        <v>1050</v>
      </c>
      <c r="O281">
        <v>8</v>
      </c>
      <c r="P281">
        <v>25</v>
      </c>
      <c r="Q281">
        <v>18</v>
      </c>
    </row>
    <row r="282" spans="1:17" x14ac:dyDescent="0.3">
      <c r="A282" t="s">
        <v>553</v>
      </c>
      <c r="B282" t="s">
        <v>1535</v>
      </c>
      <c r="C282" t="s">
        <v>1706</v>
      </c>
      <c r="E282">
        <v>5065</v>
      </c>
      <c r="F282" t="s">
        <v>976</v>
      </c>
      <c r="G282" t="s">
        <v>977</v>
      </c>
      <c r="H282" t="s">
        <v>965</v>
      </c>
      <c r="I282">
        <v>77095</v>
      </c>
      <c r="J282" t="s">
        <v>978</v>
      </c>
      <c r="K282">
        <v>8325679148</v>
      </c>
      <c r="M282">
        <v>17450</v>
      </c>
      <c r="N282">
        <v>19975</v>
      </c>
      <c r="O282">
        <v>16</v>
      </c>
      <c r="P282">
        <v>74</v>
      </c>
      <c r="Q282">
        <v>47</v>
      </c>
    </row>
    <row r="283" spans="1:17" x14ac:dyDescent="0.3">
      <c r="A283" t="s">
        <v>883</v>
      </c>
      <c r="B283" t="s">
        <v>1536</v>
      </c>
      <c r="C283" t="s">
        <v>1706</v>
      </c>
      <c r="E283">
        <v>5046</v>
      </c>
      <c r="F283" t="s">
        <v>644</v>
      </c>
      <c r="G283" t="s">
        <v>968</v>
      </c>
      <c r="H283" t="s">
        <v>965</v>
      </c>
      <c r="I283">
        <v>77477</v>
      </c>
      <c r="J283" t="s">
        <v>969</v>
      </c>
      <c r="K283" t="s">
        <v>970</v>
      </c>
      <c r="M283">
        <v>5250</v>
      </c>
      <c r="N283">
        <v>7500</v>
      </c>
      <c r="O283">
        <v>6</v>
      </c>
      <c r="P283">
        <v>70</v>
      </c>
      <c r="Q283">
        <v>30</v>
      </c>
    </row>
    <row r="284" spans="1:17" x14ac:dyDescent="0.3">
      <c r="A284" t="s">
        <v>557</v>
      </c>
      <c r="B284" t="s">
        <v>1143</v>
      </c>
      <c r="C284" t="s">
        <v>1706</v>
      </c>
      <c r="E284">
        <v>5265</v>
      </c>
      <c r="F284" t="s">
        <v>1165</v>
      </c>
      <c r="G284" t="s">
        <v>1166</v>
      </c>
      <c r="H284" t="s">
        <v>965</v>
      </c>
      <c r="I284">
        <v>77494</v>
      </c>
      <c r="J284" t="s">
        <v>1167</v>
      </c>
      <c r="K284">
        <v>7138207145</v>
      </c>
      <c r="M284">
        <v>1050</v>
      </c>
      <c r="N284">
        <v>1050</v>
      </c>
      <c r="O284">
        <v>6</v>
      </c>
      <c r="P284">
        <v>22</v>
      </c>
      <c r="Q284">
        <v>20</v>
      </c>
    </row>
    <row r="285" spans="1:17" x14ac:dyDescent="0.3">
      <c r="A285" t="s">
        <v>560</v>
      </c>
      <c r="B285" t="s">
        <v>1537</v>
      </c>
      <c r="C285" t="s">
        <v>1706</v>
      </c>
      <c r="E285">
        <v>5276</v>
      </c>
      <c r="F285" t="s">
        <v>1220</v>
      </c>
      <c r="G285" t="s">
        <v>1221</v>
      </c>
      <c r="H285" t="s">
        <v>965</v>
      </c>
      <c r="I285">
        <v>77562</v>
      </c>
      <c r="J285" t="s">
        <v>1222</v>
      </c>
      <c r="K285">
        <v>7132944851</v>
      </c>
      <c r="M285">
        <v>17500</v>
      </c>
      <c r="N285">
        <v>17500</v>
      </c>
      <c r="O285">
        <v>38</v>
      </c>
      <c r="P285">
        <v>37</v>
      </c>
      <c r="Q285">
        <v>12</v>
      </c>
    </row>
    <row r="286" spans="1:17" x14ac:dyDescent="0.3">
      <c r="A286" t="s">
        <v>562</v>
      </c>
      <c r="B286" t="s">
        <v>1538</v>
      </c>
      <c r="C286" t="s">
        <v>1706</v>
      </c>
      <c r="E286">
        <v>5267</v>
      </c>
      <c r="F286" t="s">
        <v>1446</v>
      </c>
      <c r="G286" t="s">
        <v>1447</v>
      </c>
      <c r="H286" t="s">
        <v>965</v>
      </c>
      <c r="I286">
        <v>77035</v>
      </c>
      <c r="J286" t="s">
        <v>1448</v>
      </c>
      <c r="K286">
        <v>8328304325</v>
      </c>
      <c r="M286">
        <v>22000</v>
      </c>
      <c r="N286">
        <v>22000</v>
      </c>
      <c r="O286">
        <v>22</v>
      </c>
      <c r="P286">
        <v>109</v>
      </c>
      <c r="Q286">
        <v>46</v>
      </c>
    </row>
    <row r="287" spans="1:17" x14ac:dyDescent="0.3">
      <c r="A287" t="s">
        <v>564</v>
      </c>
      <c r="B287" t="s">
        <v>1539</v>
      </c>
      <c r="C287" t="s">
        <v>1706</v>
      </c>
      <c r="E287">
        <v>5046</v>
      </c>
      <c r="F287" t="s">
        <v>644</v>
      </c>
      <c r="G287" t="s">
        <v>968</v>
      </c>
      <c r="H287" t="s">
        <v>965</v>
      </c>
      <c r="I287">
        <v>77477</v>
      </c>
      <c r="J287" t="s">
        <v>969</v>
      </c>
      <c r="K287" t="s">
        <v>970</v>
      </c>
      <c r="M287">
        <v>65000</v>
      </c>
      <c r="N287">
        <v>80000</v>
      </c>
      <c r="O287">
        <v>64</v>
      </c>
      <c r="P287">
        <v>196</v>
      </c>
      <c r="Q287">
        <v>37</v>
      </c>
    </row>
    <row r="288" spans="1:17" x14ac:dyDescent="0.3">
      <c r="A288" t="s">
        <v>1540</v>
      </c>
      <c r="B288" t="s">
        <v>1541</v>
      </c>
      <c r="C288" t="s">
        <v>1706</v>
      </c>
      <c r="E288">
        <v>5046</v>
      </c>
      <c r="F288" t="s">
        <v>644</v>
      </c>
      <c r="G288" t="s">
        <v>968</v>
      </c>
      <c r="H288" t="s">
        <v>965</v>
      </c>
      <c r="I288">
        <v>77477</v>
      </c>
      <c r="J288" t="s">
        <v>969</v>
      </c>
      <c r="K288" t="s">
        <v>970</v>
      </c>
      <c r="M288">
        <v>35500</v>
      </c>
      <c r="N288">
        <v>44000</v>
      </c>
      <c r="O288">
        <v>15</v>
      </c>
      <c r="P288">
        <v>56</v>
      </c>
      <c r="Q288">
        <v>33</v>
      </c>
    </row>
    <row r="289" spans="1:17" x14ac:dyDescent="0.3">
      <c r="A289" t="s">
        <v>1542</v>
      </c>
      <c r="B289" t="s">
        <v>421</v>
      </c>
      <c r="C289" t="s">
        <v>1706</v>
      </c>
      <c r="E289">
        <v>5276</v>
      </c>
      <c r="F289" t="s">
        <v>1220</v>
      </c>
      <c r="G289" t="s">
        <v>1221</v>
      </c>
      <c r="H289" t="s">
        <v>965</v>
      </c>
      <c r="I289">
        <v>77562</v>
      </c>
      <c r="J289" t="s">
        <v>1222</v>
      </c>
      <c r="K289">
        <v>7132944851</v>
      </c>
      <c r="M289">
        <v>25500</v>
      </c>
      <c r="N289">
        <v>25500</v>
      </c>
      <c r="O289">
        <v>16</v>
      </c>
      <c r="P289">
        <v>52</v>
      </c>
      <c r="Q289">
        <v>42</v>
      </c>
    </row>
    <row r="290" spans="1:17" x14ac:dyDescent="0.3">
      <c r="A290" t="s">
        <v>1543</v>
      </c>
      <c r="B290" t="s">
        <v>421</v>
      </c>
      <c r="C290" t="s">
        <v>1706</v>
      </c>
      <c r="E290">
        <v>5046</v>
      </c>
      <c r="F290" t="s">
        <v>644</v>
      </c>
      <c r="G290" t="s">
        <v>968</v>
      </c>
      <c r="H290" t="s">
        <v>965</v>
      </c>
      <c r="I290">
        <v>77477</v>
      </c>
      <c r="J290" t="s">
        <v>969</v>
      </c>
      <c r="K290" t="s">
        <v>970</v>
      </c>
      <c r="M290">
        <v>24500</v>
      </c>
      <c r="N290">
        <v>25000</v>
      </c>
      <c r="O290">
        <v>21</v>
      </c>
      <c r="P290">
        <v>42</v>
      </c>
      <c r="Q290">
        <v>48</v>
      </c>
    </row>
    <row r="291" spans="1:17" x14ac:dyDescent="0.3">
      <c r="A291" t="s">
        <v>1544</v>
      </c>
      <c r="B291" t="s">
        <v>1545</v>
      </c>
      <c r="C291" t="s">
        <v>1706</v>
      </c>
      <c r="E291">
        <v>5149</v>
      </c>
      <c r="F291" t="s">
        <v>665</v>
      </c>
      <c r="G291" t="s">
        <v>1546</v>
      </c>
      <c r="H291" t="s">
        <v>965</v>
      </c>
      <c r="I291">
        <v>77057</v>
      </c>
      <c r="J291" t="s">
        <v>1547</v>
      </c>
      <c r="K291">
        <v>8328585866</v>
      </c>
      <c r="M291">
        <v>55000</v>
      </c>
      <c r="N291">
        <v>55000</v>
      </c>
      <c r="O291">
        <v>24</v>
      </c>
      <c r="P291">
        <v>152</v>
      </c>
      <c r="Q291">
        <v>53</v>
      </c>
    </row>
    <row r="292" spans="1:17" x14ac:dyDescent="0.3">
      <c r="A292" t="s">
        <v>566</v>
      </c>
      <c r="B292" t="s">
        <v>1548</v>
      </c>
      <c r="C292" t="s">
        <v>1706</v>
      </c>
      <c r="E292">
        <v>5046</v>
      </c>
      <c r="F292" t="s">
        <v>644</v>
      </c>
      <c r="G292" t="s">
        <v>968</v>
      </c>
      <c r="H292" t="s">
        <v>965</v>
      </c>
      <c r="I292">
        <v>77477</v>
      </c>
      <c r="J292" t="s">
        <v>969</v>
      </c>
      <c r="K292" t="s">
        <v>970</v>
      </c>
      <c r="M292">
        <v>12500</v>
      </c>
      <c r="N292">
        <v>12500</v>
      </c>
      <c r="O292">
        <v>16</v>
      </c>
      <c r="P292">
        <v>30</v>
      </c>
      <c r="Q292">
        <v>33</v>
      </c>
    </row>
    <row r="293" spans="1:17" x14ac:dyDescent="0.3">
      <c r="A293" t="s">
        <v>585</v>
      </c>
      <c r="B293" t="s">
        <v>1549</v>
      </c>
      <c r="C293" t="s">
        <v>1706</v>
      </c>
      <c r="E293">
        <v>5318</v>
      </c>
      <c r="F293" t="s">
        <v>1550</v>
      </c>
      <c r="G293" t="s">
        <v>1551</v>
      </c>
      <c r="H293" t="s">
        <v>965</v>
      </c>
      <c r="I293">
        <v>77388</v>
      </c>
      <c r="J293" t="s">
        <v>1552</v>
      </c>
      <c r="K293" t="s">
        <v>1553</v>
      </c>
      <c r="M293">
        <v>23200</v>
      </c>
      <c r="N293">
        <v>23200</v>
      </c>
      <c r="O293">
        <v>19</v>
      </c>
      <c r="P293">
        <v>63</v>
      </c>
      <c r="Q293">
        <v>30</v>
      </c>
    </row>
    <row r="294" spans="1:17" x14ac:dyDescent="0.3">
      <c r="A294" t="s">
        <v>588</v>
      </c>
      <c r="B294" t="s">
        <v>1554</v>
      </c>
      <c r="C294" t="s">
        <v>1706</v>
      </c>
      <c r="E294">
        <v>5293</v>
      </c>
      <c r="F294" t="s">
        <v>1555</v>
      </c>
      <c r="G294" t="s">
        <v>1556</v>
      </c>
      <c r="H294" t="s">
        <v>965</v>
      </c>
      <c r="I294">
        <v>77336</v>
      </c>
      <c r="J294" t="s">
        <v>1557</v>
      </c>
      <c r="K294" t="s">
        <v>1558</v>
      </c>
      <c r="M294">
        <v>12500</v>
      </c>
      <c r="N294">
        <v>12650</v>
      </c>
      <c r="O294">
        <v>12</v>
      </c>
      <c r="P294">
        <v>38</v>
      </c>
      <c r="Q294">
        <v>34</v>
      </c>
    </row>
    <row r="295" spans="1:17" x14ac:dyDescent="0.3">
      <c r="A295" t="s">
        <v>590</v>
      </c>
      <c r="B295" t="s">
        <v>932</v>
      </c>
      <c r="C295" t="s">
        <v>1706</v>
      </c>
      <c r="E295">
        <v>5046</v>
      </c>
      <c r="F295" t="s">
        <v>644</v>
      </c>
      <c r="G295" t="s">
        <v>968</v>
      </c>
      <c r="H295" t="s">
        <v>965</v>
      </c>
      <c r="I295">
        <v>77477</v>
      </c>
      <c r="J295" t="s">
        <v>969</v>
      </c>
      <c r="K295" t="s">
        <v>970</v>
      </c>
      <c r="M295">
        <v>29000</v>
      </c>
      <c r="N295">
        <v>32000</v>
      </c>
      <c r="O295">
        <v>31</v>
      </c>
      <c r="P295">
        <v>78</v>
      </c>
      <c r="Q295">
        <v>42</v>
      </c>
    </row>
    <row r="296" spans="1:17" x14ac:dyDescent="0.3">
      <c r="A296" t="s">
        <v>1559</v>
      </c>
      <c r="B296" t="s">
        <v>1560</v>
      </c>
      <c r="C296" t="s">
        <v>1706</v>
      </c>
      <c r="E296">
        <v>5046</v>
      </c>
      <c r="F296" t="s">
        <v>644</v>
      </c>
      <c r="G296" t="s">
        <v>968</v>
      </c>
      <c r="H296" t="s">
        <v>965</v>
      </c>
      <c r="I296">
        <v>77477</v>
      </c>
      <c r="J296" t="s">
        <v>969</v>
      </c>
      <c r="K296" t="s">
        <v>970</v>
      </c>
      <c r="M296">
        <v>12500</v>
      </c>
      <c r="N296">
        <v>12500</v>
      </c>
      <c r="O296">
        <v>17</v>
      </c>
      <c r="P296">
        <v>68</v>
      </c>
      <c r="Q296">
        <v>8</v>
      </c>
    </row>
    <row r="297" spans="1:17" x14ac:dyDescent="0.3">
      <c r="A297" t="s">
        <v>592</v>
      </c>
      <c r="B297" t="s">
        <v>1561</v>
      </c>
      <c r="C297" t="s">
        <v>1706</v>
      </c>
      <c r="E297">
        <v>5170</v>
      </c>
      <c r="F297" t="s">
        <v>1562</v>
      </c>
      <c r="G297" t="s">
        <v>1563</v>
      </c>
      <c r="H297" t="s">
        <v>965</v>
      </c>
      <c r="I297">
        <v>77082</v>
      </c>
      <c r="J297" t="s">
        <v>1564</v>
      </c>
      <c r="K297">
        <v>1234926264</v>
      </c>
      <c r="L297">
        <v>17134926264</v>
      </c>
      <c r="M297">
        <v>31500</v>
      </c>
      <c r="N297">
        <v>31500</v>
      </c>
      <c r="O297">
        <v>31</v>
      </c>
      <c r="P297">
        <v>85</v>
      </c>
      <c r="Q297">
        <v>41</v>
      </c>
    </row>
    <row r="298" spans="1:17" x14ac:dyDescent="0.3">
      <c r="A298" t="s">
        <v>1565</v>
      </c>
      <c r="B298" t="s">
        <v>1566</v>
      </c>
      <c r="C298" t="s">
        <v>1706</v>
      </c>
      <c r="E298">
        <v>5046</v>
      </c>
      <c r="F298" t="s">
        <v>644</v>
      </c>
      <c r="G298" t="s">
        <v>968</v>
      </c>
      <c r="H298" t="s">
        <v>965</v>
      </c>
      <c r="I298">
        <v>77477</v>
      </c>
      <c r="J298" t="s">
        <v>969</v>
      </c>
      <c r="K298" t="s">
        <v>970</v>
      </c>
      <c r="M298">
        <v>15525</v>
      </c>
      <c r="N298">
        <v>25000</v>
      </c>
      <c r="O298">
        <v>23</v>
      </c>
      <c r="P298">
        <v>43</v>
      </c>
      <c r="Q298">
        <v>29</v>
      </c>
    </row>
    <row r="299" spans="1:17" x14ac:dyDescent="0.3">
      <c r="A299" t="s">
        <v>1567</v>
      </c>
      <c r="B299" t="s">
        <v>1568</v>
      </c>
      <c r="C299" t="s">
        <v>1706</v>
      </c>
      <c r="E299">
        <v>5046</v>
      </c>
      <c r="F299" t="s">
        <v>644</v>
      </c>
      <c r="G299" t="s">
        <v>968</v>
      </c>
      <c r="H299" t="s">
        <v>965</v>
      </c>
      <c r="I299">
        <v>77477</v>
      </c>
      <c r="J299" t="s">
        <v>969</v>
      </c>
      <c r="K299" t="s">
        <v>970</v>
      </c>
      <c r="M299">
        <v>6750</v>
      </c>
      <c r="N299">
        <v>18000</v>
      </c>
      <c r="O299">
        <v>21</v>
      </c>
      <c r="P299">
        <v>49</v>
      </c>
      <c r="Q299">
        <v>8</v>
      </c>
    </row>
    <row r="300" spans="1:17" x14ac:dyDescent="0.3">
      <c r="A300" t="s">
        <v>598</v>
      </c>
      <c r="B300" t="s">
        <v>1569</v>
      </c>
      <c r="C300" t="s">
        <v>1706</v>
      </c>
      <c r="E300">
        <v>5065</v>
      </c>
      <c r="F300" t="s">
        <v>976</v>
      </c>
      <c r="G300" t="s">
        <v>977</v>
      </c>
      <c r="H300" t="s">
        <v>965</v>
      </c>
      <c r="I300">
        <v>77095</v>
      </c>
      <c r="J300" t="s">
        <v>978</v>
      </c>
      <c r="K300">
        <v>8325679148</v>
      </c>
      <c r="M300">
        <v>16575</v>
      </c>
      <c r="N300">
        <v>16575</v>
      </c>
      <c r="O300">
        <v>29</v>
      </c>
      <c r="P300">
        <v>77</v>
      </c>
      <c r="Q300">
        <v>32</v>
      </c>
    </row>
    <row r="301" spans="1:17" x14ac:dyDescent="0.3">
      <c r="A301" t="s">
        <v>1570</v>
      </c>
      <c r="B301" t="s">
        <v>1571</v>
      </c>
      <c r="C301" t="s">
        <v>1706</v>
      </c>
      <c r="E301">
        <v>5149</v>
      </c>
      <c r="F301" t="s">
        <v>665</v>
      </c>
      <c r="G301" t="s">
        <v>1546</v>
      </c>
      <c r="H301" t="s">
        <v>965</v>
      </c>
      <c r="I301">
        <v>77057</v>
      </c>
      <c r="J301" t="s">
        <v>1547</v>
      </c>
      <c r="K301">
        <v>8328585866</v>
      </c>
      <c r="M301">
        <v>2000</v>
      </c>
      <c r="N301">
        <v>2000</v>
      </c>
      <c r="O301">
        <v>15</v>
      </c>
      <c r="P301">
        <v>43</v>
      </c>
      <c r="Q301">
        <v>20</v>
      </c>
    </row>
    <row r="302" spans="1:17" x14ac:dyDescent="0.3">
      <c r="A302" t="s">
        <v>1572</v>
      </c>
      <c r="B302" t="s">
        <v>1573</v>
      </c>
      <c r="C302" t="s">
        <v>1706</v>
      </c>
      <c r="E302">
        <v>5103</v>
      </c>
      <c r="F302" t="s">
        <v>1574</v>
      </c>
      <c r="G302" t="s">
        <v>1575</v>
      </c>
      <c r="H302" t="s">
        <v>965</v>
      </c>
      <c r="I302">
        <v>77459</v>
      </c>
      <c r="J302" t="s">
        <v>1576</v>
      </c>
      <c r="K302">
        <v>2813841667</v>
      </c>
      <c r="M302">
        <v>10200</v>
      </c>
      <c r="N302">
        <v>10200</v>
      </c>
      <c r="O302">
        <v>8</v>
      </c>
      <c r="P302">
        <v>30</v>
      </c>
      <c r="Q302">
        <v>6</v>
      </c>
    </row>
    <row r="303" spans="1:17" x14ac:dyDescent="0.3">
      <c r="A303" t="s">
        <v>1577</v>
      </c>
      <c r="B303" t="s">
        <v>1578</v>
      </c>
      <c r="C303" t="s">
        <v>1706</v>
      </c>
      <c r="E303">
        <v>5164</v>
      </c>
      <c r="F303" t="s">
        <v>1295</v>
      </c>
      <c r="G303" t="s">
        <v>1296</v>
      </c>
      <c r="H303" t="s">
        <v>965</v>
      </c>
      <c r="I303">
        <v>75094</v>
      </c>
      <c r="J303" t="s">
        <v>1297</v>
      </c>
      <c r="K303">
        <v>3478458311</v>
      </c>
      <c r="M303">
        <v>20000</v>
      </c>
      <c r="N303">
        <v>20000</v>
      </c>
      <c r="O303">
        <v>33</v>
      </c>
      <c r="P303">
        <v>84</v>
      </c>
      <c r="Q303">
        <v>43</v>
      </c>
    </row>
    <row r="304" spans="1:17" x14ac:dyDescent="0.3">
      <c r="A304" t="s">
        <v>1579</v>
      </c>
      <c r="B304" t="s">
        <v>1580</v>
      </c>
      <c r="C304" t="s">
        <v>1706</v>
      </c>
      <c r="E304">
        <v>5308</v>
      </c>
      <c r="F304" t="s">
        <v>701</v>
      </c>
      <c r="G304" t="s">
        <v>1581</v>
      </c>
      <c r="H304" t="s">
        <v>965</v>
      </c>
      <c r="I304">
        <v>77505</v>
      </c>
      <c r="J304" t="s">
        <v>1582</v>
      </c>
      <c r="K304">
        <v>2814875581</v>
      </c>
      <c r="L304">
        <v>7132461027</v>
      </c>
      <c r="M304">
        <v>2500</v>
      </c>
      <c r="N304">
        <v>2600</v>
      </c>
      <c r="O304">
        <v>9</v>
      </c>
      <c r="P304">
        <v>25</v>
      </c>
      <c r="Q304">
        <v>19</v>
      </c>
    </row>
    <row r="305" spans="1:17" x14ac:dyDescent="0.3">
      <c r="A305" t="s">
        <v>1583</v>
      </c>
      <c r="B305" t="s">
        <v>388</v>
      </c>
      <c r="C305" t="s">
        <v>1706</v>
      </c>
      <c r="E305">
        <v>5046</v>
      </c>
      <c r="F305" t="s">
        <v>644</v>
      </c>
      <c r="G305" t="s">
        <v>968</v>
      </c>
      <c r="H305" t="s">
        <v>965</v>
      </c>
      <c r="I305">
        <v>77477</v>
      </c>
      <c r="J305" t="s">
        <v>969</v>
      </c>
      <c r="K305" t="s">
        <v>970</v>
      </c>
      <c r="M305">
        <v>7700</v>
      </c>
      <c r="N305">
        <v>12000</v>
      </c>
      <c r="O305">
        <v>22</v>
      </c>
      <c r="P305">
        <v>32</v>
      </c>
      <c r="Q305">
        <v>13</v>
      </c>
    </row>
    <row r="306" spans="1:17" x14ac:dyDescent="0.3">
      <c r="A306">
        <v>351</v>
      </c>
      <c r="B306" t="s">
        <v>1104</v>
      </c>
      <c r="C306" t="s">
        <v>1706</v>
      </c>
      <c r="E306">
        <v>5155</v>
      </c>
      <c r="F306" t="s">
        <v>1197</v>
      </c>
      <c r="G306" t="s">
        <v>1198</v>
      </c>
      <c r="H306" t="s">
        <v>965</v>
      </c>
      <c r="I306" t="s">
        <v>1199</v>
      </c>
      <c r="J306" t="s">
        <v>1200</v>
      </c>
      <c r="K306">
        <v>7138573591</v>
      </c>
      <c r="L306">
        <v>7138573591</v>
      </c>
      <c r="M306">
        <v>850</v>
      </c>
      <c r="N306">
        <v>850</v>
      </c>
      <c r="O306">
        <v>2</v>
      </c>
      <c r="P306">
        <v>5</v>
      </c>
      <c r="Q306">
        <v>5</v>
      </c>
    </row>
    <row r="307" spans="1:17" x14ac:dyDescent="0.3">
      <c r="A307">
        <v>352</v>
      </c>
      <c r="B307" t="s">
        <v>1584</v>
      </c>
      <c r="C307" t="s">
        <v>1706</v>
      </c>
      <c r="E307">
        <v>5289</v>
      </c>
      <c r="F307" t="s">
        <v>1346</v>
      </c>
      <c r="G307" t="s">
        <v>1347</v>
      </c>
      <c r="H307" t="s">
        <v>965</v>
      </c>
      <c r="I307">
        <v>77575</v>
      </c>
      <c r="J307" t="s">
        <v>1348</v>
      </c>
      <c r="K307">
        <v>4099984301</v>
      </c>
      <c r="M307">
        <v>1400</v>
      </c>
      <c r="N307">
        <v>1400</v>
      </c>
      <c r="O307">
        <v>20</v>
      </c>
      <c r="P307">
        <v>87</v>
      </c>
      <c r="Q307">
        <v>12</v>
      </c>
    </row>
    <row r="308" spans="1:17" x14ac:dyDescent="0.3">
      <c r="A308" t="s">
        <v>1585</v>
      </c>
      <c r="B308" t="s">
        <v>1586</v>
      </c>
      <c r="C308" t="s">
        <v>1706</v>
      </c>
      <c r="F308" t="s">
        <v>649</v>
      </c>
      <c r="M308">
        <v>0</v>
      </c>
      <c r="N308">
        <v>0</v>
      </c>
      <c r="O308">
        <v>0</v>
      </c>
      <c r="P308">
        <v>14</v>
      </c>
      <c r="Q308">
        <v>0</v>
      </c>
    </row>
    <row r="309" spans="1:17" x14ac:dyDescent="0.3">
      <c r="A309">
        <v>353</v>
      </c>
      <c r="B309" t="s">
        <v>1587</v>
      </c>
      <c r="C309" t="s">
        <v>1706</v>
      </c>
      <c r="E309">
        <v>5076</v>
      </c>
      <c r="F309" t="s">
        <v>1024</v>
      </c>
      <c r="G309" t="s">
        <v>1025</v>
      </c>
      <c r="H309" t="s">
        <v>965</v>
      </c>
      <c r="I309">
        <v>77024</v>
      </c>
      <c r="J309" t="s">
        <v>1026</v>
      </c>
      <c r="K309">
        <v>3059263864</v>
      </c>
      <c r="M309">
        <v>2078</v>
      </c>
      <c r="N309">
        <v>2078</v>
      </c>
      <c r="O309">
        <v>17</v>
      </c>
      <c r="P309">
        <v>31</v>
      </c>
      <c r="Q309">
        <v>21</v>
      </c>
    </row>
    <row r="310" spans="1:17" x14ac:dyDescent="0.3">
      <c r="A310">
        <v>354</v>
      </c>
      <c r="B310" t="s">
        <v>1588</v>
      </c>
      <c r="C310" t="s">
        <v>1706</v>
      </c>
      <c r="E310">
        <v>5060</v>
      </c>
      <c r="F310" t="s">
        <v>702</v>
      </c>
      <c r="G310" t="s">
        <v>1132</v>
      </c>
      <c r="H310" t="s">
        <v>965</v>
      </c>
      <c r="I310">
        <v>77407</v>
      </c>
      <c r="J310" t="s">
        <v>1133</v>
      </c>
      <c r="K310">
        <v>8324644119</v>
      </c>
      <c r="M310">
        <v>2800</v>
      </c>
      <c r="N310">
        <v>2800</v>
      </c>
      <c r="O310">
        <v>40</v>
      </c>
      <c r="P310">
        <v>62</v>
      </c>
      <c r="Q310">
        <v>29</v>
      </c>
    </row>
    <row r="311" spans="1:17" x14ac:dyDescent="0.3">
      <c r="A311">
        <v>355</v>
      </c>
      <c r="B311" t="s">
        <v>1589</v>
      </c>
      <c r="C311" t="s">
        <v>1706</v>
      </c>
      <c r="E311">
        <v>5243</v>
      </c>
      <c r="F311" t="s">
        <v>1514</v>
      </c>
      <c r="G311" t="s">
        <v>1515</v>
      </c>
      <c r="H311" t="s">
        <v>965</v>
      </c>
      <c r="I311">
        <v>77306</v>
      </c>
      <c r="J311" t="s">
        <v>1516</v>
      </c>
      <c r="K311">
        <v>2817040191</v>
      </c>
      <c r="M311">
        <v>875</v>
      </c>
      <c r="N311">
        <v>875</v>
      </c>
      <c r="O311">
        <v>14</v>
      </c>
      <c r="P311">
        <v>42</v>
      </c>
      <c r="Q311">
        <v>8</v>
      </c>
    </row>
    <row r="312" spans="1:17" x14ac:dyDescent="0.3">
      <c r="A312">
        <v>356</v>
      </c>
      <c r="B312" t="s">
        <v>1437</v>
      </c>
      <c r="C312" t="s">
        <v>1706</v>
      </c>
      <c r="E312">
        <v>5076</v>
      </c>
      <c r="F312" t="s">
        <v>1024</v>
      </c>
      <c r="G312" t="s">
        <v>1025</v>
      </c>
      <c r="H312" t="s">
        <v>965</v>
      </c>
      <c r="I312">
        <v>77024</v>
      </c>
      <c r="J312" t="s">
        <v>1026</v>
      </c>
      <c r="K312">
        <v>3059263864</v>
      </c>
      <c r="M312">
        <v>2600</v>
      </c>
      <c r="N312">
        <v>2600</v>
      </c>
      <c r="O312">
        <v>27</v>
      </c>
      <c r="P312">
        <v>47</v>
      </c>
      <c r="Q312">
        <v>39</v>
      </c>
    </row>
    <row r="313" spans="1:17" x14ac:dyDescent="0.3">
      <c r="A313">
        <v>357</v>
      </c>
      <c r="B313" t="s">
        <v>1590</v>
      </c>
      <c r="C313" t="s">
        <v>1706</v>
      </c>
      <c r="E313">
        <v>5210</v>
      </c>
      <c r="F313" t="s">
        <v>1118</v>
      </c>
      <c r="G313" t="s">
        <v>1119</v>
      </c>
      <c r="H313" t="s">
        <v>965</v>
      </c>
      <c r="I313">
        <v>77469</v>
      </c>
      <c r="J313" t="s">
        <v>1120</v>
      </c>
      <c r="K313" t="s">
        <v>1121</v>
      </c>
      <c r="M313">
        <v>825</v>
      </c>
      <c r="N313">
        <v>825</v>
      </c>
      <c r="O313">
        <v>10</v>
      </c>
      <c r="P313">
        <v>33</v>
      </c>
      <c r="Q313">
        <v>8</v>
      </c>
    </row>
    <row r="314" spans="1:17" x14ac:dyDescent="0.3">
      <c r="A314" t="s">
        <v>1591</v>
      </c>
      <c r="B314" t="s">
        <v>1592</v>
      </c>
      <c r="C314" t="s">
        <v>1706</v>
      </c>
      <c r="E314">
        <v>5141</v>
      </c>
      <c r="F314" t="s">
        <v>658</v>
      </c>
      <c r="G314" t="s">
        <v>964</v>
      </c>
      <c r="H314" t="s">
        <v>965</v>
      </c>
      <c r="I314">
        <v>77705</v>
      </c>
      <c r="J314" t="s">
        <v>966</v>
      </c>
      <c r="K314">
        <v>8322973609</v>
      </c>
      <c r="M314">
        <v>21000</v>
      </c>
      <c r="N314">
        <v>21000</v>
      </c>
      <c r="O314">
        <v>18</v>
      </c>
      <c r="P314">
        <v>106</v>
      </c>
      <c r="Q314">
        <v>29</v>
      </c>
    </row>
    <row r="315" spans="1:17" x14ac:dyDescent="0.3">
      <c r="A315">
        <v>358</v>
      </c>
      <c r="B315" t="s">
        <v>1593</v>
      </c>
      <c r="C315" t="s">
        <v>1706</v>
      </c>
      <c r="E315">
        <v>5060</v>
      </c>
      <c r="F315" t="s">
        <v>702</v>
      </c>
      <c r="G315" t="s">
        <v>1132</v>
      </c>
      <c r="H315" t="s">
        <v>965</v>
      </c>
      <c r="I315">
        <v>77407</v>
      </c>
      <c r="J315" t="s">
        <v>1133</v>
      </c>
      <c r="K315">
        <v>8324644119</v>
      </c>
      <c r="M315">
        <v>4100</v>
      </c>
      <c r="N315">
        <v>4100</v>
      </c>
      <c r="O315">
        <v>38</v>
      </c>
      <c r="P315">
        <v>80</v>
      </c>
      <c r="Q315">
        <v>34</v>
      </c>
    </row>
    <row r="316" spans="1:17" x14ac:dyDescent="0.3">
      <c r="A316">
        <v>359</v>
      </c>
      <c r="B316" t="s">
        <v>1594</v>
      </c>
      <c r="C316" t="s">
        <v>1706</v>
      </c>
      <c r="F316" t="s">
        <v>649</v>
      </c>
      <c r="M316">
        <v>0</v>
      </c>
      <c r="N316">
        <v>0</v>
      </c>
      <c r="O316">
        <v>0</v>
      </c>
      <c r="P316">
        <v>10</v>
      </c>
      <c r="Q316">
        <v>2</v>
      </c>
    </row>
    <row r="317" spans="1:17" x14ac:dyDescent="0.3">
      <c r="A317">
        <v>360</v>
      </c>
      <c r="B317" t="s">
        <v>1595</v>
      </c>
      <c r="C317" t="s">
        <v>1706</v>
      </c>
      <c r="E317">
        <v>5085</v>
      </c>
      <c r="F317" t="s">
        <v>1244</v>
      </c>
      <c r="G317" t="s">
        <v>1245</v>
      </c>
      <c r="H317" t="s">
        <v>965</v>
      </c>
      <c r="I317">
        <v>77511</v>
      </c>
      <c r="J317" t="s">
        <v>1246</v>
      </c>
      <c r="K317" t="s">
        <v>1247</v>
      </c>
      <c r="M317">
        <v>1700</v>
      </c>
      <c r="N317">
        <v>1900</v>
      </c>
      <c r="O317">
        <v>16</v>
      </c>
      <c r="P317">
        <v>12</v>
      </c>
      <c r="Q317">
        <v>20</v>
      </c>
    </row>
    <row r="318" spans="1:17" x14ac:dyDescent="0.3">
      <c r="A318" t="s">
        <v>612</v>
      </c>
      <c r="B318" t="s">
        <v>1596</v>
      </c>
      <c r="C318" t="s">
        <v>1706</v>
      </c>
      <c r="E318">
        <v>5068</v>
      </c>
      <c r="F318" t="s">
        <v>1055</v>
      </c>
      <c r="G318" t="s">
        <v>1056</v>
      </c>
      <c r="H318" t="s">
        <v>965</v>
      </c>
      <c r="I318">
        <v>77007</v>
      </c>
      <c r="J318" t="s">
        <v>1057</v>
      </c>
      <c r="K318">
        <v>2816914766</v>
      </c>
      <c r="M318">
        <v>4500</v>
      </c>
      <c r="N318">
        <v>4500</v>
      </c>
      <c r="O318">
        <v>35</v>
      </c>
      <c r="P318">
        <v>80</v>
      </c>
      <c r="Q318">
        <v>42</v>
      </c>
    </row>
    <row r="319" spans="1:17" x14ac:dyDescent="0.3">
      <c r="A319" t="s">
        <v>1597</v>
      </c>
      <c r="B319" t="s">
        <v>1598</v>
      </c>
      <c r="C319" t="s">
        <v>1706</v>
      </c>
      <c r="E319">
        <v>5069</v>
      </c>
      <c r="F319" t="s">
        <v>1391</v>
      </c>
      <c r="G319" t="s">
        <v>1392</v>
      </c>
      <c r="H319" t="s">
        <v>965</v>
      </c>
      <c r="I319">
        <v>77581</v>
      </c>
      <c r="J319" t="s">
        <v>1393</v>
      </c>
      <c r="K319">
        <v>8326215422</v>
      </c>
      <c r="M319">
        <v>1400</v>
      </c>
      <c r="N319">
        <v>1400</v>
      </c>
      <c r="O319">
        <v>15</v>
      </c>
      <c r="P319">
        <v>22</v>
      </c>
      <c r="Q319">
        <v>6</v>
      </c>
    </row>
    <row r="320" spans="1:17" x14ac:dyDescent="0.3">
      <c r="A320" t="s">
        <v>1599</v>
      </c>
      <c r="B320" t="s">
        <v>384</v>
      </c>
      <c r="C320" t="s">
        <v>1706</v>
      </c>
      <c r="E320">
        <v>5046</v>
      </c>
      <c r="F320" t="s">
        <v>644</v>
      </c>
      <c r="G320" t="s">
        <v>968</v>
      </c>
      <c r="H320" t="s">
        <v>965</v>
      </c>
      <c r="I320">
        <v>77477</v>
      </c>
      <c r="J320" t="s">
        <v>969</v>
      </c>
      <c r="K320" t="s">
        <v>970</v>
      </c>
      <c r="M320">
        <v>10500</v>
      </c>
      <c r="N320">
        <v>42000</v>
      </c>
      <c r="O320">
        <v>21</v>
      </c>
      <c r="P320">
        <v>14</v>
      </c>
      <c r="Q320">
        <v>15</v>
      </c>
    </row>
    <row r="321" spans="1:17" x14ac:dyDescent="0.3">
      <c r="A321" t="s">
        <v>1600</v>
      </c>
      <c r="B321" t="s">
        <v>390</v>
      </c>
      <c r="C321" t="s">
        <v>1706</v>
      </c>
      <c r="E321">
        <v>5046</v>
      </c>
      <c r="F321" t="s">
        <v>644</v>
      </c>
      <c r="G321" t="s">
        <v>968</v>
      </c>
      <c r="H321" t="s">
        <v>965</v>
      </c>
      <c r="I321">
        <v>77477</v>
      </c>
      <c r="J321" t="s">
        <v>969</v>
      </c>
      <c r="K321" t="s">
        <v>970</v>
      </c>
      <c r="M321">
        <v>7750</v>
      </c>
      <c r="N321">
        <v>9500</v>
      </c>
      <c r="O321">
        <v>19</v>
      </c>
      <c r="P321">
        <v>17</v>
      </c>
      <c r="Q321">
        <v>9</v>
      </c>
    </row>
    <row r="322" spans="1:17" x14ac:dyDescent="0.3">
      <c r="A322">
        <v>376</v>
      </c>
      <c r="B322" t="s">
        <v>1601</v>
      </c>
      <c r="C322" t="s">
        <v>1706</v>
      </c>
      <c r="E322">
        <v>5217</v>
      </c>
      <c r="F322" t="s">
        <v>1000</v>
      </c>
      <c r="G322" t="s">
        <v>1001</v>
      </c>
      <c r="H322" t="s">
        <v>965</v>
      </c>
      <c r="I322">
        <v>77598</v>
      </c>
      <c r="J322" t="s">
        <v>1002</v>
      </c>
      <c r="K322" t="s">
        <v>1003</v>
      </c>
      <c r="M322">
        <v>1300</v>
      </c>
      <c r="N322">
        <v>1500</v>
      </c>
      <c r="O322">
        <v>7</v>
      </c>
      <c r="P322">
        <v>29</v>
      </c>
      <c r="Q322">
        <v>12</v>
      </c>
    </row>
    <row r="323" spans="1:17" x14ac:dyDescent="0.3">
      <c r="A323">
        <v>377</v>
      </c>
      <c r="B323" t="s">
        <v>1602</v>
      </c>
      <c r="C323" t="s">
        <v>1706</v>
      </c>
      <c r="E323">
        <v>5307</v>
      </c>
      <c r="F323" t="s">
        <v>1368</v>
      </c>
      <c r="G323" t="s">
        <v>1369</v>
      </c>
      <c r="H323" t="s">
        <v>965</v>
      </c>
      <c r="I323">
        <v>77009</v>
      </c>
      <c r="J323" t="s">
        <v>1370</v>
      </c>
      <c r="K323">
        <v>7134260854</v>
      </c>
      <c r="M323">
        <v>1550</v>
      </c>
      <c r="N323">
        <v>1600</v>
      </c>
      <c r="O323">
        <v>12</v>
      </c>
      <c r="P323">
        <v>36</v>
      </c>
      <c r="Q323">
        <v>39</v>
      </c>
    </row>
    <row r="324" spans="1:17" x14ac:dyDescent="0.3">
      <c r="A324" t="s">
        <v>1603</v>
      </c>
      <c r="B324" t="s">
        <v>1604</v>
      </c>
      <c r="C324" t="s">
        <v>1706</v>
      </c>
      <c r="E324">
        <v>5264</v>
      </c>
      <c r="F324" t="s">
        <v>1178</v>
      </c>
      <c r="G324" t="s">
        <v>1179</v>
      </c>
      <c r="H324" t="s">
        <v>965</v>
      </c>
      <c r="I324">
        <v>77433</v>
      </c>
      <c r="J324" t="s">
        <v>1180</v>
      </c>
      <c r="K324" t="s">
        <v>1181</v>
      </c>
      <c r="M324">
        <v>19500</v>
      </c>
      <c r="N324">
        <v>19500</v>
      </c>
      <c r="O324">
        <v>21</v>
      </c>
      <c r="P324">
        <v>58</v>
      </c>
      <c r="Q324">
        <v>39</v>
      </c>
    </row>
    <row r="325" spans="1:17" x14ac:dyDescent="0.3">
      <c r="A325">
        <v>378</v>
      </c>
      <c r="B325" t="s">
        <v>1605</v>
      </c>
      <c r="C325" t="s">
        <v>1706</v>
      </c>
      <c r="E325">
        <v>5307</v>
      </c>
      <c r="F325" t="s">
        <v>1368</v>
      </c>
      <c r="G325" t="s">
        <v>1369</v>
      </c>
      <c r="H325" t="s">
        <v>965</v>
      </c>
      <c r="I325">
        <v>77009</v>
      </c>
      <c r="J325" t="s">
        <v>1370</v>
      </c>
      <c r="K325">
        <v>7134260854</v>
      </c>
      <c r="M325">
        <v>1050</v>
      </c>
      <c r="N325">
        <v>1050</v>
      </c>
      <c r="O325">
        <v>20</v>
      </c>
      <c r="P325">
        <v>28</v>
      </c>
      <c r="Q325">
        <v>12</v>
      </c>
    </row>
    <row r="326" spans="1:17" x14ac:dyDescent="0.3">
      <c r="A326">
        <v>379</v>
      </c>
      <c r="B326" t="s">
        <v>1606</v>
      </c>
      <c r="C326" t="s">
        <v>1706</v>
      </c>
      <c r="E326">
        <v>5127</v>
      </c>
      <c r="F326" t="s">
        <v>1607</v>
      </c>
      <c r="G326" t="s">
        <v>1608</v>
      </c>
      <c r="H326" t="s">
        <v>965</v>
      </c>
      <c r="I326">
        <v>77584</v>
      </c>
      <c r="J326" t="s">
        <v>1609</v>
      </c>
      <c r="K326">
        <v>4079627807</v>
      </c>
      <c r="M326">
        <v>500</v>
      </c>
      <c r="N326">
        <v>500</v>
      </c>
      <c r="O326">
        <v>1</v>
      </c>
      <c r="P326">
        <v>17</v>
      </c>
      <c r="Q326">
        <v>6</v>
      </c>
    </row>
    <row r="327" spans="1:17" x14ac:dyDescent="0.3">
      <c r="A327" t="s">
        <v>1610</v>
      </c>
      <c r="B327" t="s">
        <v>1611</v>
      </c>
      <c r="C327" t="s">
        <v>1706</v>
      </c>
      <c r="E327">
        <v>5276</v>
      </c>
      <c r="F327" t="s">
        <v>1220</v>
      </c>
      <c r="G327" t="s">
        <v>1221</v>
      </c>
      <c r="H327" t="s">
        <v>965</v>
      </c>
      <c r="I327">
        <v>77562</v>
      </c>
      <c r="J327" t="s">
        <v>1222</v>
      </c>
      <c r="K327">
        <v>7132944851</v>
      </c>
      <c r="M327">
        <v>13000</v>
      </c>
      <c r="N327">
        <v>13000</v>
      </c>
      <c r="O327">
        <v>12</v>
      </c>
      <c r="P327">
        <v>65</v>
      </c>
      <c r="Q327">
        <v>21</v>
      </c>
    </row>
    <row r="328" spans="1:17" x14ac:dyDescent="0.3">
      <c r="A328" t="s">
        <v>1612</v>
      </c>
      <c r="B328" t="s">
        <v>1613</v>
      </c>
      <c r="C328" t="s">
        <v>1706</v>
      </c>
      <c r="E328">
        <v>5141</v>
      </c>
      <c r="F328" t="s">
        <v>658</v>
      </c>
      <c r="G328" t="s">
        <v>964</v>
      </c>
      <c r="H328" t="s">
        <v>965</v>
      </c>
      <c r="I328">
        <v>77705</v>
      </c>
      <c r="J328" t="s">
        <v>966</v>
      </c>
      <c r="K328">
        <v>8322973609</v>
      </c>
      <c r="M328">
        <v>650</v>
      </c>
      <c r="N328">
        <v>650</v>
      </c>
      <c r="O328">
        <v>7</v>
      </c>
      <c r="P328">
        <v>66</v>
      </c>
      <c r="Q328">
        <v>17</v>
      </c>
    </row>
    <row r="329" spans="1:17" x14ac:dyDescent="0.3">
      <c r="A329" t="s">
        <v>1614</v>
      </c>
      <c r="B329" t="s">
        <v>1615</v>
      </c>
      <c r="C329" t="s">
        <v>1706</v>
      </c>
      <c r="E329">
        <v>5277</v>
      </c>
      <c r="F329" t="s">
        <v>1616</v>
      </c>
      <c r="G329" t="s">
        <v>1617</v>
      </c>
      <c r="H329" t="s">
        <v>965</v>
      </c>
      <c r="I329">
        <v>77511</v>
      </c>
      <c r="J329" t="s">
        <v>1618</v>
      </c>
      <c r="K329">
        <v>4096321180</v>
      </c>
      <c r="M329">
        <v>20000</v>
      </c>
      <c r="N329">
        <v>20000</v>
      </c>
      <c r="O329">
        <v>36</v>
      </c>
      <c r="P329">
        <v>135</v>
      </c>
      <c r="Q329">
        <v>37</v>
      </c>
    </row>
    <row r="330" spans="1:17" x14ac:dyDescent="0.3">
      <c r="A330" t="s">
        <v>1619</v>
      </c>
      <c r="B330" t="s">
        <v>1620</v>
      </c>
      <c r="C330" t="s">
        <v>1706</v>
      </c>
      <c r="E330">
        <v>5219</v>
      </c>
      <c r="F330" t="s">
        <v>1028</v>
      </c>
      <c r="G330" t="s">
        <v>1029</v>
      </c>
      <c r="H330" t="s">
        <v>965</v>
      </c>
      <c r="I330">
        <v>77092</v>
      </c>
      <c r="J330" t="s">
        <v>1030</v>
      </c>
      <c r="K330">
        <v>7138189124</v>
      </c>
      <c r="M330">
        <v>30500</v>
      </c>
      <c r="N330">
        <v>30500</v>
      </c>
      <c r="O330">
        <v>41</v>
      </c>
      <c r="P330">
        <v>138</v>
      </c>
      <c r="Q330">
        <v>50</v>
      </c>
    </row>
    <row r="331" spans="1:17" x14ac:dyDescent="0.3">
      <c r="A331" t="s">
        <v>1621</v>
      </c>
      <c r="B331" t="s">
        <v>1622</v>
      </c>
      <c r="C331" t="s">
        <v>1706</v>
      </c>
      <c r="E331">
        <v>5133</v>
      </c>
      <c r="F331" t="s">
        <v>1227</v>
      </c>
      <c r="G331" t="s">
        <v>1228</v>
      </c>
      <c r="H331" t="s">
        <v>965</v>
      </c>
      <c r="I331">
        <v>77459</v>
      </c>
      <c r="J331" t="s">
        <v>1229</v>
      </c>
      <c r="K331">
        <v>2812029040</v>
      </c>
      <c r="M331">
        <v>59650</v>
      </c>
      <c r="N331">
        <v>60250</v>
      </c>
      <c r="O331">
        <v>27</v>
      </c>
      <c r="P331">
        <v>127</v>
      </c>
      <c r="Q331">
        <v>37</v>
      </c>
    </row>
    <row r="332" spans="1:17" x14ac:dyDescent="0.3">
      <c r="A332" t="s">
        <v>1623</v>
      </c>
      <c r="B332" t="s">
        <v>1624</v>
      </c>
      <c r="C332" t="s">
        <v>1706</v>
      </c>
      <c r="E332">
        <v>5046</v>
      </c>
      <c r="F332" t="s">
        <v>644</v>
      </c>
      <c r="G332" t="s">
        <v>968</v>
      </c>
      <c r="H332" t="s">
        <v>965</v>
      </c>
      <c r="I332">
        <v>77477</v>
      </c>
      <c r="J332" t="s">
        <v>969</v>
      </c>
      <c r="K332" t="s">
        <v>970</v>
      </c>
      <c r="M332">
        <v>5750</v>
      </c>
      <c r="N332">
        <v>16000</v>
      </c>
      <c r="O332">
        <v>12</v>
      </c>
      <c r="P332">
        <v>91</v>
      </c>
      <c r="Q332">
        <v>29</v>
      </c>
    </row>
    <row r="333" spans="1:17" x14ac:dyDescent="0.3">
      <c r="A333" t="s">
        <v>1625</v>
      </c>
      <c r="B333" t="s">
        <v>1626</v>
      </c>
      <c r="C333" t="s">
        <v>1706</v>
      </c>
      <c r="E333">
        <v>5046</v>
      </c>
      <c r="F333" t="s">
        <v>644</v>
      </c>
      <c r="G333" t="s">
        <v>968</v>
      </c>
      <c r="H333" t="s">
        <v>965</v>
      </c>
      <c r="I333">
        <v>77477</v>
      </c>
      <c r="J333" t="s">
        <v>969</v>
      </c>
      <c r="K333" t="s">
        <v>970</v>
      </c>
      <c r="M333">
        <v>9250</v>
      </c>
      <c r="N333">
        <v>10000</v>
      </c>
      <c r="O333">
        <v>31</v>
      </c>
      <c r="P333">
        <v>38</v>
      </c>
      <c r="Q333">
        <v>21</v>
      </c>
    </row>
    <row r="334" spans="1:17" x14ac:dyDescent="0.3">
      <c r="A334" t="s">
        <v>1627</v>
      </c>
      <c r="B334" t="s">
        <v>1628</v>
      </c>
      <c r="C334" t="s">
        <v>1706</v>
      </c>
      <c r="E334">
        <v>5046</v>
      </c>
      <c r="F334" t="s">
        <v>644</v>
      </c>
      <c r="G334" t="s">
        <v>968</v>
      </c>
      <c r="H334" t="s">
        <v>965</v>
      </c>
      <c r="I334">
        <v>77477</v>
      </c>
      <c r="J334" t="s">
        <v>969</v>
      </c>
      <c r="K334" t="s">
        <v>970</v>
      </c>
      <c r="M334">
        <v>3100</v>
      </c>
      <c r="N334">
        <v>4500</v>
      </c>
      <c r="O334">
        <v>30</v>
      </c>
      <c r="P334">
        <v>59</v>
      </c>
      <c r="Q334">
        <v>16</v>
      </c>
    </row>
    <row r="335" spans="1:17" x14ac:dyDescent="0.3">
      <c r="A335" t="s">
        <v>1629</v>
      </c>
      <c r="B335" t="s">
        <v>749</v>
      </c>
      <c r="C335" t="s">
        <v>1706</v>
      </c>
      <c r="E335">
        <v>5046</v>
      </c>
      <c r="F335" t="s">
        <v>644</v>
      </c>
      <c r="G335" t="s">
        <v>968</v>
      </c>
      <c r="H335" t="s">
        <v>965</v>
      </c>
      <c r="I335">
        <v>77477</v>
      </c>
      <c r="J335" t="s">
        <v>969</v>
      </c>
      <c r="K335" t="s">
        <v>970</v>
      </c>
      <c r="M335">
        <v>3100</v>
      </c>
      <c r="N335">
        <v>5000</v>
      </c>
      <c r="O335">
        <v>26</v>
      </c>
      <c r="P335">
        <v>99</v>
      </c>
      <c r="Q335">
        <v>18</v>
      </c>
    </row>
    <row r="336" spans="1:17" x14ac:dyDescent="0.3">
      <c r="A336" t="s">
        <v>1630</v>
      </c>
      <c r="B336" t="s">
        <v>1631</v>
      </c>
      <c r="C336" t="s">
        <v>1706</v>
      </c>
      <c r="E336">
        <v>5046</v>
      </c>
      <c r="F336" t="s">
        <v>644</v>
      </c>
      <c r="G336" t="s">
        <v>968</v>
      </c>
      <c r="H336" t="s">
        <v>965</v>
      </c>
      <c r="I336">
        <v>77477</v>
      </c>
      <c r="J336" t="s">
        <v>969</v>
      </c>
      <c r="K336" t="s">
        <v>970</v>
      </c>
      <c r="M336">
        <v>4300</v>
      </c>
      <c r="N336">
        <v>4500</v>
      </c>
      <c r="O336">
        <v>30</v>
      </c>
      <c r="P336">
        <v>86</v>
      </c>
      <c r="Q336">
        <v>38</v>
      </c>
    </row>
    <row r="337" spans="1:17" x14ac:dyDescent="0.3">
      <c r="A337" t="s">
        <v>1632</v>
      </c>
      <c r="B337" t="s">
        <v>1633</v>
      </c>
      <c r="C337" t="s">
        <v>1706</v>
      </c>
      <c r="E337">
        <v>5095</v>
      </c>
      <c r="F337" t="s">
        <v>1634</v>
      </c>
      <c r="G337" t="s">
        <v>1635</v>
      </c>
      <c r="H337" t="s">
        <v>965</v>
      </c>
      <c r="I337">
        <v>77489</v>
      </c>
      <c r="J337" t="s">
        <v>1636</v>
      </c>
      <c r="K337">
        <v>2817822623</v>
      </c>
      <c r="M337">
        <v>7000</v>
      </c>
      <c r="N337">
        <v>7000</v>
      </c>
      <c r="O337">
        <v>26</v>
      </c>
      <c r="P337">
        <v>74</v>
      </c>
      <c r="Q337">
        <v>34</v>
      </c>
    </row>
    <row r="338" spans="1:17" x14ac:dyDescent="0.3">
      <c r="A338" t="s">
        <v>1637</v>
      </c>
      <c r="B338" t="s">
        <v>1638</v>
      </c>
      <c r="C338" t="s">
        <v>1706</v>
      </c>
      <c r="E338">
        <v>5046</v>
      </c>
      <c r="F338" t="s">
        <v>644</v>
      </c>
      <c r="G338" t="s">
        <v>968</v>
      </c>
      <c r="H338" t="s">
        <v>965</v>
      </c>
      <c r="I338">
        <v>77477</v>
      </c>
      <c r="J338" t="s">
        <v>969</v>
      </c>
      <c r="K338" t="s">
        <v>970</v>
      </c>
      <c r="M338">
        <v>11100</v>
      </c>
      <c r="N338">
        <v>11500</v>
      </c>
      <c r="O338">
        <v>12</v>
      </c>
      <c r="P338">
        <v>60</v>
      </c>
      <c r="Q338">
        <v>28</v>
      </c>
    </row>
    <row r="339" spans="1:17" x14ac:dyDescent="0.3">
      <c r="A339" t="s">
        <v>1639</v>
      </c>
      <c r="B339" t="s">
        <v>1638</v>
      </c>
      <c r="C339" t="s">
        <v>1706</v>
      </c>
      <c r="E339">
        <v>5046</v>
      </c>
      <c r="F339" t="s">
        <v>644</v>
      </c>
      <c r="G339" t="s">
        <v>968</v>
      </c>
      <c r="H339" t="s">
        <v>965</v>
      </c>
      <c r="I339">
        <v>77477</v>
      </c>
      <c r="J339" t="s">
        <v>969</v>
      </c>
      <c r="K339" t="s">
        <v>970</v>
      </c>
      <c r="M339">
        <v>11500</v>
      </c>
      <c r="N339">
        <v>11500</v>
      </c>
      <c r="O339">
        <v>10</v>
      </c>
      <c r="P339">
        <v>53</v>
      </c>
      <c r="Q339">
        <v>23</v>
      </c>
    </row>
    <row r="340" spans="1:17" x14ac:dyDescent="0.3">
      <c r="A340" t="s">
        <v>1640</v>
      </c>
      <c r="B340" t="s">
        <v>1641</v>
      </c>
      <c r="C340" t="s">
        <v>1706</v>
      </c>
      <c r="E340">
        <v>5164</v>
      </c>
      <c r="F340" t="s">
        <v>1295</v>
      </c>
      <c r="G340" t="s">
        <v>1296</v>
      </c>
      <c r="H340" t="s">
        <v>965</v>
      </c>
      <c r="I340">
        <v>75094</v>
      </c>
      <c r="J340" t="s">
        <v>1297</v>
      </c>
      <c r="K340">
        <v>3478458311</v>
      </c>
      <c r="M340">
        <v>30000</v>
      </c>
      <c r="N340">
        <v>30000</v>
      </c>
      <c r="O340">
        <v>15</v>
      </c>
      <c r="P340">
        <v>30</v>
      </c>
      <c r="Q340">
        <v>14</v>
      </c>
    </row>
    <row r="341" spans="1:17" x14ac:dyDescent="0.3">
      <c r="A341" t="s">
        <v>1642</v>
      </c>
      <c r="B341" t="s">
        <v>1641</v>
      </c>
      <c r="C341" t="s">
        <v>1706</v>
      </c>
      <c r="E341">
        <v>5164</v>
      </c>
      <c r="F341" t="s">
        <v>1295</v>
      </c>
      <c r="G341" t="s">
        <v>1296</v>
      </c>
      <c r="H341" t="s">
        <v>965</v>
      </c>
      <c r="I341">
        <v>75094</v>
      </c>
      <c r="J341" t="s">
        <v>1297</v>
      </c>
      <c r="K341">
        <v>3478458311</v>
      </c>
      <c r="M341">
        <v>22200</v>
      </c>
      <c r="N341">
        <v>22200</v>
      </c>
      <c r="O341">
        <v>16</v>
      </c>
      <c r="P341">
        <v>24</v>
      </c>
      <c r="Q341">
        <v>13</v>
      </c>
    </row>
    <row r="342" spans="1:17" x14ac:dyDescent="0.3">
      <c r="A342" t="s">
        <v>1643</v>
      </c>
      <c r="B342" t="s">
        <v>1644</v>
      </c>
      <c r="C342" t="s">
        <v>1706</v>
      </c>
      <c r="E342">
        <v>5087</v>
      </c>
      <c r="F342" t="s">
        <v>1645</v>
      </c>
      <c r="G342" t="s">
        <v>1646</v>
      </c>
      <c r="H342" t="s">
        <v>965</v>
      </c>
      <c r="I342">
        <v>77471</v>
      </c>
      <c r="J342" t="s">
        <v>1647</v>
      </c>
      <c r="K342" t="s">
        <v>1648</v>
      </c>
      <c r="M342">
        <v>11025</v>
      </c>
      <c r="N342">
        <v>11025</v>
      </c>
      <c r="O342">
        <v>12</v>
      </c>
      <c r="P342">
        <v>41</v>
      </c>
      <c r="Q342">
        <v>26</v>
      </c>
    </row>
    <row r="343" spans="1:17" x14ac:dyDescent="0.3">
      <c r="A343" t="s">
        <v>1649</v>
      </c>
      <c r="B343" t="s">
        <v>1650</v>
      </c>
      <c r="C343" t="s">
        <v>1706</v>
      </c>
      <c r="F343" t="s">
        <v>649</v>
      </c>
      <c r="M343">
        <v>0</v>
      </c>
      <c r="N343">
        <v>0</v>
      </c>
      <c r="O343">
        <v>0</v>
      </c>
      <c r="P343">
        <v>31</v>
      </c>
      <c r="Q343">
        <v>2</v>
      </c>
    </row>
    <row r="344" spans="1:17" x14ac:dyDescent="0.3">
      <c r="A344" t="s">
        <v>1651</v>
      </c>
      <c r="B344" t="s">
        <v>1652</v>
      </c>
      <c r="C344" t="s">
        <v>1706</v>
      </c>
      <c r="E344">
        <v>5046</v>
      </c>
      <c r="F344" t="s">
        <v>644</v>
      </c>
      <c r="G344" t="s">
        <v>968</v>
      </c>
      <c r="H344" t="s">
        <v>965</v>
      </c>
      <c r="I344">
        <v>77477</v>
      </c>
      <c r="J344" t="s">
        <v>969</v>
      </c>
      <c r="K344" t="s">
        <v>970</v>
      </c>
      <c r="M344">
        <v>7250</v>
      </c>
      <c r="N344">
        <v>16000</v>
      </c>
      <c r="O344">
        <v>21</v>
      </c>
      <c r="P344">
        <v>50</v>
      </c>
      <c r="Q344">
        <v>14</v>
      </c>
    </row>
    <row r="345" spans="1:17" x14ac:dyDescent="0.3">
      <c r="A345" t="s">
        <v>1653</v>
      </c>
      <c r="B345" t="s">
        <v>1654</v>
      </c>
      <c r="C345" t="s">
        <v>1706</v>
      </c>
      <c r="E345">
        <v>5186</v>
      </c>
      <c r="F345" t="s">
        <v>1136</v>
      </c>
      <c r="G345" t="s">
        <v>1137</v>
      </c>
      <c r="H345" t="s">
        <v>965</v>
      </c>
      <c r="I345">
        <v>77478</v>
      </c>
      <c r="J345" t="s">
        <v>1138</v>
      </c>
      <c r="K345">
        <v>7654097448</v>
      </c>
      <c r="M345">
        <v>25000</v>
      </c>
      <c r="N345">
        <v>25000</v>
      </c>
      <c r="O345">
        <v>6</v>
      </c>
      <c r="P345">
        <v>62</v>
      </c>
      <c r="Q345">
        <v>26</v>
      </c>
    </row>
    <row r="346" spans="1:17" x14ac:dyDescent="0.3">
      <c r="A346" t="s">
        <v>1655</v>
      </c>
      <c r="B346" t="s">
        <v>1656</v>
      </c>
      <c r="C346" t="s">
        <v>1706</v>
      </c>
      <c r="E346">
        <v>5046</v>
      </c>
      <c r="F346" t="s">
        <v>644</v>
      </c>
      <c r="G346" t="s">
        <v>968</v>
      </c>
      <c r="H346" t="s">
        <v>965</v>
      </c>
      <c r="I346">
        <v>77477</v>
      </c>
      <c r="J346" t="s">
        <v>969</v>
      </c>
      <c r="K346" t="s">
        <v>970</v>
      </c>
      <c r="M346">
        <v>40500</v>
      </c>
      <c r="N346">
        <v>50000</v>
      </c>
      <c r="O346">
        <v>12</v>
      </c>
      <c r="P346">
        <v>109</v>
      </c>
      <c r="Q346">
        <v>41</v>
      </c>
    </row>
    <row r="347" spans="1:17" x14ac:dyDescent="0.3">
      <c r="A347" t="s">
        <v>1657</v>
      </c>
      <c r="B347" t="s">
        <v>1658</v>
      </c>
      <c r="C347" t="s">
        <v>1706</v>
      </c>
      <c r="E347">
        <v>5046</v>
      </c>
      <c r="F347" t="s">
        <v>644</v>
      </c>
      <c r="G347" t="s">
        <v>968</v>
      </c>
      <c r="H347" t="s">
        <v>965</v>
      </c>
      <c r="I347">
        <v>77477</v>
      </c>
      <c r="J347" t="s">
        <v>969</v>
      </c>
      <c r="K347" t="s">
        <v>970</v>
      </c>
      <c r="M347">
        <v>7750</v>
      </c>
      <c r="N347">
        <v>16000</v>
      </c>
      <c r="O347">
        <v>6</v>
      </c>
      <c r="P347">
        <v>96</v>
      </c>
      <c r="Q347">
        <v>21</v>
      </c>
    </row>
    <row r="348" spans="1:17" x14ac:dyDescent="0.3">
      <c r="A348" t="s">
        <v>1659</v>
      </c>
      <c r="B348" t="s">
        <v>1660</v>
      </c>
      <c r="C348" t="s">
        <v>1706</v>
      </c>
      <c r="E348">
        <v>5276</v>
      </c>
      <c r="F348" t="s">
        <v>1220</v>
      </c>
      <c r="G348" t="s">
        <v>1221</v>
      </c>
      <c r="H348" t="s">
        <v>965</v>
      </c>
      <c r="I348">
        <v>77562</v>
      </c>
      <c r="J348" t="s">
        <v>1222</v>
      </c>
      <c r="K348">
        <v>7132944851</v>
      </c>
      <c r="M348">
        <v>51000</v>
      </c>
      <c r="N348">
        <v>51000</v>
      </c>
      <c r="O348">
        <v>40</v>
      </c>
      <c r="P348">
        <v>64</v>
      </c>
      <c r="Q348">
        <v>34</v>
      </c>
    </row>
    <row r="349" spans="1:17" x14ac:dyDescent="0.3">
      <c r="A349" t="s">
        <v>1661</v>
      </c>
      <c r="B349" t="s">
        <v>1662</v>
      </c>
      <c r="C349" t="s">
        <v>1706</v>
      </c>
      <c r="E349">
        <v>5068</v>
      </c>
      <c r="F349" t="s">
        <v>1055</v>
      </c>
      <c r="G349" t="s">
        <v>1056</v>
      </c>
      <c r="H349" t="s">
        <v>965</v>
      </c>
      <c r="I349">
        <v>77007</v>
      </c>
      <c r="J349" t="s">
        <v>1057</v>
      </c>
      <c r="K349">
        <v>2816914766</v>
      </c>
      <c r="M349">
        <v>10000</v>
      </c>
      <c r="N349">
        <v>10000</v>
      </c>
      <c r="O349">
        <v>18</v>
      </c>
      <c r="P349">
        <v>48</v>
      </c>
      <c r="Q349">
        <v>33</v>
      </c>
    </row>
    <row r="350" spans="1:17" x14ac:dyDescent="0.3">
      <c r="A350" t="s">
        <v>1663</v>
      </c>
      <c r="B350" t="s">
        <v>1664</v>
      </c>
      <c r="C350" t="s">
        <v>1706</v>
      </c>
      <c r="E350">
        <v>5077</v>
      </c>
      <c r="F350" t="s">
        <v>1665</v>
      </c>
      <c r="G350" t="s">
        <v>1666</v>
      </c>
      <c r="H350" t="s">
        <v>965</v>
      </c>
      <c r="I350">
        <v>77581</v>
      </c>
      <c r="J350" t="s">
        <v>1667</v>
      </c>
      <c r="K350">
        <v>2816850439</v>
      </c>
      <c r="M350">
        <v>10000</v>
      </c>
      <c r="N350">
        <v>10000</v>
      </c>
      <c r="O350">
        <v>7</v>
      </c>
      <c r="P350">
        <v>47</v>
      </c>
      <c r="Q350">
        <v>6</v>
      </c>
    </row>
    <row r="351" spans="1:17" x14ac:dyDescent="0.3">
      <c r="A351" t="s">
        <v>1668</v>
      </c>
      <c r="B351" t="s">
        <v>1669</v>
      </c>
      <c r="C351" t="s">
        <v>1706</v>
      </c>
      <c r="E351">
        <v>5046</v>
      </c>
      <c r="F351" t="s">
        <v>644</v>
      </c>
      <c r="G351" t="s">
        <v>968</v>
      </c>
      <c r="H351" t="s">
        <v>965</v>
      </c>
      <c r="I351">
        <v>77477</v>
      </c>
      <c r="J351" t="s">
        <v>969</v>
      </c>
      <c r="K351" t="s">
        <v>970</v>
      </c>
      <c r="M351">
        <v>2600</v>
      </c>
      <c r="N351">
        <v>5500</v>
      </c>
      <c r="O351">
        <v>11</v>
      </c>
      <c r="P351">
        <v>41</v>
      </c>
      <c r="Q351">
        <v>13</v>
      </c>
    </row>
    <row r="352" spans="1:17" x14ac:dyDescent="0.3">
      <c r="A352" t="s">
        <v>1670</v>
      </c>
      <c r="B352" t="s">
        <v>1671</v>
      </c>
      <c r="C352" t="s">
        <v>1706</v>
      </c>
      <c r="E352">
        <v>5322</v>
      </c>
      <c r="F352" t="s">
        <v>1672</v>
      </c>
      <c r="G352" t="s">
        <v>1673</v>
      </c>
      <c r="H352" t="s">
        <v>965</v>
      </c>
      <c r="I352">
        <v>77515</v>
      </c>
      <c r="J352" t="s">
        <v>1674</v>
      </c>
      <c r="K352">
        <v>9796127045</v>
      </c>
      <c r="M352">
        <v>40000</v>
      </c>
      <c r="N352">
        <v>40000</v>
      </c>
      <c r="O352">
        <v>32</v>
      </c>
      <c r="P352">
        <v>133</v>
      </c>
      <c r="Q352">
        <v>44</v>
      </c>
    </row>
    <row r="353" spans="1:17" x14ac:dyDescent="0.3">
      <c r="A353" t="s">
        <v>1675</v>
      </c>
      <c r="B353" t="s">
        <v>1676</v>
      </c>
      <c r="C353" t="s">
        <v>1706</v>
      </c>
      <c r="E353">
        <v>5109</v>
      </c>
      <c r="F353" t="s">
        <v>642</v>
      </c>
      <c r="G353" t="s">
        <v>1677</v>
      </c>
      <c r="H353" t="s">
        <v>965</v>
      </c>
      <c r="I353">
        <v>77469</v>
      </c>
      <c r="J353" t="s">
        <v>1678</v>
      </c>
      <c r="K353">
        <v>7135454257</v>
      </c>
      <c r="M353">
        <v>5000</v>
      </c>
      <c r="N353">
        <v>5000</v>
      </c>
      <c r="O353">
        <v>19</v>
      </c>
      <c r="P353">
        <v>53</v>
      </c>
      <c r="Q353">
        <v>21</v>
      </c>
    </row>
    <row r="354" spans="1:17" x14ac:dyDescent="0.3">
      <c r="A354" t="s">
        <v>1679</v>
      </c>
      <c r="B354" t="s">
        <v>1680</v>
      </c>
      <c r="C354" t="s">
        <v>1706</v>
      </c>
      <c r="E354">
        <v>5154</v>
      </c>
      <c r="F354" t="s">
        <v>1045</v>
      </c>
      <c r="G354" t="s">
        <v>1046</v>
      </c>
      <c r="H354" t="s">
        <v>965</v>
      </c>
      <c r="I354">
        <v>77478</v>
      </c>
      <c r="J354" t="s">
        <v>1047</v>
      </c>
      <c r="K354">
        <v>7132023905</v>
      </c>
      <c r="M354">
        <v>525</v>
      </c>
      <c r="N354">
        <v>525</v>
      </c>
      <c r="O354">
        <v>2</v>
      </c>
      <c r="P354">
        <v>45</v>
      </c>
      <c r="Q354">
        <v>9</v>
      </c>
    </row>
    <row r="355" spans="1:17" x14ac:dyDescent="0.3">
      <c r="A355" t="s">
        <v>1681</v>
      </c>
      <c r="B355" t="s">
        <v>1682</v>
      </c>
      <c r="C355" t="s">
        <v>1706</v>
      </c>
      <c r="E355">
        <v>5154</v>
      </c>
      <c r="F355" t="s">
        <v>1045</v>
      </c>
      <c r="G355" t="s">
        <v>1046</v>
      </c>
      <c r="H355" t="s">
        <v>965</v>
      </c>
      <c r="I355">
        <v>77478</v>
      </c>
      <c r="J355" t="s">
        <v>1047</v>
      </c>
      <c r="K355">
        <v>7132023905</v>
      </c>
      <c r="M355">
        <v>525</v>
      </c>
      <c r="N355">
        <v>575</v>
      </c>
      <c r="O355">
        <v>2</v>
      </c>
      <c r="P355">
        <v>25</v>
      </c>
      <c r="Q355">
        <v>6</v>
      </c>
    </row>
    <row r="356" spans="1:17" x14ac:dyDescent="0.3">
      <c r="A356" t="s">
        <v>1683</v>
      </c>
      <c r="B356" t="s">
        <v>1684</v>
      </c>
      <c r="C356" t="s">
        <v>1706</v>
      </c>
      <c r="E356">
        <v>5060</v>
      </c>
      <c r="F356" t="s">
        <v>702</v>
      </c>
      <c r="G356" t="s">
        <v>1132</v>
      </c>
      <c r="H356" t="s">
        <v>965</v>
      </c>
      <c r="I356">
        <v>77407</v>
      </c>
      <c r="J356" t="s">
        <v>1133</v>
      </c>
      <c r="K356">
        <v>8324644119</v>
      </c>
      <c r="M356">
        <v>4200</v>
      </c>
      <c r="N356">
        <v>4200</v>
      </c>
      <c r="O356">
        <v>46</v>
      </c>
      <c r="P356">
        <v>216</v>
      </c>
      <c r="Q356">
        <v>37</v>
      </c>
    </row>
    <row r="357" spans="1:17" x14ac:dyDescent="0.3">
      <c r="A357" t="s">
        <v>1685</v>
      </c>
      <c r="B357" t="s">
        <v>1686</v>
      </c>
      <c r="C357" t="s">
        <v>1706</v>
      </c>
      <c r="E357">
        <v>5141</v>
      </c>
      <c r="F357" t="s">
        <v>658</v>
      </c>
      <c r="G357" t="s">
        <v>964</v>
      </c>
      <c r="H357" t="s">
        <v>965</v>
      </c>
      <c r="I357">
        <v>77705</v>
      </c>
      <c r="J357" t="s">
        <v>966</v>
      </c>
      <c r="K357">
        <v>8322973609</v>
      </c>
      <c r="M357">
        <v>16500</v>
      </c>
      <c r="N357">
        <v>16500</v>
      </c>
      <c r="O357">
        <v>25</v>
      </c>
      <c r="P357">
        <v>140</v>
      </c>
      <c r="Q357">
        <v>44</v>
      </c>
    </row>
    <row r="358" spans="1:17" x14ac:dyDescent="0.3">
      <c r="A358" t="s">
        <v>1687</v>
      </c>
      <c r="B358" t="s">
        <v>1688</v>
      </c>
      <c r="C358" t="s">
        <v>1706</v>
      </c>
      <c r="E358">
        <v>5030</v>
      </c>
      <c r="F358" t="s">
        <v>1689</v>
      </c>
      <c r="G358" t="s">
        <v>1690</v>
      </c>
      <c r="H358" t="s">
        <v>965</v>
      </c>
      <c r="I358">
        <v>77461</v>
      </c>
      <c r="J358" t="s">
        <v>1691</v>
      </c>
      <c r="K358">
        <v>2816785637</v>
      </c>
      <c r="M358">
        <v>31000</v>
      </c>
      <c r="N358">
        <v>31000</v>
      </c>
      <c r="O358">
        <v>39</v>
      </c>
      <c r="P358">
        <v>103</v>
      </c>
      <c r="Q358">
        <v>43</v>
      </c>
    </row>
    <row r="359" spans="1:17" x14ac:dyDescent="0.3">
      <c r="A359" t="s">
        <v>1692</v>
      </c>
      <c r="B359" t="s">
        <v>1693</v>
      </c>
      <c r="C359" t="s">
        <v>1706</v>
      </c>
      <c r="E359">
        <v>5046</v>
      </c>
      <c r="F359" t="s">
        <v>644</v>
      </c>
      <c r="G359" t="s">
        <v>968</v>
      </c>
      <c r="H359" t="s">
        <v>965</v>
      </c>
      <c r="I359">
        <v>77477</v>
      </c>
      <c r="J359" t="s">
        <v>969</v>
      </c>
      <c r="K359" t="s">
        <v>970</v>
      </c>
      <c r="M359">
        <v>24500</v>
      </c>
      <c r="N359">
        <v>28000</v>
      </c>
      <c r="O359">
        <v>19</v>
      </c>
      <c r="P359">
        <v>149</v>
      </c>
      <c r="Q359">
        <v>65</v>
      </c>
    </row>
    <row r="360" spans="1:17" x14ac:dyDescent="0.3">
      <c r="A360" t="s">
        <v>1694</v>
      </c>
      <c r="B360" t="s">
        <v>1695</v>
      </c>
      <c r="C360" t="s">
        <v>1706</v>
      </c>
      <c r="E360">
        <v>5068</v>
      </c>
      <c r="F360" t="s">
        <v>1055</v>
      </c>
      <c r="G360" t="s">
        <v>1056</v>
      </c>
      <c r="H360" t="s">
        <v>965</v>
      </c>
      <c r="I360">
        <v>77007</v>
      </c>
      <c r="J360" t="s">
        <v>1057</v>
      </c>
      <c r="K360">
        <v>2816914766</v>
      </c>
      <c r="M360">
        <v>58500</v>
      </c>
      <c r="N360">
        <v>58500</v>
      </c>
      <c r="O360">
        <v>29</v>
      </c>
      <c r="P360">
        <v>131</v>
      </c>
      <c r="Q360">
        <v>44</v>
      </c>
    </row>
    <row r="361" spans="1:17" x14ac:dyDescent="0.3">
      <c r="A361" t="s">
        <v>1696</v>
      </c>
      <c r="B361" t="s">
        <v>1697</v>
      </c>
      <c r="C361" t="s">
        <v>1706</v>
      </c>
      <c r="E361">
        <v>5267</v>
      </c>
      <c r="F361" t="s">
        <v>1446</v>
      </c>
      <c r="G361" t="s">
        <v>1447</v>
      </c>
      <c r="H361" t="s">
        <v>965</v>
      </c>
      <c r="I361">
        <v>77035</v>
      </c>
      <c r="J361" t="s">
        <v>1448</v>
      </c>
      <c r="K361">
        <v>8328304325</v>
      </c>
      <c r="M361">
        <v>20000</v>
      </c>
      <c r="N361">
        <v>20000</v>
      </c>
      <c r="O361">
        <v>13</v>
      </c>
      <c r="P361">
        <v>99</v>
      </c>
      <c r="Q361">
        <v>49</v>
      </c>
    </row>
    <row r="362" spans="1:17" x14ac:dyDescent="0.3">
      <c r="A362" t="s">
        <v>1698</v>
      </c>
      <c r="B362" t="s">
        <v>1699</v>
      </c>
      <c r="C362" t="s">
        <v>1706</v>
      </c>
      <c r="E362">
        <v>5259</v>
      </c>
      <c r="F362" t="s">
        <v>1700</v>
      </c>
      <c r="G362" t="s">
        <v>1701</v>
      </c>
      <c r="H362" t="s">
        <v>965</v>
      </c>
      <c r="I362">
        <v>77515</v>
      </c>
      <c r="J362" t="s">
        <v>1702</v>
      </c>
      <c r="K362" t="s">
        <v>1703</v>
      </c>
      <c r="M362">
        <v>24500</v>
      </c>
      <c r="N362">
        <v>24500</v>
      </c>
      <c r="O362">
        <v>21</v>
      </c>
      <c r="P362">
        <v>136</v>
      </c>
      <c r="Q362">
        <v>60</v>
      </c>
    </row>
    <row r="363" spans="1:17" x14ac:dyDescent="0.3">
      <c r="A363" t="s">
        <v>1704</v>
      </c>
      <c r="B363" t="s">
        <v>1705</v>
      </c>
      <c r="C363" t="s">
        <v>1706</v>
      </c>
      <c r="E363">
        <v>5088</v>
      </c>
      <c r="F363" t="s">
        <v>1050</v>
      </c>
      <c r="G363" t="s">
        <v>1051</v>
      </c>
      <c r="H363" t="s">
        <v>965</v>
      </c>
      <c r="I363">
        <v>77009</v>
      </c>
      <c r="J363" t="s">
        <v>1052</v>
      </c>
      <c r="K363" t="s">
        <v>1053</v>
      </c>
      <c r="M363">
        <v>9250</v>
      </c>
      <c r="N363">
        <v>9250</v>
      </c>
      <c r="O363">
        <v>26</v>
      </c>
      <c r="P363">
        <v>164</v>
      </c>
      <c r="Q363">
        <v>57</v>
      </c>
    </row>
    <row r="364" spans="1:17" x14ac:dyDescent="0.3">
      <c r="A364">
        <v>2</v>
      </c>
      <c r="B364" t="s">
        <v>1711</v>
      </c>
      <c r="C364" t="s">
        <v>1707</v>
      </c>
      <c r="E364">
        <v>5256</v>
      </c>
      <c r="F364" t="s">
        <v>1220</v>
      </c>
      <c r="G364" t="s">
        <v>1221</v>
      </c>
      <c r="H364" t="s">
        <v>965</v>
      </c>
      <c r="I364">
        <v>77562</v>
      </c>
      <c r="J364" t="s">
        <v>1222</v>
      </c>
      <c r="K364">
        <v>7132944851</v>
      </c>
      <c r="M364">
        <v>4400</v>
      </c>
      <c r="N364">
        <v>4400</v>
      </c>
      <c r="O364">
        <v>24</v>
      </c>
      <c r="P364">
        <v>157</v>
      </c>
      <c r="Q364">
        <v>37</v>
      </c>
    </row>
    <row r="365" spans="1:17" x14ac:dyDescent="0.3">
      <c r="A365">
        <v>3</v>
      </c>
      <c r="B365" t="s">
        <v>1712</v>
      </c>
      <c r="C365" t="s">
        <v>1707</v>
      </c>
      <c r="E365">
        <v>5217</v>
      </c>
      <c r="F365" t="s">
        <v>1713</v>
      </c>
      <c r="G365" t="s">
        <v>1714</v>
      </c>
      <c r="H365" t="s">
        <v>965</v>
      </c>
      <c r="I365">
        <v>77365</v>
      </c>
      <c r="J365" t="s">
        <v>1715</v>
      </c>
      <c r="K365">
        <v>2812350865</v>
      </c>
      <c r="M365">
        <v>3900</v>
      </c>
      <c r="N365">
        <v>3900</v>
      </c>
      <c r="O365">
        <v>18</v>
      </c>
      <c r="P365">
        <v>137</v>
      </c>
      <c r="Q365">
        <v>22</v>
      </c>
    </row>
    <row r="366" spans="1:17" x14ac:dyDescent="0.3">
      <c r="A366">
        <v>4</v>
      </c>
      <c r="B366" t="s">
        <v>735</v>
      </c>
      <c r="C366" t="s">
        <v>1707</v>
      </c>
      <c r="E366">
        <v>5229</v>
      </c>
      <c r="F366" t="s">
        <v>1716</v>
      </c>
      <c r="G366" t="s">
        <v>1717</v>
      </c>
      <c r="H366" t="s">
        <v>965</v>
      </c>
      <c r="I366">
        <v>77536</v>
      </c>
      <c r="J366" t="s">
        <v>1718</v>
      </c>
      <c r="K366" t="s">
        <v>1719</v>
      </c>
      <c r="M366">
        <v>675</v>
      </c>
      <c r="N366">
        <v>675</v>
      </c>
      <c r="O366">
        <v>7</v>
      </c>
      <c r="P366">
        <v>48</v>
      </c>
      <c r="Q366">
        <v>7</v>
      </c>
    </row>
    <row r="367" spans="1:17" x14ac:dyDescent="0.3">
      <c r="A367" t="s">
        <v>900</v>
      </c>
      <c r="B367" t="s">
        <v>1720</v>
      </c>
      <c r="C367" t="s">
        <v>1707</v>
      </c>
      <c r="E367">
        <v>5174</v>
      </c>
      <c r="F367" t="s">
        <v>644</v>
      </c>
      <c r="G367" t="s">
        <v>968</v>
      </c>
      <c r="H367" t="s">
        <v>965</v>
      </c>
      <c r="I367">
        <v>77477</v>
      </c>
      <c r="J367" t="s">
        <v>969</v>
      </c>
      <c r="K367" t="s">
        <v>970</v>
      </c>
      <c r="M367">
        <v>9250</v>
      </c>
      <c r="N367">
        <v>25000</v>
      </c>
      <c r="O367">
        <v>36</v>
      </c>
      <c r="P367">
        <v>69</v>
      </c>
      <c r="Q367">
        <v>18</v>
      </c>
    </row>
    <row r="368" spans="1:17" x14ac:dyDescent="0.3">
      <c r="A368">
        <v>5</v>
      </c>
      <c r="B368" t="s">
        <v>1721</v>
      </c>
      <c r="C368" t="s">
        <v>1707</v>
      </c>
      <c r="E368">
        <v>5174</v>
      </c>
      <c r="F368" t="s">
        <v>644</v>
      </c>
      <c r="G368" t="s">
        <v>968</v>
      </c>
      <c r="H368" t="s">
        <v>965</v>
      </c>
      <c r="I368">
        <v>77477</v>
      </c>
      <c r="J368" t="s">
        <v>969</v>
      </c>
      <c r="K368" t="s">
        <v>970</v>
      </c>
      <c r="M368">
        <v>1630</v>
      </c>
      <c r="N368">
        <v>2080</v>
      </c>
      <c r="O368">
        <v>10</v>
      </c>
      <c r="P368">
        <v>44</v>
      </c>
      <c r="Q368">
        <v>14</v>
      </c>
    </row>
    <row r="369" spans="1:17" x14ac:dyDescent="0.3">
      <c r="A369">
        <v>6</v>
      </c>
      <c r="B369" t="s">
        <v>1722</v>
      </c>
      <c r="C369" t="s">
        <v>1707</v>
      </c>
      <c r="E369">
        <v>5174</v>
      </c>
      <c r="F369" t="s">
        <v>644</v>
      </c>
      <c r="G369" t="s">
        <v>968</v>
      </c>
      <c r="H369" t="s">
        <v>965</v>
      </c>
      <c r="I369">
        <v>77477</v>
      </c>
      <c r="J369" t="s">
        <v>969</v>
      </c>
      <c r="K369" t="s">
        <v>970</v>
      </c>
      <c r="M369">
        <v>1100</v>
      </c>
      <c r="N369">
        <v>1500</v>
      </c>
      <c r="O369">
        <v>14</v>
      </c>
      <c r="P369">
        <v>85</v>
      </c>
      <c r="Q369">
        <v>27</v>
      </c>
    </row>
    <row r="370" spans="1:17" x14ac:dyDescent="0.3">
      <c r="A370" t="s">
        <v>449</v>
      </c>
      <c r="B370" t="s">
        <v>1723</v>
      </c>
      <c r="C370" t="s">
        <v>1707</v>
      </c>
      <c r="E370">
        <v>5174</v>
      </c>
      <c r="F370" t="s">
        <v>644</v>
      </c>
      <c r="G370" t="s">
        <v>968</v>
      </c>
      <c r="H370" t="s">
        <v>965</v>
      </c>
      <c r="I370">
        <v>77477</v>
      </c>
      <c r="J370" t="s">
        <v>969</v>
      </c>
      <c r="K370" t="s">
        <v>970</v>
      </c>
      <c r="M370">
        <v>3200</v>
      </c>
      <c r="N370">
        <v>5000</v>
      </c>
      <c r="O370">
        <v>18</v>
      </c>
      <c r="P370">
        <v>167</v>
      </c>
      <c r="Q370">
        <v>17</v>
      </c>
    </row>
    <row r="371" spans="1:17" x14ac:dyDescent="0.3">
      <c r="A371">
        <v>7</v>
      </c>
      <c r="B371" t="s">
        <v>1724</v>
      </c>
      <c r="C371" t="s">
        <v>1707</v>
      </c>
      <c r="E371">
        <v>5229</v>
      </c>
      <c r="F371" t="s">
        <v>1716</v>
      </c>
      <c r="G371" t="s">
        <v>1717</v>
      </c>
      <c r="H371" t="s">
        <v>965</v>
      </c>
      <c r="I371">
        <v>77536</v>
      </c>
      <c r="J371" t="s">
        <v>1718</v>
      </c>
      <c r="K371" t="s">
        <v>1719</v>
      </c>
      <c r="M371">
        <v>1050</v>
      </c>
      <c r="N371">
        <v>1050</v>
      </c>
      <c r="O371">
        <v>13</v>
      </c>
      <c r="P371">
        <v>32</v>
      </c>
      <c r="Q371">
        <v>20</v>
      </c>
    </row>
    <row r="372" spans="1:17" x14ac:dyDescent="0.3">
      <c r="A372" t="s">
        <v>271</v>
      </c>
      <c r="B372" t="s">
        <v>272</v>
      </c>
      <c r="C372" t="s">
        <v>1707</v>
      </c>
      <c r="E372">
        <v>5174</v>
      </c>
      <c r="F372" t="s">
        <v>644</v>
      </c>
      <c r="G372" t="s">
        <v>968</v>
      </c>
      <c r="H372" t="s">
        <v>965</v>
      </c>
      <c r="I372">
        <v>77477</v>
      </c>
      <c r="J372" t="s">
        <v>969</v>
      </c>
      <c r="K372" t="s">
        <v>970</v>
      </c>
      <c r="M372">
        <v>3100</v>
      </c>
      <c r="N372">
        <v>25000</v>
      </c>
      <c r="O372">
        <v>22</v>
      </c>
      <c r="P372">
        <v>147</v>
      </c>
      <c r="Q372">
        <v>19</v>
      </c>
    </row>
    <row r="373" spans="1:17" x14ac:dyDescent="0.3">
      <c r="A373">
        <v>8</v>
      </c>
      <c r="B373" t="s">
        <v>1725</v>
      </c>
      <c r="C373" t="s">
        <v>1707</v>
      </c>
      <c r="E373">
        <v>5175</v>
      </c>
      <c r="F373" t="s">
        <v>1726</v>
      </c>
      <c r="G373" t="s">
        <v>1727</v>
      </c>
      <c r="H373" t="s">
        <v>965</v>
      </c>
      <c r="I373">
        <v>77471</v>
      </c>
      <c r="J373" t="s">
        <v>1728</v>
      </c>
      <c r="K373" t="s">
        <v>1729</v>
      </c>
      <c r="M373">
        <v>5450</v>
      </c>
      <c r="N373">
        <v>5450</v>
      </c>
      <c r="O373">
        <v>38</v>
      </c>
      <c r="P373">
        <v>128</v>
      </c>
      <c r="Q373">
        <v>34</v>
      </c>
    </row>
    <row r="374" spans="1:17" x14ac:dyDescent="0.3">
      <c r="A374">
        <v>9</v>
      </c>
      <c r="B374" t="s">
        <v>1730</v>
      </c>
      <c r="C374" t="s">
        <v>1707</v>
      </c>
      <c r="E374">
        <v>5065</v>
      </c>
      <c r="F374" t="s">
        <v>1731</v>
      </c>
      <c r="G374" t="s">
        <v>1732</v>
      </c>
      <c r="H374" t="s">
        <v>965</v>
      </c>
      <c r="I374">
        <v>77029</v>
      </c>
      <c r="J374" t="s">
        <v>1733</v>
      </c>
      <c r="K374">
        <v>8328058111</v>
      </c>
      <c r="M374">
        <v>4500</v>
      </c>
      <c r="N374">
        <v>4500</v>
      </c>
      <c r="O374">
        <v>11</v>
      </c>
      <c r="P374">
        <v>111</v>
      </c>
      <c r="Q374">
        <v>21</v>
      </c>
    </row>
    <row r="375" spans="1:17" x14ac:dyDescent="0.3">
      <c r="A375" t="s">
        <v>275</v>
      </c>
      <c r="B375" t="s">
        <v>1734</v>
      </c>
      <c r="C375" t="s">
        <v>1707</v>
      </c>
      <c r="E375">
        <v>5165</v>
      </c>
      <c r="F375" t="s">
        <v>1735</v>
      </c>
      <c r="G375" t="s">
        <v>1736</v>
      </c>
      <c r="H375" t="s">
        <v>965</v>
      </c>
      <c r="I375">
        <v>77488</v>
      </c>
      <c r="J375" t="s">
        <v>1737</v>
      </c>
      <c r="K375">
        <v>2817265839</v>
      </c>
      <c r="L375">
        <v>2817265839</v>
      </c>
      <c r="M375">
        <v>1000</v>
      </c>
      <c r="N375">
        <v>1000</v>
      </c>
      <c r="O375">
        <v>4</v>
      </c>
      <c r="P375">
        <v>31</v>
      </c>
      <c r="Q375">
        <v>12</v>
      </c>
    </row>
    <row r="376" spans="1:17" x14ac:dyDescent="0.3">
      <c r="A376">
        <v>10</v>
      </c>
      <c r="B376" t="s">
        <v>1434</v>
      </c>
      <c r="C376" t="s">
        <v>1707</v>
      </c>
      <c r="E376">
        <v>5089</v>
      </c>
      <c r="F376" t="s">
        <v>1738</v>
      </c>
      <c r="G376" t="s">
        <v>1739</v>
      </c>
      <c r="H376" t="s">
        <v>965</v>
      </c>
      <c r="I376">
        <v>77583</v>
      </c>
      <c r="J376" t="s">
        <v>1740</v>
      </c>
      <c r="K376">
        <v>2253355942</v>
      </c>
      <c r="M376">
        <v>3300</v>
      </c>
      <c r="N376">
        <v>3300</v>
      </c>
      <c r="O376">
        <v>26</v>
      </c>
      <c r="P376">
        <v>79</v>
      </c>
      <c r="Q376">
        <v>13</v>
      </c>
    </row>
    <row r="377" spans="1:17" x14ac:dyDescent="0.3">
      <c r="A377">
        <v>11</v>
      </c>
      <c r="B377" t="s">
        <v>1741</v>
      </c>
      <c r="C377" t="s">
        <v>1707</v>
      </c>
      <c r="E377">
        <v>5032</v>
      </c>
      <c r="F377" t="s">
        <v>1742</v>
      </c>
      <c r="G377" t="s">
        <v>1743</v>
      </c>
      <c r="H377" t="s">
        <v>965</v>
      </c>
      <c r="I377">
        <v>77536</v>
      </c>
      <c r="J377" t="s">
        <v>1744</v>
      </c>
      <c r="K377">
        <v>8325232186</v>
      </c>
      <c r="M377">
        <v>3000</v>
      </c>
      <c r="N377">
        <v>3000</v>
      </c>
      <c r="O377">
        <v>15</v>
      </c>
      <c r="P377">
        <v>95</v>
      </c>
      <c r="Q377">
        <v>27</v>
      </c>
    </row>
    <row r="378" spans="1:17" x14ac:dyDescent="0.3">
      <c r="A378" t="s">
        <v>451</v>
      </c>
      <c r="B378" t="s">
        <v>278</v>
      </c>
      <c r="C378" t="s">
        <v>1707</v>
      </c>
      <c r="E378">
        <v>5174</v>
      </c>
      <c r="F378" t="s">
        <v>644</v>
      </c>
      <c r="G378" t="s">
        <v>968</v>
      </c>
      <c r="H378" t="s">
        <v>965</v>
      </c>
      <c r="I378">
        <v>77477</v>
      </c>
      <c r="J378" t="s">
        <v>969</v>
      </c>
      <c r="K378" t="s">
        <v>970</v>
      </c>
      <c r="M378">
        <v>2600</v>
      </c>
      <c r="N378">
        <v>16000</v>
      </c>
      <c r="O378">
        <v>7</v>
      </c>
      <c r="P378">
        <v>64</v>
      </c>
      <c r="Q378">
        <v>6</v>
      </c>
    </row>
    <row r="379" spans="1:17" x14ac:dyDescent="0.3">
      <c r="A379">
        <v>12</v>
      </c>
      <c r="B379" t="s">
        <v>1745</v>
      </c>
      <c r="C379" t="s">
        <v>1707</v>
      </c>
      <c r="E379">
        <v>5174</v>
      </c>
      <c r="F379" t="s">
        <v>644</v>
      </c>
      <c r="G379" t="s">
        <v>968</v>
      </c>
      <c r="H379" t="s">
        <v>965</v>
      </c>
      <c r="I379">
        <v>77477</v>
      </c>
      <c r="J379" t="s">
        <v>969</v>
      </c>
      <c r="K379" t="s">
        <v>970</v>
      </c>
      <c r="M379">
        <v>1500</v>
      </c>
      <c r="N379">
        <v>13000</v>
      </c>
      <c r="O379">
        <v>5</v>
      </c>
      <c r="P379">
        <v>115</v>
      </c>
      <c r="Q379">
        <v>25</v>
      </c>
    </row>
    <row r="380" spans="1:17" x14ac:dyDescent="0.3">
      <c r="A380">
        <v>13</v>
      </c>
      <c r="B380" t="s">
        <v>736</v>
      </c>
      <c r="C380" t="s">
        <v>1707</v>
      </c>
      <c r="E380">
        <v>5254</v>
      </c>
      <c r="F380" t="s">
        <v>1746</v>
      </c>
      <c r="G380" t="s">
        <v>1747</v>
      </c>
      <c r="H380" t="s">
        <v>965</v>
      </c>
      <c r="I380">
        <v>77007</v>
      </c>
      <c r="J380" t="s">
        <v>1748</v>
      </c>
      <c r="K380">
        <v>8325675773</v>
      </c>
      <c r="M380">
        <v>825</v>
      </c>
      <c r="N380">
        <v>825</v>
      </c>
      <c r="O380">
        <v>10</v>
      </c>
      <c r="P380">
        <v>34</v>
      </c>
      <c r="Q380">
        <v>8</v>
      </c>
    </row>
    <row r="381" spans="1:17" x14ac:dyDescent="0.3">
      <c r="A381">
        <v>14</v>
      </c>
      <c r="B381" t="s">
        <v>1749</v>
      </c>
      <c r="C381" t="s">
        <v>1707</v>
      </c>
      <c r="E381">
        <v>5039</v>
      </c>
      <c r="F381" t="s">
        <v>1574</v>
      </c>
      <c r="G381" t="s">
        <v>1575</v>
      </c>
      <c r="H381" t="s">
        <v>965</v>
      </c>
      <c r="I381">
        <v>77459</v>
      </c>
      <c r="J381" t="s">
        <v>1576</v>
      </c>
      <c r="K381">
        <v>2813841667</v>
      </c>
      <c r="M381">
        <v>700</v>
      </c>
      <c r="N381">
        <v>700</v>
      </c>
      <c r="O381">
        <v>3</v>
      </c>
      <c r="P381">
        <v>60</v>
      </c>
      <c r="Q381">
        <v>20</v>
      </c>
    </row>
    <row r="382" spans="1:17" x14ac:dyDescent="0.3">
      <c r="A382">
        <v>15</v>
      </c>
      <c r="B382" t="s">
        <v>1750</v>
      </c>
      <c r="C382" t="s">
        <v>1707</v>
      </c>
      <c r="E382">
        <v>5255</v>
      </c>
      <c r="F382" t="s">
        <v>1514</v>
      </c>
      <c r="G382" t="s">
        <v>1515</v>
      </c>
      <c r="H382" t="s">
        <v>965</v>
      </c>
      <c r="I382">
        <v>77306</v>
      </c>
      <c r="J382" t="s">
        <v>1516</v>
      </c>
      <c r="K382">
        <v>2817040191</v>
      </c>
      <c r="M382">
        <v>525</v>
      </c>
      <c r="N382">
        <v>525</v>
      </c>
      <c r="O382">
        <v>2</v>
      </c>
      <c r="P382">
        <v>50</v>
      </c>
      <c r="Q382">
        <v>8</v>
      </c>
    </row>
    <row r="383" spans="1:17" x14ac:dyDescent="0.3">
      <c r="A383" t="s">
        <v>286</v>
      </c>
      <c r="B383" t="s">
        <v>1751</v>
      </c>
      <c r="C383" t="s">
        <v>1707</v>
      </c>
      <c r="E383">
        <v>5175</v>
      </c>
      <c r="F383" t="s">
        <v>1726</v>
      </c>
      <c r="G383" t="s">
        <v>1727</v>
      </c>
      <c r="H383" t="s">
        <v>965</v>
      </c>
      <c r="I383">
        <v>77471</v>
      </c>
      <c r="J383" t="s">
        <v>1728</v>
      </c>
      <c r="K383" t="s">
        <v>1729</v>
      </c>
      <c r="M383">
        <v>7950</v>
      </c>
      <c r="N383">
        <v>7950</v>
      </c>
      <c r="O383">
        <v>35</v>
      </c>
      <c r="P383">
        <v>129</v>
      </c>
      <c r="Q383">
        <v>67</v>
      </c>
    </row>
    <row r="384" spans="1:17" x14ac:dyDescent="0.3">
      <c r="A384">
        <v>16</v>
      </c>
      <c r="B384" t="s">
        <v>735</v>
      </c>
      <c r="C384" t="s">
        <v>1707</v>
      </c>
      <c r="E384">
        <v>5234</v>
      </c>
      <c r="F384" t="s">
        <v>1752</v>
      </c>
      <c r="G384" t="s">
        <v>1753</v>
      </c>
      <c r="H384" t="s">
        <v>965</v>
      </c>
      <c r="I384">
        <v>77379</v>
      </c>
      <c r="J384" t="s">
        <v>1754</v>
      </c>
      <c r="K384">
        <v>8324544140</v>
      </c>
      <c r="M384">
        <v>1000</v>
      </c>
      <c r="N384">
        <v>1000</v>
      </c>
      <c r="O384">
        <v>5</v>
      </c>
      <c r="P384">
        <v>43</v>
      </c>
      <c r="Q384">
        <v>8</v>
      </c>
    </row>
    <row r="385" spans="1:17" x14ac:dyDescent="0.3">
      <c r="A385" t="s">
        <v>457</v>
      </c>
      <c r="B385" t="s">
        <v>1755</v>
      </c>
      <c r="C385" t="s">
        <v>1707</v>
      </c>
      <c r="E385">
        <v>5174</v>
      </c>
      <c r="F385" t="s">
        <v>644</v>
      </c>
      <c r="G385" t="s">
        <v>968</v>
      </c>
      <c r="H385" t="s">
        <v>965</v>
      </c>
      <c r="I385">
        <v>77477</v>
      </c>
      <c r="J385" t="s">
        <v>969</v>
      </c>
      <c r="K385" t="s">
        <v>970</v>
      </c>
      <c r="M385">
        <v>8750</v>
      </c>
      <c r="N385">
        <v>10000</v>
      </c>
      <c r="O385">
        <v>33</v>
      </c>
      <c r="P385">
        <v>127</v>
      </c>
      <c r="Q385">
        <v>23</v>
      </c>
    </row>
    <row r="386" spans="1:17" x14ac:dyDescent="0.3">
      <c r="A386">
        <v>17</v>
      </c>
      <c r="B386" t="s">
        <v>1756</v>
      </c>
      <c r="C386" t="s">
        <v>1707</v>
      </c>
      <c r="E386">
        <v>5171</v>
      </c>
      <c r="F386" t="s">
        <v>1757</v>
      </c>
      <c r="G386" t="s">
        <v>1758</v>
      </c>
      <c r="H386" t="s">
        <v>965</v>
      </c>
      <c r="I386">
        <v>77021</v>
      </c>
      <c r="J386" t="s">
        <v>1759</v>
      </c>
      <c r="K386" t="s">
        <v>1760</v>
      </c>
      <c r="M386">
        <v>5000</v>
      </c>
      <c r="N386">
        <v>5000</v>
      </c>
      <c r="O386">
        <v>19</v>
      </c>
      <c r="P386">
        <v>86</v>
      </c>
      <c r="Q386">
        <v>8</v>
      </c>
    </row>
    <row r="387" spans="1:17" x14ac:dyDescent="0.3">
      <c r="A387" t="s">
        <v>288</v>
      </c>
      <c r="B387" t="s">
        <v>289</v>
      </c>
      <c r="C387" t="s">
        <v>1707</v>
      </c>
      <c r="E387">
        <v>5174</v>
      </c>
      <c r="F387" t="s">
        <v>644</v>
      </c>
      <c r="G387" t="s">
        <v>968</v>
      </c>
      <c r="H387" t="s">
        <v>965</v>
      </c>
      <c r="I387">
        <v>77477</v>
      </c>
      <c r="J387" t="s">
        <v>969</v>
      </c>
      <c r="K387" t="s">
        <v>970</v>
      </c>
      <c r="M387">
        <v>32000</v>
      </c>
      <c r="N387">
        <v>93000</v>
      </c>
      <c r="O387">
        <v>19</v>
      </c>
      <c r="P387">
        <v>228</v>
      </c>
      <c r="Q387">
        <v>59</v>
      </c>
    </row>
    <row r="388" spans="1:17" x14ac:dyDescent="0.3">
      <c r="A388">
        <v>18</v>
      </c>
      <c r="B388" t="s">
        <v>1761</v>
      </c>
      <c r="C388" t="s">
        <v>1707</v>
      </c>
      <c r="E388">
        <v>5091</v>
      </c>
      <c r="F388" t="s">
        <v>1519</v>
      </c>
      <c r="G388" t="s">
        <v>1520</v>
      </c>
      <c r="H388" t="s">
        <v>965</v>
      </c>
      <c r="I388">
        <v>75839</v>
      </c>
      <c r="J388" t="s">
        <v>1521</v>
      </c>
      <c r="K388" t="s">
        <v>1522</v>
      </c>
      <c r="M388">
        <v>2100</v>
      </c>
      <c r="N388">
        <v>2100</v>
      </c>
      <c r="O388">
        <v>11</v>
      </c>
      <c r="P388">
        <v>57</v>
      </c>
      <c r="Q388">
        <v>10</v>
      </c>
    </row>
    <row r="389" spans="1:17" x14ac:dyDescent="0.3">
      <c r="A389">
        <v>19</v>
      </c>
      <c r="B389" t="s">
        <v>723</v>
      </c>
      <c r="C389" t="s">
        <v>1707</v>
      </c>
      <c r="F389" t="s">
        <v>649</v>
      </c>
      <c r="M389">
        <v>0</v>
      </c>
      <c r="N389">
        <v>0</v>
      </c>
      <c r="O389">
        <v>0</v>
      </c>
      <c r="P389">
        <v>20</v>
      </c>
      <c r="Q389">
        <v>2</v>
      </c>
    </row>
    <row r="390" spans="1:17" x14ac:dyDescent="0.3">
      <c r="A390">
        <v>20</v>
      </c>
      <c r="B390" t="s">
        <v>1762</v>
      </c>
      <c r="C390" t="s">
        <v>1707</v>
      </c>
      <c r="E390">
        <v>5041</v>
      </c>
      <c r="F390" t="s">
        <v>1331</v>
      </c>
      <c r="G390" t="s">
        <v>1332</v>
      </c>
      <c r="H390" t="s">
        <v>965</v>
      </c>
      <c r="I390">
        <v>77479</v>
      </c>
      <c r="J390" t="s">
        <v>1333</v>
      </c>
      <c r="K390">
        <v>7137251858</v>
      </c>
      <c r="M390">
        <v>825</v>
      </c>
      <c r="N390">
        <v>825</v>
      </c>
      <c r="O390">
        <v>13</v>
      </c>
      <c r="P390">
        <v>39</v>
      </c>
      <c r="Q390">
        <v>21</v>
      </c>
    </row>
    <row r="391" spans="1:17" x14ac:dyDescent="0.3">
      <c r="A391">
        <v>21</v>
      </c>
      <c r="B391" t="s">
        <v>1763</v>
      </c>
      <c r="C391" t="s">
        <v>1707</v>
      </c>
      <c r="E391">
        <v>5258</v>
      </c>
      <c r="F391" t="s">
        <v>1764</v>
      </c>
      <c r="G391" t="s">
        <v>1765</v>
      </c>
      <c r="H391" t="s">
        <v>965</v>
      </c>
      <c r="I391">
        <v>77477</v>
      </c>
      <c r="J391" t="s">
        <v>1766</v>
      </c>
      <c r="K391" t="s">
        <v>1767</v>
      </c>
      <c r="M391">
        <v>1650</v>
      </c>
      <c r="N391">
        <v>1650</v>
      </c>
      <c r="O391">
        <v>6</v>
      </c>
      <c r="P391">
        <v>106</v>
      </c>
      <c r="Q391">
        <v>45</v>
      </c>
    </row>
    <row r="392" spans="1:17" x14ac:dyDescent="0.3">
      <c r="A392" t="s">
        <v>462</v>
      </c>
      <c r="B392" t="s">
        <v>280</v>
      </c>
      <c r="C392" t="s">
        <v>1707</v>
      </c>
      <c r="E392">
        <v>5174</v>
      </c>
      <c r="F392" t="s">
        <v>644</v>
      </c>
      <c r="G392" t="s">
        <v>968</v>
      </c>
      <c r="H392" t="s">
        <v>965</v>
      </c>
      <c r="I392">
        <v>77477</v>
      </c>
      <c r="J392" t="s">
        <v>969</v>
      </c>
      <c r="K392" t="s">
        <v>970</v>
      </c>
      <c r="M392">
        <v>2600</v>
      </c>
      <c r="N392">
        <v>16000</v>
      </c>
      <c r="O392">
        <v>3</v>
      </c>
      <c r="P392">
        <v>38</v>
      </c>
      <c r="Q392">
        <v>6</v>
      </c>
    </row>
    <row r="393" spans="1:17" x14ac:dyDescent="0.3">
      <c r="A393">
        <v>22</v>
      </c>
      <c r="B393" t="s">
        <v>1768</v>
      </c>
      <c r="C393" t="s">
        <v>1707</v>
      </c>
      <c r="E393">
        <v>5224</v>
      </c>
      <c r="F393" t="s">
        <v>1419</v>
      </c>
      <c r="G393" t="s">
        <v>1420</v>
      </c>
      <c r="H393" t="s">
        <v>965</v>
      </c>
      <c r="I393">
        <v>77063</v>
      </c>
      <c r="J393" t="s">
        <v>1421</v>
      </c>
      <c r="K393">
        <v>5182534954</v>
      </c>
      <c r="M393">
        <v>1050</v>
      </c>
      <c r="N393">
        <v>1050</v>
      </c>
      <c r="O393">
        <v>10</v>
      </c>
      <c r="P393">
        <v>125</v>
      </c>
      <c r="Q393">
        <v>27</v>
      </c>
    </row>
    <row r="394" spans="1:17" x14ac:dyDescent="0.3">
      <c r="A394" t="s">
        <v>294</v>
      </c>
      <c r="B394" t="s">
        <v>1769</v>
      </c>
      <c r="C394" t="s">
        <v>1707</v>
      </c>
      <c r="E394">
        <v>5266</v>
      </c>
      <c r="F394" t="s">
        <v>1770</v>
      </c>
      <c r="G394" t="s">
        <v>1771</v>
      </c>
      <c r="H394" t="s">
        <v>965</v>
      </c>
      <c r="I394">
        <v>77514</v>
      </c>
      <c r="J394" t="s">
        <v>1772</v>
      </c>
      <c r="K394">
        <v>7132532625</v>
      </c>
      <c r="M394">
        <v>21500</v>
      </c>
      <c r="N394">
        <v>21500</v>
      </c>
      <c r="O394">
        <v>47</v>
      </c>
      <c r="P394">
        <v>250</v>
      </c>
      <c r="Q394">
        <v>37</v>
      </c>
    </row>
    <row r="395" spans="1:17" x14ac:dyDescent="0.3">
      <c r="A395">
        <v>23</v>
      </c>
      <c r="B395" t="s">
        <v>1773</v>
      </c>
      <c r="C395" t="s">
        <v>1707</v>
      </c>
      <c r="E395">
        <v>5241</v>
      </c>
      <c r="F395" t="s">
        <v>709</v>
      </c>
      <c r="G395" t="s">
        <v>1098</v>
      </c>
      <c r="H395" t="s">
        <v>965</v>
      </c>
      <c r="I395">
        <v>77478</v>
      </c>
      <c r="J395" t="s">
        <v>1099</v>
      </c>
      <c r="K395">
        <v>8325263666</v>
      </c>
      <c r="M395">
        <v>525</v>
      </c>
      <c r="N395">
        <v>525</v>
      </c>
      <c r="O395">
        <v>2</v>
      </c>
      <c r="P395">
        <v>30</v>
      </c>
      <c r="Q395">
        <v>10</v>
      </c>
    </row>
    <row r="396" spans="1:17" x14ac:dyDescent="0.3">
      <c r="A396" t="s">
        <v>296</v>
      </c>
      <c r="B396" t="s">
        <v>1774</v>
      </c>
      <c r="C396" t="s">
        <v>1707</v>
      </c>
      <c r="E396">
        <v>5174</v>
      </c>
      <c r="F396" t="s">
        <v>644</v>
      </c>
      <c r="G396" t="s">
        <v>968</v>
      </c>
      <c r="H396" t="s">
        <v>965</v>
      </c>
      <c r="I396">
        <v>77477</v>
      </c>
      <c r="J396" t="s">
        <v>969</v>
      </c>
      <c r="K396" t="s">
        <v>970</v>
      </c>
      <c r="M396">
        <v>18000</v>
      </c>
      <c r="N396">
        <v>33000</v>
      </c>
      <c r="O396">
        <v>34</v>
      </c>
      <c r="P396">
        <v>146</v>
      </c>
      <c r="Q396">
        <v>36</v>
      </c>
    </row>
    <row r="397" spans="1:17" x14ac:dyDescent="0.3">
      <c r="A397">
        <v>24</v>
      </c>
      <c r="B397" t="s">
        <v>1775</v>
      </c>
      <c r="C397" t="s">
        <v>1707</v>
      </c>
      <c r="E397">
        <v>5254</v>
      </c>
      <c r="F397" t="s">
        <v>1746</v>
      </c>
      <c r="G397" t="s">
        <v>1747</v>
      </c>
      <c r="H397" t="s">
        <v>965</v>
      </c>
      <c r="I397">
        <v>77007</v>
      </c>
      <c r="J397" t="s">
        <v>1748</v>
      </c>
      <c r="K397">
        <v>8325675773</v>
      </c>
      <c r="M397">
        <v>2100</v>
      </c>
      <c r="N397">
        <v>2100</v>
      </c>
      <c r="O397">
        <v>12</v>
      </c>
      <c r="P397">
        <v>207</v>
      </c>
      <c r="Q397">
        <v>78</v>
      </c>
    </row>
    <row r="398" spans="1:17" x14ac:dyDescent="0.3">
      <c r="A398" t="s">
        <v>298</v>
      </c>
      <c r="B398" t="s">
        <v>1776</v>
      </c>
      <c r="C398" t="s">
        <v>1707</v>
      </c>
      <c r="E398">
        <v>5174</v>
      </c>
      <c r="F398" t="s">
        <v>644</v>
      </c>
      <c r="G398" t="s">
        <v>968</v>
      </c>
      <c r="H398" t="s">
        <v>965</v>
      </c>
      <c r="I398">
        <v>77477</v>
      </c>
      <c r="J398" t="s">
        <v>969</v>
      </c>
      <c r="K398" t="s">
        <v>970</v>
      </c>
      <c r="M398">
        <v>15500</v>
      </c>
      <c r="N398">
        <v>23000</v>
      </c>
      <c r="O398">
        <v>33</v>
      </c>
      <c r="P398">
        <v>248</v>
      </c>
      <c r="Q398">
        <v>80</v>
      </c>
    </row>
    <row r="399" spans="1:17" x14ac:dyDescent="0.3">
      <c r="A399">
        <v>25</v>
      </c>
      <c r="B399" t="s">
        <v>1777</v>
      </c>
      <c r="C399" t="s">
        <v>1707</v>
      </c>
      <c r="E399">
        <v>5241</v>
      </c>
      <c r="F399" t="s">
        <v>709</v>
      </c>
      <c r="G399" t="s">
        <v>1098</v>
      </c>
      <c r="H399" t="s">
        <v>965</v>
      </c>
      <c r="I399">
        <v>77478</v>
      </c>
      <c r="J399" t="s">
        <v>1099</v>
      </c>
      <c r="K399">
        <v>8325263666</v>
      </c>
      <c r="M399">
        <v>675</v>
      </c>
      <c r="N399">
        <v>675</v>
      </c>
      <c r="O399">
        <v>5</v>
      </c>
      <c r="P399">
        <v>34</v>
      </c>
      <c r="Q399">
        <v>20</v>
      </c>
    </row>
    <row r="400" spans="1:17" x14ac:dyDescent="0.3">
      <c r="A400">
        <v>26</v>
      </c>
      <c r="B400" t="s">
        <v>1778</v>
      </c>
      <c r="C400" t="s">
        <v>1707</v>
      </c>
      <c r="E400">
        <v>5257</v>
      </c>
      <c r="F400" t="s">
        <v>1779</v>
      </c>
      <c r="G400" t="s">
        <v>1780</v>
      </c>
      <c r="H400" t="s">
        <v>965</v>
      </c>
      <c r="I400">
        <v>77459</v>
      </c>
      <c r="J400" t="s">
        <v>1781</v>
      </c>
      <c r="K400">
        <v>8083718265</v>
      </c>
      <c r="M400">
        <v>2100</v>
      </c>
      <c r="N400">
        <v>2100</v>
      </c>
      <c r="O400">
        <v>16</v>
      </c>
      <c r="P400">
        <v>45</v>
      </c>
      <c r="Q400">
        <v>15</v>
      </c>
    </row>
    <row r="401" spans="1:17" x14ac:dyDescent="0.3">
      <c r="A401" t="s">
        <v>464</v>
      </c>
      <c r="B401" t="s">
        <v>303</v>
      </c>
      <c r="C401" t="s">
        <v>1707</v>
      </c>
      <c r="E401">
        <v>5174</v>
      </c>
      <c r="F401" t="s">
        <v>644</v>
      </c>
      <c r="G401" t="s">
        <v>968</v>
      </c>
      <c r="H401" t="s">
        <v>965</v>
      </c>
      <c r="I401">
        <v>77477</v>
      </c>
      <c r="J401" t="s">
        <v>969</v>
      </c>
      <c r="K401" t="s">
        <v>970</v>
      </c>
      <c r="M401">
        <v>12500</v>
      </c>
      <c r="N401">
        <v>19000</v>
      </c>
      <c r="O401">
        <v>53</v>
      </c>
      <c r="P401">
        <v>151</v>
      </c>
      <c r="Q401">
        <v>43</v>
      </c>
    </row>
    <row r="402" spans="1:17" x14ac:dyDescent="0.3">
      <c r="A402">
        <v>27</v>
      </c>
      <c r="B402" t="s">
        <v>1782</v>
      </c>
      <c r="C402" t="s">
        <v>1707</v>
      </c>
      <c r="E402">
        <v>5041</v>
      </c>
      <c r="F402" t="s">
        <v>1331</v>
      </c>
      <c r="G402" t="s">
        <v>1332</v>
      </c>
      <c r="H402" t="s">
        <v>965</v>
      </c>
      <c r="I402">
        <v>77479</v>
      </c>
      <c r="J402" t="s">
        <v>1333</v>
      </c>
      <c r="K402">
        <v>7137251858</v>
      </c>
      <c r="M402">
        <v>975</v>
      </c>
      <c r="N402">
        <v>975</v>
      </c>
      <c r="O402">
        <v>7</v>
      </c>
      <c r="P402">
        <v>38</v>
      </c>
      <c r="Q402">
        <v>12</v>
      </c>
    </row>
    <row r="403" spans="1:17" x14ac:dyDescent="0.3">
      <c r="A403">
        <v>28</v>
      </c>
      <c r="B403" t="s">
        <v>1783</v>
      </c>
      <c r="C403" t="s">
        <v>1707</v>
      </c>
      <c r="E403">
        <v>5089</v>
      </c>
      <c r="F403" t="s">
        <v>1738</v>
      </c>
      <c r="G403" t="s">
        <v>1739</v>
      </c>
      <c r="H403" t="s">
        <v>965</v>
      </c>
      <c r="I403">
        <v>77583</v>
      </c>
      <c r="J403" t="s">
        <v>1740</v>
      </c>
      <c r="K403">
        <v>2253355942</v>
      </c>
      <c r="M403">
        <v>600</v>
      </c>
      <c r="N403">
        <v>600</v>
      </c>
      <c r="O403">
        <v>5</v>
      </c>
      <c r="P403">
        <v>20</v>
      </c>
      <c r="Q403">
        <v>6</v>
      </c>
    </row>
    <row r="404" spans="1:17" x14ac:dyDescent="0.3">
      <c r="A404">
        <v>29</v>
      </c>
      <c r="B404" t="s">
        <v>734</v>
      </c>
      <c r="C404" t="s">
        <v>1707</v>
      </c>
      <c r="E404">
        <v>5069</v>
      </c>
      <c r="F404" t="s">
        <v>1310</v>
      </c>
      <c r="G404" t="s">
        <v>1311</v>
      </c>
      <c r="H404" t="s">
        <v>965</v>
      </c>
      <c r="I404">
        <v>77469</v>
      </c>
      <c r="J404" t="s">
        <v>1312</v>
      </c>
      <c r="K404">
        <v>3466402132</v>
      </c>
      <c r="M404">
        <v>5250</v>
      </c>
      <c r="N404">
        <v>5500</v>
      </c>
      <c r="O404">
        <v>39</v>
      </c>
      <c r="P404">
        <v>180</v>
      </c>
      <c r="Q404">
        <v>51</v>
      </c>
    </row>
    <row r="405" spans="1:17" x14ac:dyDescent="0.3">
      <c r="A405">
        <v>30</v>
      </c>
      <c r="B405" t="s">
        <v>1784</v>
      </c>
      <c r="C405" t="s">
        <v>1707</v>
      </c>
      <c r="E405">
        <v>5117</v>
      </c>
      <c r="F405" t="s">
        <v>1555</v>
      </c>
      <c r="G405" t="s">
        <v>1556</v>
      </c>
      <c r="H405" t="s">
        <v>965</v>
      </c>
      <c r="I405">
        <v>77336</v>
      </c>
      <c r="J405" t="s">
        <v>1557</v>
      </c>
      <c r="K405" t="s">
        <v>1558</v>
      </c>
      <c r="M405">
        <v>825</v>
      </c>
      <c r="N405">
        <v>825</v>
      </c>
      <c r="O405">
        <v>7</v>
      </c>
      <c r="P405">
        <v>77</v>
      </c>
      <c r="Q405">
        <v>25</v>
      </c>
    </row>
    <row r="406" spans="1:17" x14ac:dyDescent="0.3">
      <c r="A406">
        <v>31</v>
      </c>
      <c r="B406" t="s">
        <v>1207</v>
      </c>
      <c r="C406" t="s">
        <v>1707</v>
      </c>
      <c r="F406" t="s">
        <v>649</v>
      </c>
      <c r="M406">
        <v>0</v>
      </c>
      <c r="N406">
        <v>0</v>
      </c>
      <c r="O406">
        <v>0</v>
      </c>
      <c r="P406">
        <v>20</v>
      </c>
      <c r="Q406">
        <v>8</v>
      </c>
    </row>
    <row r="407" spans="1:17" x14ac:dyDescent="0.3">
      <c r="A407" t="s">
        <v>926</v>
      </c>
      <c r="B407" t="s">
        <v>309</v>
      </c>
      <c r="C407" t="s">
        <v>1707</v>
      </c>
      <c r="E407">
        <v>5174</v>
      </c>
      <c r="F407" t="s">
        <v>644</v>
      </c>
      <c r="G407" t="s">
        <v>968</v>
      </c>
      <c r="H407" t="s">
        <v>965</v>
      </c>
      <c r="I407">
        <v>77477</v>
      </c>
      <c r="J407" t="s">
        <v>969</v>
      </c>
      <c r="K407" t="s">
        <v>970</v>
      </c>
      <c r="M407">
        <v>4800</v>
      </c>
      <c r="N407">
        <v>24000</v>
      </c>
      <c r="O407">
        <v>5</v>
      </c>
      <c r="P407">
        <v>30</v>
      </c>
      <c r="Q407">
        <v>11</v>
      </c>
    </row>
    <row r="408" spans="1:17" x14ac:dyDescent="0.3">
      <c r="A408">
        <v>32</v>
      </c>
      <c r="B408" t="s">
        <v>1785</v>
      </c>
      <c r="C408" t="s">
        <v>1707</v>
      </c>
      <c r="E408">
        <v>5270</v>
      </c>
      <c r="F408" t="s">
        <v>1786</v>
      </c>
      <c r="G408" t="s">
        <v>1787</v>
      </c>
      <c r="H408" t="s">
        <v>965</v>
      </c>
      <c r="I408">
        <v>77469</v>
      </c>
      <c r="J408" t="s">
        <v>1788</v>
      </c>
      <c r="K408">
        <v>2817252735</v>
      </c>
      <c r="M408">
        <v>1900</v>
      </c>
      <c r="N408">
        <v>1900</v>
      </c>
      <c r="O408">
        <v>19</v>
      </c>
      <c r="P408">
        <v>59</v>
      </c>
      <c r="Q408">
        <v>32</v>
      </c>
    </row>
    <row r="409" spans="1:17" x14ac:dyDescent="0.3">
      <c r="A409">
        <v>33</v>
      </c>
      <c r="B409" t="s">
        <v>1789</v>
      </c>
      <c r="C409" t="s">
        <v>1707</v>
      </c>
      <c r="E409">
        <v>5232</v>
      </c>
      <c r="F409" t="s">
        <v>1790</v>
      </c>
      <c r="G409" t="s">
        <v>1791</v>
      </c>
      <c r="H409" t="s">
        <v>965</v>
      </c>
      <c r="I409">
        <v>77478</v>
      </c>
      <c r="J409" t="s">
        <v>1792</v>
      </c>
      <c r="K409" t="s">
        <v>1793</v>
      </c>
      <c r="M409">
        <v>6000</v>
      </c>
      <c r="N409">
        <v>6000</v>
      </c>
      <c r="O409">
        <v>43</v>
      </c>
      <c r="P409">
        <v>114</v>
      </c>
      <c r="Q409">
        <v>41</v>
      </c>
    </row>
    <row r="410" spans="1:17" x14ac:dyDescent="0.3">
      <c r="A410">
        <v>34</v>
      </c>
      <c r="B410" t="s">
        <v>1794</v>
      </c>
      <c r="C410" t="s">
        <v>1707</v>
      </c>
      <c r="E410">
        <v>5122</v>
      </c>
      <c r="F410" t="s">
        <v>1795</v>
      </c>
      <c r="G410" t="s">
        <v>1796</v>
      </c>
      <c r="H410" t="s">
        <v>965</v>
      </c>
      <c r="I410">
        <v>77477</v>
      </c>
      <c r="J410" t="s">
        <v>1797</v>
      </c>
      <c r="K410">
        <v>6308225496</v>
      </c>
      <c r="M410">
        <v>2875</v>
      </c>
      <c r="N410">
        <v>2875</v>
      </c>
      <c r="O410">
        <v>38</v>
      </c>
      <c r="P410">
        <v>95</v>
      </c>
      <c r="Q410">
        <v>20</v>
      </c>
    </row>
    <row r="411" spans="1:17" x14ac:dyDescent="0.3">
      <c r="A411">
        <v>35</v>
      </c>
      <c r="B411" t="s">
        <v>1798</v>
      </c>
      <c r="C411" t="s">
        <v>1707</v>
      </c>
      <c r="E411">
        <v>5002</v>
      </c>
      <c r="F411" t="s">
        <v>1799</v>
      </c>
      <c r="G411" t="s">
        <v>1800</v>
      </c>
      <c r="H411" t="s">
        <v>965</v>
      </c>
      <c r="I411">
        <v>77478</v>
      </c>
      <c r="J411" t="s">
        <v>1801</v>
      </c>
      <c r="K411">
        <v>9044197772</v>
      </c>
      <c r="M411">
        <v>4550</v>
      </c>
      <c r="N411">
        <v>4550</v>
      </c>
      <c r="O411">
        <v>22</v>
      </c>
      <c r="P411">
        <v>94</v>
      </c>
      <c r="Q411">
        <v>51</v>
      </c>
    </row>
    <row r="412" spans="1:17" x14ac:dyDescent="0.3">
      <c r="A412">
        <v>36</v>
      </c>
      <c r="B412" t="s">
        <v>971</v>
      </c>
      <c r="C412" t="s">
        <v>1707</v>
      </c>
      <c r="E412">
        <v>5175</v>
      </c>
      <c r="F412" t="s">
        <v>1726</v>
      </c>
      <c r="G412" t="s">
        <v>1727</v>
      </c>
      <c r="H412" t="s">
        <v>965</v>
      </c>
      <c r="I412">
        <v>77471</v>
      </c>
      <c r="J412" t="s">
        <v>1728</v>
      </c>
      <c r="K412" t="s">
        <v>1729</v>
      </c>
      <c r="M412">
        <v>1000</v>
      </c>
      <c r="N412">
        <v>1000</v>
      </c>
      <c r="O412">
        <v>12</v>
      </c>
      <c r="P412">
        <v>33</v>
      </c>
      <c r="Q412">
        <v>18</v>
      </c>
    </row>
    <row r="413" spans="1:17" x14ac:dyDescent="0.3">
      <c r="A413" t="s">
        <v>469</v>
      </c>
      <c r="B413" t="s">
        <v>1802</v>
      </c>
      <c r="C413" t="s">
        <v>1707</v>
      </c>
      <c r="E413">
        <v>5019</v>
      </c>
      <c r="F413" t="s">
        <v>1803</v>
      </c>
      <c r="G413" t="s">
        <v>1804</v>
      </c>
      <c r="H413" t="s">
        <v>965</v>
      </c>
      <c r="I413">
        <v>77583</v>
      </c>
      <c r="J413" t="s">
        <v>1805</v>
      </c>
      <c r="K413" t="s">
        <v>1806</v>
      </c>
      <c r="L413" t="s">
        <v>1806</v>
      </c>
      <c r="M413">
        <v>31500</v>
      </c>
      <c r="N413">
        <v>31500</v>
      </c>
      <c r="O413">
        <v>73</v>
      </c>
      <c r="P413">
        <v>153</v>
      </c>
      <c r="Q413">
        <v>53</v>
      </c>
    </row>
    <row r="414" spans="1:17" x14ac:dyDescent="0.3">
      <c r="A414">
        <v>37</v>
      </c>
      <c r="B414" t="s">
        <v>1082</v>
      </c>
      <c r="C414" t="s">
        <v>1707</v>
      </c>
      <c r="E414">
        <v>5258</v>
      </c>
      <c r="F414" t="s">
        <v>1764</v>
      </c>
      <c r="G414" t="s">
        <v>1765</v>
      </c>
      <c r="H414" t="s">
        <v>965</v>
      </c>
      <c r="I414">
        <v>77477</v>
      </c>
      <c r="J414" t="s">
        <v>1766</v>
      </c>
      <c r="K414" t="s">
        <v>1767</v>
      </c>
      <c r="M414">
        <v>2000</v>
      </c>
      <c r="N414">
        <v>2000</v>
      </c>
      <c r="O414">
        <v>5</v>
      </c>
      <c r="P414">
        <v>21</v>
      </c>
      <c r="Q414">
        <v>12</v>
      </c>
    </row>
    <row r="415" spans="1:17" x14ac:dyDescent="0.3">
      <c r="A415">
        <v>38</v>
      </c>
      <c r="B415" t="s">
        <v>1807</v>
      </c>
      <c r="C415" t="s">
        <v>1707</v>
      </c>
      <c r="E415">
        <v>5113</v>
      </c>
      <c r="F415" t="s">
        <v>976</v>
      </c>
      <c r="G415" t="s">
        <v>977</v>
      </c>
      <c r="H415" t="s">
        <v>965</v>
      </c>
      <c r="I415">
        <v>77095</v>
      </c>
      <c r="J415" t="s">
        <v>978</v>
      </c>
      <c r="K415">
        <v>8325679148</v>
      </c>
      <c r="M415">
        <v>775</v>
      </c>
      <c r="N415">
        <v>775</v>
      </c>
      <c r="O415">
        <v>4</v>
      </c>
      <c r="P415">
        <v>45</v>
      </c>
      <c r="Q415">
        <v>7</v>
      </c>
    </row>
    <row r="416" spans="1:17" x14ac:dyDescent="0.3">
      <c r="A416">
        <v>39</v>
      </c>
      <c r="B416" t="s">
        <v>1243</v>
      </c>
      <c r="C416" t="s">
        <v>1707</v>
      </c>
      <c r="E416">
        <v>5271</v>
      </c>
      <c r="F416" t="s">
        <v>1192</v>
      </c>
      <c r="G416" t="s">
        <v>1193</v>
      </c>
      <c r="H416" t="s">
        <v>965</v>
      </c>
      <c r="I416">
        <v>77478</v>
      </c>
      <c r="J416" t="s">
        <v>1194</v>
      </c>
      <c r="K416">
        <v>8328594872</v>
      </c>
      <c r="M416">
        <v>525</v>
      </c>
      <c r="N416">
        <v>525</v>
      </c>
      <c r="O416">
        <v>2</v>
      </c>
      <c r="P416">
        <v>21</v>
      </c>
      <c r="Q416">
        <v>6</v>
      </c>
    </row>
    <row r="417" spans="1:17" x14ac:dyDescent="0.3">
      <c r="A417">
        <v>40</v>
      </c>
      <c r="B417" t="s">
        <v>1808</v>
      </c>
      <c r="C417" t="s">
        <v>1707</v>
      </c>
      <c r="E417">
        <v>5118</v>
      </c>
      <c r="F417" t="s">
        <v>1809</v>
      </c>
      <c r="G417" t="s">
        <v>1810</v>
      </c>
      <c r="H417" t="s">
        <v>965</v>
      </c>
      <c r="I417">
        <v>77449</v>
      </c>
      <c r="J417" t="s">
        <v>1811</v>
      </c>
      <c r="K417">
        <v>2817775754</v>
      </c>
      <c r="M417">
        <v>2400</v>
      </c>
      <c r="N417">
        <v>2400</v>
      </c>
      <c r="O417">
        <v>24</v>
      </c>
      <c r="P417">
        <v>103</v>
      </c>
      <c r="Q417">
        <v>44</v>
      </c>
    </row>
    <row r="418" spans="1:17" x14ac:dyDescent="0.3">
      <c r="A418">
        <v>41</v>
      </c>
      <c r="B418" t="s">
        <v>1812</v>
      </c>
      <c r="C418" t="s">
        <v>1707</v>
      </c>
      <c r="E418">
        <v>5255</v>
      </c>
      <c r="F418" t="s">
        <v>1514</v>
      </c>
      <c r="G418" t="s">
        <v>1515</v>
      </c>
      <c r="H418" t="s">
        <v>965</v>
      </c>
      <c r="I418">
        <v>77306</v>
      </c>
      <c r="J418" t="s">
        <v>1516</v>
      </c>
      <c r="K418">
        <v>2817040191</v>
      </c>
      <c r="M418">
        <v>1000</v>
      </c>
      <c r="N418">
        <v>1000</v>
      </c>
      <c r="O418">
        <v>12</v>
      </c>
      <c r="P418">
        <v>53</v>
      </c>
      <c r="Q418">
        <v>22</v>
      </c>
    </row>
    <row r="419" spans="1:17" x14ac:dyDescent="0.3">
      <c r="A419" t="s">
        <v>471</v>
      </c>
      <c r="B419" t="s">
        <v>305</v>
      </c>
      <c r="C419" t="s">
        <v>1707</v>
      </c>
      <c r="E419">
        <v>5174</v>
      </c>
      <c r="F419" t="s">
        <v>644</v>
      </c>
      <c r="G419" t="s">
        <v>968</v>
      </c>
      <c r="H419" t="s">
        <v>965</v>
      </c>
      <c r="I419">
        <v>77477</v>
      </c>
      <c r="J419" t="s">
        <v>969</v>
      </c>
      <c r="K419" t="s">
        <v>970</v>
      </c>
      <c r="M419">
        <v>3600</v>
      </c>
      <c r="N419">
        <v>33000</v>
      </c>
      <c r="O419">
        <v>12</v>
      </c>
      <c r="P419">
        <v>28</v>
      </c>
      <c r="Q419">
        <v>12</v>
      </c>
    </row>
    <row r="420" spans="1:17" x14ac:dyDescent="0.3">
      <c r="A420">
        <v>42</v>
      </c>
      <c r="B420" t="s">
        <v>1191</v>
      </c>
      <c r="C420" t="s">
        <v>1707</v>
      </c>
      <c r="E420">
        <v>5271</v>
      </c>
      <c r="F420" t="s">
        <v>1192</v>
      </c>
      <c r="G420" t="s">
        <v>1193</v>
      </c>
      <c r="H420" t="s">
        <v>965</v>
      </c>
      <c r="I420">
        <v>77478</v>
      </c>
      <c r="J420" t="s">
        <v>1194</v>
      </c>
      <c r="K420">
        <v>8328594872</v>
      </c>
      <c r="M420">
        <v>525</v>
      </c>
      <c r="N420">
        <v>525</v>
      </c>
      <c r="O420">
        <v>2</v>
      </c>
      <c r="P420">
        <v>16</v>
      </c>
      <c r="Q420">
        <v>7</v>
      </c>
    </row>
    <row r="421" spans="1:17" x14ac:dyDescent="0.3">
      <c r="A421">
        <v>43</v>
      </c>
      <c r="B421" t="s">
        <v>1813</v>
      </c>
      <c r="C421" t="s">
        <v>1707</v>
      </c>
      <c r="E421">
        <v>5267</v>
      </c>
      <c r="F421" t="s">
        <v>1346</v>
      </c>
      <c r="G421" t="s">
        <v>1347</v>
      </c>
      <c r="H421" t="s">
        <v>965</v>
      </c>
      <c r="I421">
        <v>77575</v>
      </c>
      <c r="J421" t="s">
        <v>1348</v>
      </c>
      <c r="K421">
        <v>4099984301</v>
      </c>
      <c r="M421">
        <v>6750</v>
      </c>
      <c r="N421">
        <v>6750</v>
      </c>
      <c r="O421">
        <v>46</v>
      </c>
      <c r="P421">
        <v>128</v>
      </c>
      <c r="Q421">
        <v>45</v>
      </c>
    </row>
    <row r="422" spans="1:17" x14ac:dyDescent="0.3">
      <c r="A422">
        <v>44</v>
      </c>
      <c r="B422" t="s">
        <v>737</v>
      </c>
      <c r="C422" t="s">
        <v>1707</v>
      </c>
      <c r="E422">
        <v>5254</v>
      </c>
      <c r="F422" t="s">
        <v>1746</v>
      </c>
      <c r="G422" t="s">
        <v>1747</v>
      </c>
      <c r="H422" t="s">
        <v>965</v>
      </c>
      <c r="I422">
        <v>77007</v>
      </c>
      <c r="J422" t="s">
        <v>1748</v>
      </c>
      <c r="K422">
        <v>8325675773</v>
      </c>
      <c r="M422">
        <v>550</v>
      </c>
      <c r="N422">
        <v>550</v>
      </c>
      <c r="O422">
        <v>3</v>
      </c>
      <c r="P422">
        <v>26</v>
      </c>
      <c r="Q422">
        <v>4</v>
      </c>
    </row>
    <row r="423" spans="1:17" x14ac:dyDescent="0.3">
      <c r="A423">
        <v>45</v>
      </c>
      <c r="B423" t="s">
        <v>1814</v>
      </c>
      <c r="C423" t="s">
        <v>1707</v>
      </c>
      <c r="E423">
        <v>5271</v>
      </c>
      <c r="F423" t="s">
        <v>1192</v>
      </c>
      <c r="G423" t="s">
        <v>1193</v>
      </c>
      <c r="H423" t="s">
        <v>965</v>
      </c>
      <c r="I423">
        <v>77478</v>
      </c>
      <c r="J423" t="s">
        <v>1194</v>
      </c>
      <c r="K423">
        <v>8328594872</v>
      </c>
      <c r="M423">
        <v>3000</v>
      </c>
      <c r="N423">
        <v>3000</v>
      </c>
      <c r="O423">
        <v>11</v>
      </c>
      <c r="P423">
        <v>48</v>
      </c>
      <c r="Q423">
        <v>18</v>
      </c>
    </row>
    <row r="424" spans="1:17" x14ac:dyDescent="0.3">
      <c r="A424">
        <v>46</v>
      </c>
      <c r="B424" t="s">
        <v>1815</v>
      </c>
      <c r="C424" t="s">
        <v>1707</v>
      </c>
      <c r="E424">
        <v>5032</v>
      </c>
      <c r="F424" t="s">
        <v>1742</v>
      </c>
      <c r="G424" t="s">
        <v>1743</v>
      </c>
      <c r="H424" t="s">
        <v>965</v>
      </c>
      <c r="I424">
        <v>77536</v>
      </c>
      <c r="J424" t="s">
        <v>1744</v>
      </c>
      <c r="K424">
        <v>8325232186</v>
      </c>
      <c r="M424">
        <v>1400</v>
      </c>
      <c r="N424">
        <v>1400</v>
      </c>
      <c r="O424">
        <v>20</v>
      </c>
      <c r="P424">
        <v>63</v>
      </c>
      <c r="Q424">
        <v>16</v>
      </c>
    </row>
    <row r="425" spans="1:17" x14ac:dyDescent="0.3">
      <c r="A425" t="s">
        <v>475</v>
      </c>
      <c r="B425" t="s">
        <v>1816</v>
      </c>
      <c r="C425" t="s">
        <v>1707</v>
      </c>
      <c r="E425">
        <v>5269</v>
      </c>
      <c r="F425" t="s">
        <v>1817</v>
      </c>
      <c r="G425" t="s">
        <v>1818</v>
      </c>
      <c r="H425" t="s">
        <v>965</v>
      </c>
      <c r="I425">
        <v>77545</v>
      </c>
      <c r="J425" t="s">
        <v>1819</v>
      </c>
      <c r="K425">
        <v>8322591129</v>
      </c>
      <c r="M425">
        <v>5250</v>
      </c>
      <c r="N425">
        <v>5250</v>
      </c>
      <c r="O425">
        <v>30</v>
      </c>
      <c r="P425">
        <v>80</v>
      </c>
      <c r="Q425">
        <v>17</v>
      </c>
    </row>
    <row r="426" spans="1:17" x14ac:dyDescent="0.3">
      <c r="A426">
        <v>47</v>
      </c>
      <c r="B426" t="s">
        <v>1820</v>
      </c>
      <c r="C426" t="s">
        <v>1707</v>
      </c>
      <c r="E426">
        <v>5039</v>
      </c>
      <c r="F426" t="s">
        <v>1574</v>
      </c>
      <c r="G426" t="s">
        <v>1575</v>
      </c>
      <c r="H426" t="s">
        <v>965</v>
      </c>
      <c r="I426">
        <v>77459</v>
      </c>
      <c r="J426" t="s">
        <v>1576</v>
      </c>
      <c r="K426">
        <v>2813841667</v>
      </c>
      <c r="M426">
        <v>500</v>
      </c>
      <c r="N426">
        <v>500</v>
      </c>
      <c r="O426">
        <v>1</v>
      </c>
      <c r="P426">
        <v>25</v>
      </c>
      <c r="Q426">
        <v>3</v>
      </c>
    </row>
    <row r="427" spans="1:17" x14ac:dyDescent="0.3">
      <c r="A427">
        <v>48</v>
      </c>
      <c r="B427" t="s">
        <v>1821</v>
      </c>
      <c r="C427" t="s">
        <v>1707</v>
      </c>
      <c r="E427">
        <v>5032</v>
      </c>
      <c r="F427" t="s">
        <v>1742</v>
      </c>
      <c r="G427" t="s">
        <v>1743</v>
      </c>
      <c r="H427" t="s">
        <v>965</v>
      </c>
      <c r="I427">
        <v>77536</v>
      </c>
      <c r="J427" t="s">
        <v>1744</v>
      </c>
      <c r="K427">
        <v>8325232186</v>
      </c>
      <c r="M427">
        <v>725</v>
      </c>
      <c r="N427">
        <v>725</v>
      </c>
      <c r="O427">
        <v>11</v>
      </c>
      <c r="P427">
        <v>26</v>
      </c>
      <c r="Q427">
        <v>10</v>
      </c>
    </row>
    <row r="428" spans="1:17" x14ac:dyDescent="0.3">
      <c r="A428">
        <v>49</v>
      </c>
      <c r="B428" t="s">
        <v>1822</v>
      </c>
      <c r="C428" t="s">
        <v>1707</v>
      </c>
      <c r="E428">
        <v>5272</v>
      </c>
      <c r="F428" t="s">
        <v>1823</v>
      </c>
      <c r="G428" t="s">
        <v>1824</v>
      </c>
      <c r="H428" t="s">
        <v>965</v>
      </c>
      <c r="I428">
        <v>77021</v>
      </c>
      <c r="J428" t="s">
        <v>1825</v>
      </c>
      <c r="K428" t="s">
        <v>1826</v>
      </c>
      <c r="M428">
        <v>625</v>
      </c>
      <c r="N428">
        <v>625</v>
      </c>
      <c r="O428">
        <v>5</v>
      </c>
      <c r="P428">
        <v>71</v>
      </c>
      <c r="Q428">
        <v>8</v>
      </c>
    </row>
    <row r="429" spans="1:17" x14ac:dyDescent="0.3">
      <c r="A429">
        <v>50</v>
      </c>
      <c r="B429" t="s">
        <v>1104</v>
      </c>
      <c r="C429" t="s">
        <v>1707</v>
      </c>
      <c r="E429">
        <v>5255</v>
      </c>
      <c r="F429" t="s">
        <v>1514</v>
      </c>
      <c r="G429" t="s">
        <v>1515</v>
      </c>
      <c r="H429" t="s">
        <v>965</v>
      </c>
      <c r="I429">
        <v>77306</v>
      </c>
      <c r="J429" t="s">
        <v>1516</v>
      </c>
      <c r="K429">
        <v>2817040191</v>
      </c>
      <c r="M429">
        <v>550</v>
      </c>
      <c r="N429">
        <v>550</v>
      </c>
      <c r="O429">
        <v>3</v>
      </c>
      <c r="P429">
        <v>8</v>
      </c>
      <c r="Q429">
        <v>6</v>
      </c>
    </row>
    <row r="430" spans="1:17" x14ac:dyDescent="0.3">
      <c r="A430">
        <v>51</v>
      </c>
      <c r="B430" t="s">
        <v>447</v>
      </c>
      <c r="C430" t="s">
        <v>1707</v>
      </c>
      <c r="E430">
        <v>5230</v>
      </c>
      <c r="F430" t="s">
        <v>1149</v>
      </c>
      <c r="G430" t="s">
        <v>1150</v>
      </c>
      <c r="H430" t="s">
        <v>965</v>
      </c>
      <c r="I430">
        <v>77583</v>
      </c>
      <c r="J430" t="s">
        <v>1151</v>
      </c>
      <c r="K430">
        <v>2818242435</v>
      </c>
      <c r="M430">
        <v>800</v>
      </c>
      <c r="N430">
        <v>800</v>
      </c>
      <c r="O430">
        <v>5</v>
      </c>
      <c r="P430">
        <v>28</v>
      </c>
      <c r="Q430">
        <v>14</v>
      </c>
    </row>
    <row r="431" spans="1:17" x14ac:dyDescent="0.3">
      <c r="A431" t="s">
        <v>477</v>
      </c>
      <c r="B431" t="s">
        <v>1827</v>
      </c>
      <c r="C431" t="s">
        <v>1707</v>
      </c>
      <c r="E431">
        <v>5174</v>
      </c>
      <c r="F431" t="s">
        <v>644</v>
      </c>
      <c r="G431" t="s">
        <v>968</v>
      </c>
      <c r="H431" t="s">
        <v>965</v>
      </c>
      <c r="I431">
        <v>77477</v>
      </c>
      <c r="J431" t="s">
        <v>969</v>
      </c>
      <c r="K431" t="s">
        <v>970</v>
      </c>
      <c r="M431">
        <v>1650</v>
      </c>
      <c r="N431">
        <v>10000</v>
      </c>
      <c r="O431">
        <v>7</v>
      </c>
      <c r="P431">
        <v>86</v>
      </c>
      <c r="Q431">
        <v>11</v>
      </c>
    </row>
    <row r="432" spans="1:17" x14ac:dyDescent="0.3">
      <c r="A432">
        <v>52</v>
      </c>
      <c r="B432" t="s">
        <v>971</v>
      </c>
      <c r="C432" t="s">
        <v>1707</v>
      </c>
      <c r="E432">
        <v>5039</v>
      </c>
      <c r="F432" t="s">
        <v>1574</v>
      </c>
      <c r="G432" t="s">
        <v>1575</v>
      </c>
      <c r="H432" t="s">
        <v>965</v>
      </c>
      <c r="I432">
        <v>77459</v>
      </c>
      <c r="J432" t="s">
        <v>1576</v>
      </c>
      <c r="K432">
        <v>2813841667</v>
      </c>
      <c r="M432">
        <v>1125</v>
      </c>
      <c r="N432">
        <v>1125</v>
      </c>
      <c r="O432">
        <v>11</v>
      </c>
      <c r="P432">
        <v>16</v>
      </c>
      <c r="Q432">
        <v>23</v>
      </c>
    </row>
    <row r="433" spans="1:17" x14ac:dyDescent="0.3">
      <c r="A433">
        <v>53</v>
      </c>
      <c r="B433" t="s">
        <v>1828</v>
      </c>
      <c r="C433" t="s">
        <v>1707</v>
      </c>
      <c r="E433">
        <v>5243</v>
      </c>
      <c r="F433" t="s">
        <v>695</v>
      </c>
      <c r="G433" t="s">
        <v>1829</v>
      </c>
      <c r="H433" t="s">
        <v>965</v>
      </c>
      <c r="I433">
        <v>77459</v>
      </c>
      <c r="J433" t="s">
        <v>1830</v>
      </c>
      <c r="K433">
        <v>2817708008</v>
      </c>
      <c r="M433">
        <v>2100</v>
      </c>
      <c r="N433">
        <v>2100</v>
      </c>
      <c r="O433">
        <v>19</v>
      </c>
      <c r="P433">
        <v>56</v>
      </c>
      <c r="Q433">
        <v>24</v>
      </c>
    </row>
    <row r="434" spans="1:17" x14ac:dyDescent="0.3">
      <c r="A434">
        <v>54</v>
      </c>
      <c r="B434" t="s">
        <v>1113</v>
      </c>
      <c r="C434" t="s">
        <v>1707</v>
      </c>
      <c r="E434">
        <v>5148</v>
      </c>
      <c r="F434" t="s">
        <v>1170</v>
      </c>
      <c r="G434" t="s">
        <v>1171</v>
      </c>
      <c r="H434" t="s">
        <v>965</v>
      </c>
      <c r="I434">
        <v>77478</v>
      </c>
      <c r="J434" t="s">
        <v>1172</v>
      </c>
      <c r="K434">
        <v>8327467594</v>
      </c>
      <c r="L434">
        <v>7137291033</v>
      </c>
      <c r="M434">
        <v>725</v>
      </c>
      <c r="N434">
        <v>725</v>
      </c>
      <c r="O434">
        <v>4</v>
      </c>
      <c r="P434">
        <v>30</v>
      </c>
      <c r="Q434">
        <v>7</v>
      </c>
    </row>
    <row r="435" spans="1:17" x14ac:dyDescent="0.3">
      <c r="A435">
        <v>55</v>
      </c>
      <c r="B435" t="s">
        <v>1784</v>
      </c>
      <c r="C435" t="s">
        <v>1707</v>
      </c>
      <c r="E435">
        <v>5029</v>
      </c>
      <c r="F435" t="s">
        <v>1831</v>
      </c>
      <c r="G435" t="s">
        <v>1832</v>
      </c>
      <c r="H435" t="s">
        <v>965</v>
      </c>
      <c r="I435">
        <v>77083</v>
      </c>
      <c r="J435" t="s">
        <v>1833</v>
      </c>
      <c r="K435">
        <v>2817251129</v>
      </c>
      <c r="M435">
        <v>775</v>
      </c>
      <c r="N435">
        <v>775</v>
      </c>
      <c r="O435">
        <v>9</v>
      </c>
      <c r="P435">
        <v>30</v>
      </c>
      <c r="Q435">
        <v>26</v>
      </c>
    </row>
    <row r="436" spans="1:17" x14ac:dyDescent="0.3">
      <c r="A436">
        <v>56</v>
      </c>
      <c r="B436" t="s">
        <v>1834</v>
      </c>
      <c r="C436" t="s">
        <v>1707</v>
      </c>
      <c r="E436">
        <v>5088</v>
      </c>
      <c r="F436" t="s">
        <v>1835</v>
      </c>
      <c r="G436" t="s">
        <v>1836</v>
      </c>
      <c r="H436" t="s">
        <v>965</v>
      </c>
      <c r="I436">
        <v>77469</v>
      </c>
      <c r="J436" t="s">
        <v>1837</v>
      </c>
      <c r="K436">
        <v>8323359689</v>
      </c>
      <c r="L436">
        <v>8323359689</v>
      </c>
      <c r="M436">
        <v>2000</v>
      </c>
      <c r="N436">
        <v>2000</v>
      </c>
      <c r="O436">
        <v>9</v>
      </c>
      <c r="P436">
        <v>139</v>
      </c>
      <c r="Q436">
        <v>27</v>
      </c>
    </row>
    <row r="437" spans="1:17" x14ac:dyDescent="0.3">
      <c r="A437" t="s">
        <v>479</v>
      </c>
      <c r="B437" t="s">
        <v>1838</v>
      </c>
      <c r="C437" t="s">
        <v>1707</v>
      </c>
      <c r="E437">
        <v>5174</v>
      </c>
      <c r="F437" t="s">
        <v>644</v>
      </c>
      <c r="G437" t="s">
        <v>968</v>
      </c>
      <c r="H437" t="s">
        <v>965</v>
      </c>
      <c r="I437">
        <v>77477</v>
      </c>
      <c r="J437" t="s">
        <v>969</v>
      </c>
      <c r="K437" t="s">
        <v>970</v>
      </c>
      <c r="M437">
        <v>5500</v>
      </c>
      <c r="N437">
        <v>22000</v>
      </c>
      <c r="O437">
        <v>12</v>
      </c>
      <c r="P437">
        <v>50</v>
      </c>
      <c r="Q437">
        <v>7</v>
      </c>
    </row>
    <row r="438" spans="1:17" x14ac:dyDescent="0.3">
      <c r="A438">
        <v>57</v>
      </c>
      <c r="B438" t="s">
        <v>1839</v>
      </c>
      <c r="C438" t="s">
        <v>1707</v>
      </c>
      <c r="E438">
        <v>5269</v>
      </c>
      <c r="F438" t="s">
        <v>1817</v>
      </c>
      <c r="G438" t="s">
        <v>1818</v>
      </c>
      <c r="H438" t="s">
        <v>965</v>
      </c>
      <c r="I438">
        <v>77545</v>
      </c>
      <c r="J438" t="s">
        <v>1819</v>
      </c>
      <c r="K438">
        <v>8322591129</v>
      </c>
      <c r="M438">
        <v>2600</v>
      </c>
      <c r="N438">
        <v>2600</v>
      </c>
      <c r="O438">
        <v>37</v>
      </c>
      <c r="P438">
        <v>88</v>
      </c>
      <c r="Q438">
        <v>40</v>
      </c>
    </row>
    <row r="439" spans="1:17" x14ac:dyDescent="0.3">
      <c r="A439">
        <v>58</v>
      </c>
      <c r="B439" t="s">
        <v>1840</v>
      </c>
      <c r="C439" t="s">
        <v>1707</v>
      </c>
      <c r="F439" t="s">
        <v>649</v>
      </c>
      <c r="M439">
        <v>0</v>
      </c>
      <c r="N439">
        <v>0</v>
      </c>
      <c r="O439">
        <v>0</v>
      </c>
      <c r="P439">
        <v>37</v>
      </c>
      <c r="Q439">
        <v>2</v>
      </c>
    </row>
    <row r="440" spans="1:17" x14ac:dyDescent="0.3">
      <c r="A440">
        <v>59</v>
      </c>
      <c r="B440" t="s">
        <v>1485</v>
      </c>
      <c r="C440" t="s">
        <v>1707</v>
      </c>
      <c r="E440">
        <v>5035</v>
      </c>
      <c r="F440" t="s">
        <v>669</v>
      </c>
      <c r="G440" t="s">
        <v>1841</v>
      </c>
      <c r="H440" t="s">
        <v>965</v>
      </c>
      <c r="I440">
        <v>77498</v>
      </c>
      <c r="J440" t="s">
        <v>1842</v>
      </c>
      <c r="K440">
        <v>8326606807</v>
      </c>
      <c r="M440">
        <v>525</v>
      </c>
      <c r="N440">
        <v>525</v>
      </c>
      <c r="O440">
        <v>2</v>
      </c>
      <c r="P440">
        <v>30</v>
      </c>
      <c r="Q440">
        <v>6</v>
      </c>
    </row>
    <row r="441" spans="1:17" x14ac:dyDescent="0.3">
      <c r="A441">
        <v>60</v>
      </c>
      <c r="B441" t="s">
        <v>1843</v>
      </c>
      <c r="C441" t="s">
        <v>1707</v>
      </c>
      <c r="E441">
        <v>5262</v>
      </c>
      <c r="F441" t="s">
        <v>1844</v>
      </c>
      <c r="G441" t="s">
        <v>1845</v>
      </c>
      <c r="H441" t="s">
        <v>965</v>
      </c>
      <c r="I441">
        <v>77064</v>
      </c>
      <c r="J441" t="s">
        <v>1846</v>
      </c>
      <c r="K441" s="5">
        <v>3469783740</v>
      </c>
      <c r="M441">
        <v>1300</v>
      </c>
      <c r="N441">
        <v>1300</v>
      </c>
      <c r="O441">
        <v>18</v>
      </c>
      <c r="P441">
        <v>86</v>
      </c>
      <c r="Q441">
        <v>23</v>
      </c>
    </row>
    <row r="442" spans="1:17" x14ac:dyDescent="0.3">
      <c r="A442">
        <v>61</v>
      </c>
      <c r="B442" t="s">
        <v>1847</v>
      </c>
      <c r="C442" t="s">
        <v>1707</v>
      </c>
      <c r="E442">
        <v>5048</v>
      </c>
      <c r="F442" t="s">
        <v>1848</v>
      </c>
      <c r="G442" t="s">
        <v>1849</v>
      </c>
      <c r="H442" t="s">
        <v>965</v>
      </c>
      <c r="I442">
        <v>77584</v>
      </c>
      <c r="J442" t="s">
        <v>1850</v>
      </c>
      <c r="K442">
        <v>8328580683</v>
      </c>
      <c r="M442">
        <v>8250</v>
      </c>
      <c r="N442">
        <v>8250</v>
      </c>
      <c r="O442">
        <v>31</v>
      </c>
      <c r="P442">
        <v>125</v>
      </c>
      <c r="Q442">
        <v>39</v>
      </c>
    </row>
    <row r="443" spans="1:17" x14ac:dyDescent="0.3">
      <c r="A443" t="s">
        <v>481</v>
      </c>
      <c r="B443" t="s">
        <v>1851</v>
      </c>
      <c r="C443" t="s">
        <v>1707</v>
      </c>
      <c r="E443">
        <v>5174</v>
      </c>
      <c r="F443" t="s">
        <v>644</v>
      </c>
      <c r="G443" t="s">
        <v>968</v>
      </c>
      <c r="H443" t="s">
        <v>965</v>
      </c>
      <c r="I443">
        <v>77477</v>
      </c>
      <c r="J443" t="s">
        <v>969</v>
      </c>
      <c r="K443" t="s">
        <v>970</v>
      </c>
      <c r="M443">
        <v>11500</v>
      </c>
      <c r="N443">
        <v>18000</v>
      </c>
      <c r="O443">
        <v>22</v>
      </c>
      <c r="P443">
        <v>84</v>
      </c>
      <c r="Q443">
        <v>28</v>
      </c>
    </row>
    <row r="444" spans="1:17" x14ac:dyDescent="0.3">
      <c r="A444">
        <v>62</v>
      </c>
      <c r="B444" t="s">
        <v>1852</v>
      </c>
      <c r="C444" t="s">
        <v>1707</v>
      </c>
      <c r="E444">
        <v>5010</v>
      </c>
      <c r="F444" t="s">
        <v>1853</v>
      </c>
      <c r="G444" t="s">
        <v>1854</v>
      </c>
      <c r="H444" t="s">
        <v>965</v>
      </c>
      <c r="I444">
        <v>77066</v>
      </c>
      <c r="J444" t="s">
        <v>1855</v>
      </c>
      <c r="K444">
        <v>8325088920</v>
      </c>
      <c r="M444">
        <v>550</v>
      </c>
      <c r="N444">
        <v>550</v>
      </c>
      <c r="O444">
        <v>3</v>
      </c>
      <c r="P444">
        <v>27</v>
      </c>
      <c r="Q444">
        <v>11</v>
      </c>
    </row>
    <row r="445" spans="1:17" x14ac:dyDescent="0.3">
      <c r="A445">
        <v>63</v>
      </c>
      <c r="B445" t="s">
        <v>1856</v>
      </c>
      <c r="C445" t="s">
        <v>1707</v>
      </c>
      <c r="E445">
        <v>5272</v>
      </c>
      <c r="F445" t="s">
        <v>1823</v>
      </c>
      <c r="G445" t="s">
        <v>1824</v>
      </c>
      <c r="H445" t="s">
        <v>965</v>
      </c>
      <c r="I445">
        <v>77021</v>
      </c>
      <c r="J445" t="s">
        <v>1825</v>
      </c>
      <c r="K445" t="s">
        <v>1826</v>
      </c>
      <c r="M445">
        <v>550</v>
      </c>
      <c r="N445">
        <v>550</v>
      </c>
      <c r="O445">
        <v>3</v>
      </c>
      <c r="P445">
        <v>20</v>
      </c>
      <c r="Q445">
        <v>9</v>
      </c>
    </row>
    <row r="446" spans="1:17" x14ac:dyDescent="0.3">
      <c r="A446">
        <v>64</v>
      </c>
      <c r="B446" t="s">
        <v>1857</v>
      </c>
      <c r="C446" t="s">
        <v>1707</v>
      </c>
      <c r="E446">
        <v>5188</v>
      </c>
      <c r="F446" t="s">
        <v>1858</v>
      </c>
      <c r="G446" t="s">
        <v>1859</v>
      </c>
      <c r="H446" t="s">
        <v>965</v>
      </c>
      <c r="I446">
        <v>77036</v>
      </c>
      <c r="J446" t="s">
        <v>1860</v>
      </c>
      <c r="K446">
        <v>2816426659</v>
      </c>
      <c r="M446">
        <v>600</v>
      </c>
      <c r="N446">
        <v>600</v>
      </c>
      <c r="O446">
        <v>4</v>
      </c>
      <c r="P446">
        <v>36</v>
      </c>
      <c r="Q446">
        <v>14</v>
      </c>
    </row>
    <row r="447" spans="1:17" x14ac:dyDescent="0.3">
      <c r="A447">
        <v>65</v>
      </c>
      <c r="B447" t="s">
        <v>1861</v>
      </c>
      <c r="C447" t="s">
        <v>1707</v>
      </c>
      <c r="E447">
        <v>5262</v>
      </c>
      <c r="F447" t="s">
        <v>1844</v>
      </c>
      <c r="G447" t="s">
        <v>1845</v>
      </c>
      <c r="H447" t="s">
        <v>965</v>
      </c>
      <c r="I447">
        <v>77064</v>
      </c>
      <c r="J447" t="s">
        <v>1846</v>
      </c>
      <c r="K447" s="5">
        <v>3469783740</v>
      </c>
      <c r="M447">
        <v>3100</v>
      </c>
      <c r="N447">
        <v>3100</v>
      </c>
      <c r="O447">
        <v>17</v>
      </c>
      <c r="P447">
        <v>69</v>
      </c>
      <c r="Q447">
        <v>36</v>
      </c>
    </row>
    <row r="448" spans="1:17" x14ac:dyDescent="0.3">
      <c r="A448">
        <v>66</v>
      </c>
      <c r="B448" t="s">
        <v>1862</v>
      </c>
      <c r="C448" t="s">
        <v>1707</v>
      </c>
      <c r="E448">
        <v>5238</v>
      </c>
      <c r="F448" t="s">
        <v>686</v>
      </c>
      <c r="G448" t="s">
        <v>1231</v>
      </c>
      <c r="H448" t="s">
        <v>965</v>
      </c>
      <c r="I448">
        <v>77578</v>
      </c>
      <c r="J448" t="s">
        <v>1232</v>
      </c>
      <c r="K448" t="s">
        <v>1233</v>
      </c>
      <c r="M448">
        <v>3500</v>
      </c>
      <c r="N448">
        <v>3500</v>
      </c>
      <c r="O448">
        <v>14</v>
      </c>
      <c r="P448">
        <v>72</v>
      </c>
      <c r="Q448">
        <v>50</v>
      </c>
    </row>
    <row r="449" spans="1:17" x14ac:dyDescent="0.3">
      <c r="A449" t="s">
        <v>483</v>
      </c>
      <c r="B449" t="s">
        <v>1863</v>
      </c>
      <c r="C449" t="s">
        <v>1707</v>
      </c>
      <c r="E449">
        <v>5174</v>
      </c>
      <c r="F449" t="s">
        <v>644</v>
      </c>
      <c r="G449" t="s">
        <v>968</v>
      </c>
      <c r="H449" t="s">
        <v>965</v>
      </c>
      <c r="I449">
        <v>77477</v>
      </c>
      <c r="J449" t="s">
        <v>969</v>
      </c>
      <c r="K449" t="s">
        <v>970</v>
      </c>
      <c r="M449">
        <v>2600</v>
      </c>
      <c r="N449">
        <v>16000</v>
      </c>
      <c r="O449">
        <v>6</v>
      </c>
      <c r="P449">
        <v>42</v>
      </c>
      <c r="Q449">
        <v>11</v>
      </c>
    </row>
    <row r="450" spans="1:17" x14ac:dyDescent="0.3">
      <c r="A450">
        <v>67</v>
      </c>
      <c r="B450" t="s">
        <v>1864</v>
      </c>
      <c r="C450" t="s">
        <v>1707</v>
      </c>
      <c r="E450">
        <v>5175</v>
      </c>
      <c r="F450" t="s">
        <v>1726</v>
      </c>
      <c r="G450" t="s">
        <v>1727</v>
      </c>
      <c r="H450" t="s">
        <v>965</v>
      </c>
      <c r="I450">
        <v>77471</v>
      </c>
      <c r="J450" t="s">
        <v>1728</v>
      </c>
      <c r="K450" t="s">
        <v>1729</v>
      </c>
      <c r="M450">
        <v>6250</v>
      </c>
      <c r="N450">
        <v>6250</v>
      </c>
      <c r="O450">
        <v>32</v>
      </c>
      <c r="P450">
        <v>85</v>
      </c>
      <c r="Q450">
        <v>28</v>
      </c>
    </row>
    <row r="451" spans="1:17" x14ac:dyDescent="0.3">
      <c r="A451">
        <v>68</v>
      </c>
      <c r="B451" t="s">
        <v>1865</v>
      </c>
      <c r="C451" t="s">
        <v>1707</v>
      </c>
      <c r="E451">
        <v>5039</v>
      </c>
      <c r="F451" t="s">
        <v>1574</v>
      </c>
      <c r="G451" t="s">
        <v>1575</v>
      </c>
      <c r="H451" t="s">
        <v>965</v>
      </c>
      <c r="I451">
        <v>77459</v>
      </c>
      <c r="J451" t="s">
        <v>1576</v>
      </c>
      <c r="K451">
        <v>2813841667</v>
      </c>
      <c r="M451">
        <v>4950</v>
      </c>
      <c r="N451">
        <v>4950</v>
      </c>
      <c r="O451">
        <v>30</v>
      </c>
      <c r="P451">
        <v>73</v>
      </c>
      <c r="Q451">
        <v>19</v>
      </c>
    </row>
    <row r="452" spans="1:17" x14ac:dyDescent="0.3">
      <c r="A452">
        <v>69</v>
      </c>
      <c r="B452" t="s">
        <v>1866</v>
      </c>
      <c r="C452" t="s">
        <v>1707</v>
      </c>
      <c r="E452">
        <v>5278</v>
      </c>
      <c r="F452" t="s">
        <v>683</v>
      </c>
      <c r="G452" t="s">
        <v>1125</v>
      </c>
      <c r="H452" t="s">
        <v>965</v>
      </c>
      <c r="I452">
        <v>77017</v>
      </c>
      <c r="J452" t="s">
        <v>1126</v>
      </c>
      <c r="K452">
        <v>8322771242</v>
      </c>
      <c r="M452">
        <v>3900</v>
      </c>
      <c r="N452">
        <v>3900</v>
      </c>
      <c r="O452">
        <v>41</v>
      </c>
      <c r="P452">
        <v>137</v>
      </c>
      <c r="Q452">
        <v>75</v>
      </c>
    </row>
    <row r="453" spans="1:17" x14ac:dyDescent="0.3">
      <c r="A453">
        <v>70</v>
      </c>
      <c r="B453" t="s">
        <v>1867</v>
      </c>
      <c r="C453" t="s">
        <v>1707</v>
      </c>
      <c r="E453">
        <v>5138</v>
      </c>
      <c r="F453" t="s">
        <v>1868</v>
      </c>
      <c r="G453" t="s">
        <v>1869</v>
      </c>
      <c r="H453" t="s">
        <v>965</v>
      </c>
      <c r="I453">
        <v>77008</v>
      </c>
      <c r="J453" t="s">
        <v>1870</v>
      </c>
      <c r="K453">
        <v>7132026962</v>
      </c>
      <c r="M453">
        <v>500</v>
      </c>
      <c r="N453">
        <v>500</v>
      </c>
      <c r="O453">
        <v>1</v>
      </c>
      <c r="P453">
        <v>23</v>
      </c>
      <c r="Q453">
        <v>2</v>
      </c>
    </row>
    <row r="454" spans="1:17" x14ac:dyDescent="0.3">
      <c r="A454">
        <v>71</v>
      </c>
      <c r="B454" t="s">
        <v>1871</v>
      </c>
      <c r="C454" t="s">
        <v>1707</v>
      </c>
      <c r="E454">
        <v>5148</v>
      </c>
      <c r="F454" t="s">
        <v>1170</v>
      </c>
      <c r="G454" t="s">
        <v>1171</v>
      </c>
      <c r="H454" t="s">
        <v>965</v>
      </c>
      <c r="I454">
        <v>77478</v>
      </c>
      <c r="J454" t="s">
        <v>1172</v>
      </c>
      <c r="K454">
        <v>8327467594</v>
      </c>
      <c r="L454">
        <v>7137291033</v>
      </c>
      <c r="M454">
        <v>1150</v>
      </c>
      <c r="N454">
        <v>1150</v>
      </c>
      <c r="O454">
        <v>18</v>
      </c>
      <c r="P454">
        <v>72</v>
      </c>
      <c r="Q454">
        <v>24</v>
      </c>
    </row>
    <row r="455" spans="1:17" x14ac:dyDescent="0.3">
      <c r="A455" t="s">
        <v>487</v>
      </c>
      <c r="B455" t="s">
        <v>515</v>
      </c>
      <c r="C455" t="s">
        <v>1707</v>
      </c>
      <c r="E455">
        <v>5174</v>
      </c>
      <c r="F455" t="s">
        <v>644</v>
      </c>
      <c r="G455" t="s">
        <v>968</v>
      </c>
      <c r="H455" t="s">
        <v>965</v>
      </c>
      <c r="I455">
        <v>77477</v>
      </c>
      <c r="J455" t="s">
        <v>969</v>
      </c>
      <c r="K455" t="s">
        <v>970</v>
      </c>
      <c r="M455">
        <v>3500</v>
      </c>
      <c r="N455">
        <v>31500</v>
      </c>
      <c r="O455">
        <v>10</v>
      </c>
      <c r="P455">
        <v>118</v>
      </c>
      <c r="Q455">
        <v>24</v>
      </c>
    </row>
    <row r="456" spans="1:17" x14ac:dyDescent="0.3">
      <c r="A456">
        <v>72</v>
      </c>
      <c r="B456" t="s">
        <v>1872</v>
      </c>
      <c r="C456" t="s">
        <v>1707</v>
      </c>
      <c r="E456">
        <v>5166</v>
      </c>
      <c r="F456" t="s">
        <v>1136</v>
      </c>
      <c r="G456" t="s">
        <v>1137</v>
      </c>
      <c r="H456" t="s">
        <v>965</v>
      </c>
      <c r="I456">
        <v>77478</v>
      </c>
      <c r="J456" t="s">
        <v>1138</v>
      </c>
      <c r="K456">
        <v>7654097448</v>
      </c>
      <c r="M456">
        <v>4500</v>
      </c>
      <c r="N456">
        <v>4500</v>
      </c>
      <c r="O456">
        <v>33</v>
      </c>
      <c r="P456">
        <v>128</v>
      </c>
      <c r="Q456">
        <v>61</v>
      </c>
    </row>
    <row r="457" spans="1:17" x14ac:dyDescent="0.3">
      <c r="A457" t="s">
        <v>328</v>
      </c>
      <c r="B457" t="s">
        <v>1873</v>
      </c>
      <c r="C457" t="s">
        <v>1707</v>
      </c>
      <c r="E457">
        <v>5136</v>
      </c>
      <c r="F457" t="s">
        <v>1874</v>
      </c>
      <c r="G457" t="s">
        <v>1875</v>
      </c>
      <c r="H457" t="s">
        <v>965</v>
      </c>
      <c r="I457">
        <v>77477</v>
      </c>
      <c r="J457" t="s">
        <v>1876</v>
      </c>
      <c r="K457">
        <v>2819759851</v>
      </c>
      <c r="M457">
        <v>3500</v>
      </c>
      <c r="N457">
        <v>3500</v>
      </c>
      <c r="O457">
        <v>27</v>
      </c>
      <c r="P457">
        <v>81</v>
      </c>
      <c r="Q457">
        <v>18</v>
      </c>
    </row>
    <row r="458" spans="1:17" x14ac:dyDescent="0.3">
      <c r="A458">
        <v>73</v>
      </c>
      <c r="B458" t="s">
        <v>1877</v>
      </c>
      <c r="C458" t="s">
        <v>1707</v>
      </c>
      <c r="E458">
        <v>5230</v>
      </c>
      <c r="F458" t="s">
        <v>1149</v>
      </c>
      <c r="G458" t="s">
        <v>1150</v>
      </c>
      <c r="H458" t="s">
        <v>965</v>
      </c>
      <c r="I458">
        <v>77583</v>
      </c>
      <c r="J458" t="s">
        <v>1151</v>
      </c>
      <c r="K458">
        <v>2818242435</v>
      </c>
      <c r="M458">
        <v>500</v>
      </c>
      <c r="N458">
        <v>500</v>
      </c>
      <c r="O458">
        <v>1</v>
      </c>
      <c r="P458">
        <v>11</v>
      </c>
      <c r="Q458">
        <v>1</v>
      </c>
    </row>
    <row r="459" spans="1:17" x14ac:dyDescent="0.3">
      <c r="A459">
        <v>74</v>
      </c>
      <c r="B459" t="s">
        <v>1878</v>
      </c>
      <c r="C459" t="s">
        <v>1707</v>
      </c>
      <c r="E459">
        <v>5175</v>
      </c>
      <c r="F459" t="s">
        <v>1726</v>
      </c>
      <c r="G459" t="s">
        <v>1727</v>
      </c>
      <c r="H459" t="s">
        <v>965</v>
      </c>
      <c r="I459">
        <v>77471</v>
      </c>
      <c r="J459" t="s">
        <v>1728</v>
      </c>
      <c r="K459" t="s">
        <v>1729</v>
      </c>
      <c r="M459">
        <v>3000</v>
      </c>
      <c r="N459">
        <v>3000</v>
      </c>
      <c r="O459">
        <v>38</v>
      </c>
      <c r="P459">
        <v>120</v>
      </c>
      <c r="Q459">
        <v>32</v>
      </c>
    </row>
    <row r="460" spans="1:17" x14ac:dyDescent="0.3">
      <c r="A460">
        <v>75</v>
      </c>
      <c r="B460" t="s">
        <v>1879</v>
      </c>
      <c r="C460" t="s">
        <v>1707</v>
      </c>
      <c r="E460">
        <v>5230</v>
      </c>
      <c r="F460" t="s">
        <v>1149</v>
      </c>
      <c r="G460" t="s">
        <v>1150</v>
      </c>
      <c r="H460" t="s">
        <v>965</v>
      </c>
      <c r="I460">
        <v>77583</v>
      </c>
      <c r="J460" t="s">
        <v>1151</v>
      </c>
      <c r="K460">
        <v>2818242435</v>
      </c>
      <c r="M460">
        <v>500</v>
      </c>
      <c r="N460">
        <v>500</v>
      </c>
      <c r="O460">
        <v>1</v>
      </c>
      <c r="P460">
        <v>18</v>
      </c>
      <c r="Q460">
        <v>4</v>
      </c>
    </row>
    <row r="461" spans="1:17" x14ac:dyDescent="0.3">
      <c r="A461" t="s">
        <v>942</v>
      </c>
      <c r="B461" t="s">
        <v>1880</v>
      </c>
      <c r="C461" t="s">
        <v>1707</v>
      </c>
      <c r="E461">
        <v>5174</v>
      </c>
      <c r="F461" t="s">
        <v>644</v>
      </c>
      <c r="G461" t="s">
        <v>968</v>
      </c>
      <c r="H461" t="s">
        <v>965</v>
      </c>
      <c r="I461">
        <v>77477</v>
      </c>
      <c r="J461" t="s">
        <v>969</v>
      </c>
      <c r="K461" t="s">
        <v>970</v>
      </c>
      <c r="M461">
        <v>32500</v>
      </c>
      <c r="N461">
        <v>76000</v>
      </c>
      <c r="O461">
        <v>10</v>
      </c>
      <c r="P461">
        <v>232</v>
      </c>
      <c r="Q461">
        <v>40</v>
      </c>
    </row>
    <row r="462" spans="1:17" x14ac:dyDescent="0.3">
      <c r="A462">
        <v>76</v>
      </c>
      <c r="B462" t="s">
        <v>1881</v>
      </c>
      <c r="C462" t="s">
        <v>1707</v>
      </c>
      <c r="E462">
        <v>5278</v>
      </c>
      <c r="F462" t="s">
        <v>683</v>
      </c>
      <c r="G462" t="s">
        <v>1125</v>
      </c>
      <c r="H462" t="s">
        <v>965</v>
      </c>
      <c r="I462">
        <v>77017</v>
      </c>
      <c r="J462" t="s">
        <v>1126</v>
      </c>
      <c r="K462">
        <v>8322771242</v>
      </c>
      <c r="M462">
        <v>4800</v>
      </c>
      <c r="N462">
        <v>4800</v>
      </c>
      <c r="O462">
        <v>40</v>
      </c>
      <c r="P462">
        <v>176</v>
      </c>
      <c r="Q462">
        <v>44</v>
      </c>
    </row>
    <row r="463" spans="1:17" x14ac:dyDescent="0.3">
      <c r="A463" t="s">
        <v>473</v>
      </c>
      <c r="B463" t="s">
        <v>1882</v>
      </c>
      <c r="C463" t="s">
        <v>1707</v>
      </c>
      <c r="E463">
        <v>5174</v>
      </c>
      <c r="F463" t="s">
        <v>644</v>
      </c>
      <c r="G463" t="s">
        <v>968</v>
      </c>
      <c r="H463" t="s">
        <v>965</v>
      </c>
      <c r="I463">
        <v>77477</v>
      </c>
      <c r="J463" t="s">
        <v>969</v>
      </c>
      <c r="K463" t="s">
        <v>970</v>
      </c>
      <c r="M463">
        <v>6250</v>
      </c>
      <c r="N463">
        <v>31000</v>
      </c>
      <c r="O463">
        <v>17</v>
      </c>
      <c r="P463">
        <v>46</v>
      </c>
      <c r="Q463">
        <v>12</v>
      </c>
    </row>
    <row r="464" spans="1:17" x14ac:dyDescent="0.3">
      <c r="A464">
        <v>77</v>
      </c>
      <c r="B464" t="s">
        <v>1883</v>
      </c>
      <c r="C464" t="s">
        <v>1707</v>
      </c>
      <c r="E464">
        <v>5010</v>
      </c>
      <c r="F464" t="s">
        <v>1853</v>
      </c>
      <c r="G464" t="s">
        <v>1854</v>
      </c>
      <c r="H464" t="s">
        <v>965</v>
      </c>
      <c r="I464">
        <v>77066</v>
      </c>
      <c r="J464" t="s">
        <v>1855</v>
      </c>
      <c r="K464">
        <v>8325088920</v>
      </c>
      <c r="M464">
        <v>2100</v>
      </c>
      <c r="N464">
        <v>2100</v>
      </c>
      <c r="O464">
        <v>19</v>
      </c>
      <c r="P464">
        <v>71</v>
      </c>
      <c r="Q464">
        <v>16</v>
      </c>
    </row>
    <row r="465" spans="1:17" x14ac:dyDescent="0.3">
      <c r="A465">
        <v>78</v>
      </c>
      <c r="B465" t="s">
        <v>1884</v>
      </c>
      <c r="C465" t="s">
        <v>1707</v>
      </c>
      <c r="E465">
        <v>5255</v>
      </c>
      <c r="F465" t="s">
        <v>1514</v>
      </c>
      <c r="G465" t="s">
        <v>1515</v>
      </c>
      <c r="H465" t="s">
        <v>965</v>
      </c>
      <c r="I465">
        <v>77306</v>
      </c>
      <c r="J465" t="s">
        <v>1516</v>
      </c>
      <c r="K465">
        <v>2817040191</v>
      </c>
      <c r="M465">
        <v>850</v>
      </c>
      <c r="N465">
        <v>850</v>
      </c>
      <c r="O465">
        <v>6</v>
      </c>
      <c r="P465">
        <v>80</v>
      </c>
      <c r="Q465">
        <v>36</v>
      </c>
    </row>
    <row r="466" spans="1:17" x14ac:dyDescent="0.3">
      <c r="A466">
        <v>79</v>
      </c>
      <c r="B466" t="s">
        <v>1885</v>
      </c>
      <c r="C466" t="s">
        <v>1707</v>
      </c>
      <c r="E466">
        <v>5020</v>
      </c>
      <c r="F466" t="s">
        <v>1078</v>
      </c>
      <c r="G466" t="s">
        <v>1079</v>
      </c>
      <c r="H466" t="s">
        <v>965</v>
      </c>
      <c r="I466">
        <v>77478</v>
      </c>
      <c r="J466" t="s">
        <v>1080</v>
      </c>
      <c r="K466">
        <v>8322164341</v>
      </c>
      <c r="M466">
        <v>500</v>
      </c>
      <c r="N466">
        <v>500</v>
      </c>
      <c r="O466">
        <v>1</v>
      </c>
      <c r="P466">
        <v>10</v>
      </c>
      <c r="Q466">
        <v>1</v>
      </c>
    </row>
    <row r="467" spans="1:17" x14ac:dyDescent="0.3">
      <c r="A467">
        <v>80</v>
      </c>
      <c r="B467" t="s">
        <v>1886</v>
      </c>
      <c r="C467" t="s">
        <v>1707</v>
      </c>
      <c r="E467">
        <v>5162</v>
      </c>
      <c r="F467" t="s">
        <v>1887</v>
      </c>
      <c r="G467" t="s">
        <v>1888</v>
      </c>
      <c r="H467" t="s">
        <v>965</v>
      </c>
      <c r="I467" t="s">
        <v>1889</v>
      </c>
      <c r="J467" t="s">
        <v>1890</v>
      </c>
      <c r="K467">
        <v>7038322336</v>
      </c>
      <c r="M467">
        <v>500</v>
      </c>
      <c r="N467">
        <v>500</v>
      </c>
      <c r="O467">
        <v>1</v>
      </c>
      <c r="P467">
        <v>60</v>
      </c>
      <c r="Q467">
        <v>14</v>
      </c>
    </row>
    <row r="468" spans="1:17" x14ac:dyDescent="0.3">
      <c r="A468">
        <v>81</v>
      </c>
      <c r="B468" t="s">
        <v>1891</v>
      </c>
      <c r="C468" t="s">
        <v>1707</v>
      </c>
      <c r="E468">
        <v>5166</v>
      </c>
      <c r="F468" t="s">
        <v>1136</v>
      </c>
      <c r="G468" t="s">
        <v>1137</v>
      </c>
      <c r="H468" t="s">
        <v>965</v>
      </c>
      <c r="I468">
        <v>77478</v>
      </c>
      <c r="J468" t="s">
        <v>1138</v>
      </c>
      <c r="K468">
        <v>7654097448</v>
      </c>
      <c r="M468">
        <v>3500</v>
      </c>
      <c r="N468">
        <v>3500</v>
      </c>
      <c r="O468">
        <v>25</v>
      </c>
      <c r="P468">
        <v>82</v>
      </c>
      <c r="Q468">
        <v>56</v>
      </c>
    </row>
    <row r="469" spans="1:17" x14ac:dyDescent="0.3">
      <c r="A469" t="s">
        <v>489</v>
      </c>
      <c r="B469" t="s">
        <v>496</v>
      </c>
      <c r="C469" t="s">
        <v>1707</v>
      </c>
      <c r="E469">
        <v>5174</v>
      </c>
      <c r="F469" t="s">
        <v>644</v>
      </c>
      <c r="G469" t="s">
        <v>968</v>
      </c>
      <c r="H469" t="s">
        <v>965</v>
      </c>
      <c r="I469">
        <v>77477</v>
      </c>
      <c r="J469" t="s">
        <v>969</v>
      </c>
      <c r="K469" t="s">
        <v>970</v>
      </c>
      <c r="M469">
        <v>1550</v>
      </c>
      <c r="N469">
        <v>5000</v>
      </c>
      <c r="O469">
        <v>13</v>
      </c>
      <c r="P469">
        <v>48</v>
      </c>
      <c r="Q469">
        <v>15</v>
      </c>
    </row>
    <row r="470" spans="1:17" x14ac:dyDescent="0.3">
      <c r="A470">
        <v>82</v>
      </c>
      <c r="B470" t="s">
        <v>1892</v>
      </c>
      <c r="C470" t="s">
        <v>1707</v>
      </c>
      <c r="F470" t="s">
        <v>649</v>
      </c>
      <c r="M470">
        <v>0</v>
      </c>
      <c r="N470">
        <v>0</v>
      </c>
      <c r="O470">
        <v>0</v>
      </c>
      <c r="P470">
        <v>43</v>
      </c>
      <c r="Q470">
        <v>3</v>
      </c>
    </row>
    <row r="471" spans="1:17" x14ac:dyDescent="0.3">
      <c r="A471">
        <v>83</v>
      </c>
      <c r="B471" t="s">
        <v>1893</v>
      </c>
      <c r="C471" t="s">
        <v>1707</v>
      </c>
      <c r="E471">
        <v>5218</v>
      </c>
      <c r="F471" t="s">
        <v>1894</v>
      </c>
      <c r="G471" t="s">
        <v>1895</v>
      </c>
      <c r="H471" t="s">
        <v>965</v>
      </c>
      <c r="I471">
        <v>77469</v>
      </c>
      <c r="J471" t="s">
        <v>1896</v>
      </c>
      <c r="K471" t="s">
        <v>1897</v>
      </c>
      <c r="M471">
        <v>4050</v>
      </c>
      <c r="N471">
        <v>4050</v>
      </c>
      <c r="O471">
        <v>19</v>
      </c>
      <c r="P471">
        <v>110</v>
      </c>
      <c r="Q471">
        <v>31</v>
      </c>
    </row>
    <row r="472" spans="1:17" x14ac:dyDescent="0.3">
      <c r="A472">
        <v>84</v>
      </c>
      <c r="B472" t="s">
        <v>1898</v>
      </c>
      <c r="C472" t="s">
        <v>1707</v>
      </c>
      <c r="E472">
        <v>5048</v>
      </c>
      <c r="F472" t="s">
        <v>1848</v>
      </c>
      <c r="G472" t="s">
        <v>1849</v>
      </c>
      <c r="H472" t="s">
        <v>965</v>
      </c>
      <c r="I472">
        <v>77584</v>
      </c>
      <c r="J472" t="s">
        <v>1850</v>
      </c>
      <c r="K472">
        <v>8328580683</v>
      </c>
      <c r="M472">
        <v>6000</v>
      </c>
      <c r="N472">
        <v>6000</v>
      </c>
      <c r="O472">
        <v>38</v>
      </c>
      <c r="P472">
        <v>85</v>
      </c>
      <c r="Q472">
        <v>38</v>
      </c>
    </row>
    <row r="473" spans="1:17" x14ac:dyDescent="0.3">
      <c r="A473">
        <v>85</v>
      </c>
      <c r="B473" t="s">
        <v>1899</v>
      </c>
      <c r="C473" t="s">
        <v>1707</v>
      </c>
      <c r="E473">
        <v>5218</v>
      </c>
      <c r="F473" t="s">
        <v>1894</v>
      </c>
      <c r="G473" t="s">
        <v>1895</v>
      </c>
      <c r="H473" t="s">
        <v>965</v>
      </c>
      <c r="I473">
        <v>77469</v>
      </c>
      <c r="J473" t="s">
        <v>1896</v>
      </c>
      <c r="K473" t="s">
        <v>1897</v>
      </c>
      <c r="M473">
        <v>5550</v>
      </c>
      <c r="N473">
        <v>5550</v>
      </c>
      <c r="O473">
        <v>29</v>
      </c>
      <c r="P473">
        <v>88</v>
      </c>
      <c r="Q473">
        <v>29</v>
      </c>
    </row>
    <row r="474" spans="1:17" x14ac:dyDescent="0.3">
      <c r="A474">
        <v>86</v>
      </c>
      <c r="B474" t="s">
        <v>1900</v>
      </c>
      <c r="C474" t="s">
        <v>1707</v>
      </c>
      <c r="F474" t="s">
        <v>649</v>
      </c>
      <c r="M474">
        <v>0</v>
      </c>
      <c r="N474">
        <v>0</v>
      </c>
      <c r="O474">
        <v>0</v>
      </c>
      <c r="P474">
        <v>8</v>
      </c>
      <c r="Q474">
        <v>0</v>
      </c>
    </row>
    <row r="475" spans="1:17" x14ac:dyDescent="0.3">
      <c r="A475" t="s">
        <v>491</v>
      </c>
      <c r="B475" t="s">
        <v>488</v>
      </c>
      <c r="C475" t="s">
        <v>1707</v>
      </c>
      <c r="E475">
        <v>5174</v>
      </c>
      <c r="F475" t="s">
        <v>644</v>
      </c>
      <c r="G475" t="s">
        <v>968</v>
      </c>
      <c r="H475" t="s">
        <v>965</v>
      </c>
      <c r="I475">
        <v>77477</v>
      </c>
      <c r="J475" t="s">
        <v>969</v>
      </c>
      <c r="K475" t="s">
        <v>970</v>
      </c>
      <c r="M475">
        <v>4500</v>
      </c>
      <c r="N475">
        <v>17000</v>
      </c>
      <c r="O475">
        <v>16</v>
      </c>
      <c r="P475">
        <v>31</v>
      </c>
      <c r="Q475">
        <v>14</v>
      </c>
    </row>
    <row r="476" spans="1:17" x14ac:dyDescent="0.3">
      <c r="A476">
        <v>87</v>
      </c>
      <c r="B476" t="s">
        <v>1901</v>
      </c>
      <c r="C476" t="s">
        <v>1707</v>
      </c>
      <c r="E476">
        <v>5210</v>
      </c>
      <c r="F476" t="s">
        <v>1902</v>
      </c>
      <c r="G476" t="s">
        <v>1903</v>
      </c>
      <c r="H476" t="s">
        <v>965</v>
      </c>
      <c r="I476">
        <v>78628</v>
      </c>
      <c r="J476" t="s">
        <v>1904</v>
      </c>
      <c r="K476" s="5">
        <v>5128970172</v>
      </c>
      <c r="M476">
        <v>2500</v>
      </c>
      <c r="N476">
        <v>2500</v>
      </c>
      <c r="O476">
        <v>19</v>
      </c>
      <c r="P476">
        <v>37</v>
      </c>
      <c r="Q476">
        <v>18</v>
      </c>
    </row>
    <row r="477" spans="1:17" x14ac:dyDescent="0.3">
      <c r="A477" t="s">
        <v>332</v>
      </c>
      <c r="B477" t="s">
        <v>1905</v>
      </c>
      <c r="C477" t="s">
        <v>1707</v>
      </c>
      <c r="E477">
        <v>5232</v>
      </c>
      <c r="F477" t="s">
        <v>1790</v>
      </c>
      <c r="G477" t="s">
        <v>1791</v>
      </c>
      <c r="H477" t="s">
        <v>965</v>
      </c>
      <c r="I477">
        <v>77478</v>
      </c>
      <c r="J477" t="s">
        <v>1792</v>
      </c>
      <c r="K477" t="s">
        <v>1793</v>
      </c>
      <c r="M477">
        <v>2900</v>
      </c>
      <c r="N477">
        <v>2900</v>
      </c>
      <c r="O477">
        <v>9</v>
      </c>
      <c r="P477">
        <v>68</v>
      </c>
      <c r="Q477">
        <v>29</v>
      </c>
    </row>
    <row r="478" spans="1:17" x14ac:dyDescent="0.3">
      <c r="A478">
        <v>88</v>
      </c>
      <c r="B478" t="s">
        <v>1906</v>
      </c>
      <c r="C478" t="s">
        <v>1707</v>
      </c>
      <c r="E478">
        <v>5148</v>
      </c>
      <c r="F478" t="s">
        <v>1170</v>
      </c>
      <c r="G478" t="s">
        <v>1171</v>
      </c>
      <c r="H478" t="s">
        <v>965</v>
      </c>
      <c r="I478">
        <v>77478</v>
      </c>
      <c r="J478" t="s">
        <v>1172</v>
      </c>
      <c r="K478">
        <v>8327467594</v>
      </c>
      <c r="L478">
        <v>7137291033</v>
      </c>
      <c r="M478">
        <v>675</v>
      </c>
      <c r="N478">
        <v>675</v>
      </c>
      <c r="O478">
        <v>8</v>
      </c>
      <c r="P478">
        <v>86</v>
      </c>
      <c r="Q478">
        <v>20</v>
      </c>
    </row>
    <row r="479" spans="1:17" x14ac:dyDescent="0.3">
      <c r="A479">
        <v>89</v>
      </c>
      <c r="B479" t="s">
        <v>1907</v>
      </c>
      <c r="C479" t="s">
        <v>1707</v>
      </c>
      <c r="E479">
        <v>5284</v>
      </c>
      <c r="F479" t="s">
        <v>1908</v>
      </c>
      <c r="G479" t="s">
        <v>1909</v>
      </c>
      <c r="H479" t="s">
        <v>965</v>
      </c>
      <c r="I479">
        <v>77469</v>
      </c>
      <c r="J479" t="s">
        <v>1910</v>
      </c>
      <c r="K479">
        <v>9792369045</v>
      </c>
      <c r="M479">
        <v>1250</v>
      </c>
      <c r="N479">
        <v>1250</v>
      </c>
      <c r="O479">
        <v>14</v>
      </c>
      <c r="P479">
        <v>47</v>
      </c>
      <c r="Q479">
        <v>43</v>
      </c>
    </row>
    <row r="480" spans="1:17" x14ac:dyDescent="0.3">
      <c r="A480">
        <v>90</v>
      </c>
      <c r="B480" t="s">
        <v>1112</v>
      </c>
      <c r="C480" t="s">
        <v>1707</v>
      </c>
      <c r="F480" t="s">
        <v>649</v>
      </c>
      <c r="M480">
        <v>0</v>
      </c>
      <c r="N480">
        <v>0</v>
      </c>
      <c r="O480">
        <v>0</v>
      </c>
      <c r="P480">
        <v>9</v>
      </c>
      <c r="Q480">
        <v>1</v>
      </c>
    </row>
    <row r="481" spans="1:17" x14ac:dyDescent="0.3">
      <c r="A481">
        <v>91</v>
      </c>
      <c r="B481" t="s">
        <v>1911</v>
      </c>
      <c r="C481" t="s">
        <v>1707</v>
      </c>
      <c r="E481">
        <v>5230</v>
      </c>
      <c r="F481" t="s">
        <v>1149</v>
      </c>
      <c r="G481" t="s">
        <v>1150</v>
      </c>
      <c r="H481" t="s">
        <v>965</v>
      </c>
      <c r="I481">
        <v>77583</v>
      </c>
      <c r="J481" t="s">
        <v>1151</v>
      </c>
      <c r="K481">
        <v>2818242435</v>
      </c>
      <c r="M481">
        <v>525</v>
      </c>
      <c r="N481">
        <v>525</v>
      </c>
      <c r="O481">
        <v>2</v>
      </c>
      <c r="P481">
        <v>4</v>
      </c>
      <c r="Q481">
        <v>2</v>
      </c>
    </row>
    <row r="482" spans="1:17" x14ac:dyDescent="0.3">
      <c r="A482" t="s">
        <v>493</v>
      </c>
      <c r="B482" t="s">
        <v>504</v>
      </c>
      <c r="C482" t="s">
        <v>1707</v>
      </c>
      <c r="E482">
        <v>5174</v>
      </c>
      <c r="F482" t="s">
        <v>644</v>
      </c>
      <c r="G482" t="s">
        <v>968</v>
      </c>
      <c r="H482" t="s">
        <v>965</v>
      </c>
      <c r="I482">
        <v>77477</v>
      </c>
      <c r="J482" t="s">
        <v>969</v>
      </c>
      <c r="K482" t="s">
        <v>970</v>
      </c>
      <c r="M482">
        <v>825</v>
      </c>
      <c r="N482">
        <v>24000</v>
      </c>
      <c r="O482">
        <v>3</v>
      </c>
      <c r="P482">
        <v>85</v>
      </c>
      <c r="Q482">
        <v>7</v>
      </c>
    </row>
    <row r="483" spans="1:17" x14ac:dyDescent="0.3">
      <c r="A483">
        <v>92</v>
      </c>
      <c r="B483" t="s">
        <v>1912</v>
      </c>
      <c r="C483" t="s">
        <v>1707</v>
      </c>
      <c r="E483">
        <v>5143</v>
      </c>
      <c r="F483" t="s">
        <v>1050</v>
      </c>
      <c r="G483" t="s">
        <v>1051</v>
      </c>
      <c r="H483" t="s">
        <v>965</v>
      </c>
      <c r="I483">
        <v>77009</v>
      </c>
      <c r="J483" t="s">
        <v>1052</v>
      </c>
      <c r="K483" t="s">
        <v>1053</v>
      </c>
      <c r="M483">
        <v>5250</v>
      </c>
      <c r="N483">
        <v>5250</v>
      </c>
      <c r="O483">
        <v>39</v>
      </c>
      <c r="P483">
        <v>172</v>
      </c>
      <c r="Q483">
        <v>55</v>
      </c>
    </row>
    <row r="484" spans="1:17" x14ac:dyDescent="0.3">
      <c r="A484" t="s">
        <v>334</v>
      </c>
      <c r="B484" t="s">
        <v>1693</v>
      </c>
      <c r="C484" t="s">
        <v>1707</v>
      </c>
      <c r="E484">
        <v>5066</v>
      </c>
      <c r="F484" t="s">
        <v>1463</v>
      </c>
      <c r="G484" t="s">
        <v>1464</v>
      </c>
      <c r="H484" t="s">
        <v>965</v>
      </c>
      <c r="I484">
        <v>77479</v>
      </c>
      <c r="J484" t="s">
        <v>1465</v>
      </c>
      <c r="K484" t="s">
        <v>1466</v>
      </c>
      <c r="M484">
        <v>29500</v>
      </c>
      <c r="N484">
        <v>29500</v>
      </c>
      <c r="O484">
        <v>25</v>
      </c>
      <c r="P484">
        <v>131</v>
      </c>
      <c r="Q484">
        <v>54</v>
      </c>
    </row>
    <row r="485" spans="1:17" x14ac:dyDescent="0.3">
      <c r="A485">
        <v>93</v>
      </c>
      <c r="B485" t="s">
        <v>1913</v>
      </c>
      <c r="C485" t="s">
        <v>1707</v>
      </c>
      <c r="E485">
        <v>5207</v>
      </c>
      <c r="F485" t="s">
        <v>1914</v>
      </c>
      <c r="G485" t="s">
        <v>1915</v>
      </c>
      <c r="H485" t="s">
        <v>965</v>
      </c>
      <c r="I485">
        <v>77536</v>
      </c>
      <c r="J485" t="s">
        <v>1916</v>
      </c>
      <c r="K485">
        <v>2817023860</v>
      </c>
      <c r="M485">
        <v>1600</v>
      </c>
      <c r="N485">
        <v>1600</v>
      </c>
      <c r="O485">
        <v>11</v>
      </c>
      <c r="P485">
        <v>88</v>
      </c>
      <c r="Q485">
        <v>25</v>
      </c>
    </row>
    <row r="486" spans="1:17" x14ac:dyDescent="0.3">
      <c r="A486">
        <v>94</v>
      </c>
      <c r="B486" t="s">
        <v>1917</v>
      </c>
      <c r="C486" t="s">
        <v>1707</v>
      </c>
      <c r="E486">
        <v>5261</v>
      </c>
      <c r="F486" t="s">
        <v>1037</v>
      </c>
      <c r="G486" t="s">
        <v>1038</v>
      </c>
      <c r="H486" t="s">
        <v>965</v>
      </c>
      <c r="I486">
        <v>77584</v>
      </c>
      <c r="J486" t="s">
        <v>1039</v>
      </c>
      <c r="K486" t="s">
        <v>1040</v>
      </c>
      <c r="M486">
        <v>525</v>
      </c>
      <c r="N486">
        <v>650</v>
      </c>
      <c r="O486">
        <v>2</v>
      </c>
      <c r="P486">
        <v>39</v>
      </c>
      <c r="Q486">
        <v>5</v>
      </c>
    </row>
    <row r="487" spans="1:17" x14ac:dyDescent="0.3">
      <c r="A487">
        <v>95</v>
      </c>
      <c r="B487" t="s">
        <v>1918</v>
      </c>
      <c r="C487" t="s">
        <v>1707</v>
      </c>
      <c r="E487">
        <v>5039</v>
      </c>
      <c r="F487" t="s">
        <v>1574</v>
      </c>
      <c r="G487" t="s">
        <v>1575</v>
      </c>
      <c r="H487" t="s">
        <v>965</v>
      </c>
      <c r="I487">
        <v>77459</v>
      </c>
      <c r="J487" t="s">
        <v>1576</v>
      </c>
      <c r="K487">
        <v>2813841667</v>
      </c>
      <c r="M487">
        <v>2750</v>
      </c>
      <c r="N487">
        <v>2750</v>
      </c>
      <c r="O487">
        <v>28</v>
      </c>
      <c r="P487">
        <v>119</v>
      </c>
      <c r="Q487">
        <v>32</v>
      </c>
    </row>
    <row r="488" spans="1:17" x14ac:dyDescent="0.3">
      <c r="A488">
        <v>96</v>
      </c>
      <c r="B488" t="s">
        <v>1919</v>
      </c>
      <c r="C488" t="s">
        <v>1707</v>
      </c>
      <c r="E488">
        <v>5264</v>
      </c>
      <c r="F488" t="s">
        <v>1920</v>
      </c>
      <c r="G488" t="s">
        <v>1921</v>
      </c>
      <c r="H488" t="s">
        <v>965</v>
      </c>
      <c r="I488">
        <v>77085</v>
      </c>
      <c r="J488" t="s">
        <v>1922</v>
      </c>
      <c r="K488">
        <v>2816827974</v>
      </c>
      <c r="M488">
        <v>3500</v>
      </c>
      <c r="N488">
        <v>3500</v>
      </c>
      <c r="O488">
        <v>16</v>
      </c>
      <c r="P488">
        <v>83</v>
      </c>
      <c r="Q488">
        <v>25</v>
      </c>
    </row>
    <row r="489" spans="1:17" x14ac:dyDescent="0.3">
      <c r="A489" t="s">
        <v>495</v>
      </c>
      <c r="B489" t="s">
        <v>1923</v>
      </c>
      <c r="C489" t="s">
        <v>1707</v>
      </c>
      <c r="E489">
        <v>5174</v>
      </c>
      <c r="F489" t="s">
        <v>644</v>
      </c>
      <c r="G489" t="s">
        <v>968</v>
      </c>
      <c r="H489" t="s">
        <v>965</v>
      </c>
      <c r="I489">
        <v>77477</v>
      </c>
      <c r="J489" t="s">
        <v>969</v>
      </c>
      <c r="K489" t="s">
        <v>970</v>
      </c>
      <c r="M489">
        <v>5000</v>
      </c>
      <c r="N489">
        <v>26500</v>
      </c>
      <c r="O489">
        <v>19</v>
      </c>
      <c r="P489">
        <v>87</v>
      </c>
      <c r="Q489">
        <v>19</v>
      </c>
    </row>
    <row r="490" spans="1:17" x14ac:dyDescent="0.3">
      <c r="A490">
        <v>97</v>
      </c>
      <c r="B490" t="s">
        <v>1924</v>
      </c>
      <c r="C490" t="s">
        <v>1707</v>
      </c>
      <c r="E490">
        <v>5029</v>
      </c>
      <c r="F490" t="s">
        <v>1831</v>
      </c>
      <c r="G490" t="s">
        <v>1832</v>
      </c>
      <c r="H490" t="s">
        <v>965</v>
      </c>
      <c r="I490">
        <v>77083</v>
      </c>
      <c r="J490" t="s">
        <v>1833</v>
      </c>
      <c r="K490">
        <v>2817251129</v>
      </c>
      <c r="M490">
        <v>900</v>
      </c>
      <c r="N490">
        <v>900</v>
      </c>
      <c r="O490">
        <v>8</v>
      </c>
      <c r="P490">
        <v>43</v>
      </c>
      <c r="Q490">
        <v>18</v>
      </c>
    </row>
    <row r="491" spans="1:17" x14ac:dyDescent="0.3">
      <c r="A491">
        <v>98</v>
      </c>
      <c r="B491" t="s">
        <v>1925</v>
      </c>
      <c r="C491" t="s">
        <v>1707</v>
      </c>
      <c r="E491">
        <v>5267</v>
      </c>
      <c r="F491" t="s">
        <v>1346</v>
      </c>
      <c r="G491" t="s">
        <v>1347</v>
      </c>
      <c r="H491" t="s">
        <v>965</v>
      </c>
      <c r="I491">
        <v>77575</v>
      </c>
      <c r="J491" t="s">
        <v>1348</v>
      </c>
      <c r="K491">
        <v>4099984301</v>
      </c>
      <c r="M491">
        <v>3100</v>
      </c>
      <c r="N491">
        <v>3100</v>
      </c>
      <c r="O491">
        <v>17</v>
      </c>
      <c r="P491">
        <v>69</v>
      </c>
      <c r="Q491">
        <v>28</v>
      </c>
    </row>
    <row r="492" spans="1:17" x14ac:dyDescent="0.3">
      <c r="A492" t="s">
        <v>756</v>
      </c>
      <c r="B492" t="s">
        <v>1644</v>
      </c>
      <c r="C492" t="s">
        <v>1707</v>
      </c>
      <c r="E492">
        <v>5174</v>
      </c>
      <c r="F492" t="s">
        <v>644</v>
      </c>
      <c r="G492" t="s">
        <v>968</v>
      </c>
      <c r="H492" t="s">
        <v>965</v>
      </c>
      <c r="I492">
        <v>77477</v>
      </c>
      <c r="J492" t="s">
        <v>969</v>
      </c>
      <c r="K492" t="s">
        <v>970</v>
      </c>
      <c r="M492">
        <v>9750</v>
      </c>
      <c r="N492">
        <v>10500</v>
      </c>
      <c r="O492">
        <v>26</v>
      </c>
      <c r="P492">
        <v>75</v>
      </c>
      <c r="Q492">
        <v>36</v>
      </c>
    </row>
    <row r="493" spans="1:17" x14ac:dyDescent="0.3">
      <c r="A493">
        <v>99</v>
      </c>
      <c r="B493" t="s">
        <v>1104</v>
      </c>
      <c r="C493" t="s">
        <v>1707</v>
      </c>
      <c r="E493">
        <v>5103</v>
      </c>
      <c r="F493" t="s">
        <v>1926</v>
      </c>
      <c r="G493" t="s">
        <v>1927</v>
      </c>
      <c r="H493" t="s">
        <v>965</v>
      </c>
      <c r="I493">
        <v>77406</v>
      </c>
      <c r="J493" t="s">
        <v>1928</v>
      </c>
      <c r="K493">
        <v>2817625705</v>
      </c>
      <c r="M493">
        <v>525</v>
      </c>
      <c r="N493">
        <v>525</v>
      </c>
      <c r="O493">
        <v>2</v>
      </c>
      <c r="P493">
        <v>4</v>
      </c>
      <c r="Q493">
        <v>4</v>
      </c>
    </row>
    <row r="494" spans="1:17" x14ac:dyDescent="0.3">
      <c r="A494" t="s">
        <v>1929</v>
      </c>
      <c r="B494" t="s">
        <v>1930</v>
      </c>
      <c r="C494" t="s">
        <v>1707</v>
      </c>
      <c r="E494">
        <v>5287</v>
      </c>
      <c r="F494" t="s">
        <v>1931</v>
      </c>
      <c r="G494" t="s">
        <v>1932</v>
      </c>
      <c r="H494" t="s">
        <v>965</v>
      </c>
      <c r="I494">
        <v>77075</v>
      </c>
      <c r="J494" t="s">
        <v>1933</v>
      </c>
      <c r="K494" t="s">
        <v>1934</v>
      </c>
      <c r="M494">
        <v>5250</v>
      </c>
      <c r="N494">
        <v>5250</v>
      </c>
      <c r="O494">
        <v>32</v>
      </c>
      <c r="P494">
        <v>129</v>
      </c>
      <c r="Q494">
        <v>33</v>
      </c>
    </row>
    <row r="495" spans="1:17" x14ac:dyDescent="0.3">
      <c r="A495">
        <v>100</v>
      </c>
      <c r="B495" t="s">
        <v>1034</v>
      </c>
      <c r="C495" t="s">
        <v>1707</v>
      </c>
      <c r="F495" t="s">
        <v>649</v>
      </c>
      <c r="M495">
        <v>0</v>
      </c>
      <c r="N495">
        <v>0</v>
      </c>
      <c r="O495">
        <v>0</v>
      </c>
      <c r="P495">
        <v>7</v>
      </c>
      <c r="Q495">
        <v>1</v>
      </c>
    </row>
    <row r="496" spans="1:17" x14ac:dyDescent="0.3">
      <c r="A496">
        <v>101</v>
      </c>
      <c r="B496" t="s">
        <v>1935</v>
      </c>
      <c r="C496" t="s">
        <v>1707</v>
      </c>
      <c r="E496">
        <v>5211</v>
      </c>
      <c r="F496" t="s">
        <v>1249</v>
      </c>
      <c r="G496" t="s">
        <v>1250</v>
      </c>
      <c r="H496" t="s">
        <v>965</v>
      </c>
      <c r="I496">
        <v>77581</v>
      </c>
      <c r="J496" t="s">
        <v>1251</v>
      </c>
      <c r="K496">
        <v>8328766812</v>
      </c>
      <c r="M496">
        <v>500</v>
      </c>
      <c r="N496">
        <v>500</v>
      </c>
      <c r="O496">
        <v>1</v>
      </c>
      <c r="P496">
        <v>24</v>
      </c>
      <c r="Q496">
        <v>3</v>
      </c>
    </row>
    <row r="497" spans="1:17" x14ac:dyDescent="0.3">
      <c r="A497" t="s">
        <v>497</v>
      </c>
      <c r="B497" t="s">
        <v>1936</v>
      </c>
      <c r="C497" t="s">
        <v>1707</v>
      </c>
      <c r="E497">
        <v>5174</v>
      </c>
      <c r="F497" t="s">
        <v>644</v>
      </c>
      <c r="G497" t="s">
        <v>968</v>
      </c>
      <c r="H497" t="s">
        <v>965</v>
      </c>
      <c r="I497">
        <v>77477</v>
      </c>
      <c r="J497" t="s">
        <v>969</v>
      </c>
      <c r="K497" t="s">
        <v>970</v>
      </c>
      <c r="M497">
        <v>13000</v>
      </c>
      <c r="N497">
        <v>15000</v>
      </c>
      <c r="O497">
        <v>13</v>
      </c>
      <c r="P497">
        <v>156</v>
      </c>
      <c r="Q497">
        <v>37</v>
      </c>
    </row>
    <row r="498" spans="1:17" x14ac:dyDescent="0.3">
      <c r="A498">
        <v>102</v>
      </c>
      <c r="B498" t="s">
        <v>1937</v>
      </c>
      <c r="C498" t="s">
        <v>1707</v>
      </c>
      <c r="E498">
        <v>5024</v>
      </c>
      <c r="F498" t="s">
        <v>1938</v>
      </c>
      <c r="G498" t="s">
        <v>1939</v>
      </c>
      <c r="H498" t="s">
        <v>965</v>
      </c>
      <c r="I498">
        <v>77568</v>
      </c>
      <c r="J498" t="s">
        <v>1940</v>
      </c>
      <c r="K498">
        <v>4095996048</v>
      </c>
      <c r="M498">
        <v>500</v>
      </c>
      <c r="N498">
        <v>500</v>
      </c>
      <c r="O498">
        <v>1</v>
      </c>
      <c r="P498">
        <v>14</v>
      </c>
      <c r="Q498">
        <v>4</v>
      </c>
    </row>
    <row r="499" spans="1:17" x14ac:dyDescent="0.3">
      <c r="A499" t="s">
        <v>759</v>
      </c>
      <c r="B499" t="s">
        <v>1941</v>
      </c>
      <c r="C499" t="s">
        <v>1707</v>
      </c>
      <c r="E499">
        <v>5175</v>
      </c>
      <c r="F499" t="s">
        <v>1726</v>
      </c>
      <c r="G499" t="s">
        <v>1727</v>
      </c>
      <c r="H499" t="s">
        <v>965</v>
      </c>
      <c r="I499">
        <v>77471</v>
      </c>
      <c r="J499" t="s">
        <v>1728</v>
      </c>
      <c r="K499" t="s">
        <v>1729</v>
      </c>
      <c r="M499">
        <v>2500</v>
      </c>
      <c r="N499">
        <v>2500</v>
      </c>
      <c r="O499">
        <v>25</v>
      </c>
      <c r="P499">
        <v>54</v>
      </c>
      <c r="Q499">
        <v>25</v>
      </c>
    </row>
    <row r="500" spans="1:17" x14ac:dyDescent="0.3">
      <c r="A500">
        <v>103</v>
      </c>
      <c r="B500" t="s">
        <v>1104</v>
      </c>
      <c r="C500" t="s">
        <v>1707</v>
      </c>
      <c r="F500" t="s">
        <v>649</v>
      </c>
      <c r="M500">
        <v>0</v>
      </c>
      <c r="N500">
        <v>0</v>
      </c>
      <c r="O500">
        <v>0</v>
      </c>
      <c r="P500">
        <v>9</v>
      </c>
      <c r="Q500">
        <v>1</v>
      </c>
    </row>
    <row r="501" spans="1:17" x14ac:dyDescent="0.3">
      <c r="A501" t="s">
        <v>1942</v>
      </c>
      <c r="B501" t="s">
        <v>1734</v>
      </c>
      <c r="C501" t="s">
        <v>1707</v>
      </c>
      <c r="E501">
        <v>5258</v>
      </c>
      <c r="F501" t="s">
        <v>1764</v>
      </c>
      <c r="G501" t="s">
        <v>1765</v>
      </c>
      <c r="H501" t="s">
        <v>965</v>
      </c>
      <c r="I501">
        <v>77477</v>
      </c>
      <c r="J501" t="s">
        <v>1766</v>
      </c>
      <c r="K501" t="s">
        <v>1767</v>
      </c>
      <c r="M501">
        <v>1650</v>
      </c>
      <c r="N501">
        <v>1650</v>
      </c>
      <c r="O501">
        <v>7</v>
      </c>
      <c r="P501">
        <v>12</v>
      </c>
      <c r="Q501">
        <v>11</v>
      </c>
    </row>
    <row r="502" spans="1:17" x14ac:dyDescent="0.3">
      <c r="A502">
        <v>104</v>
      </c>
      <c r="B502" t="s">
        <v>1104</v>
      </c>
      <c r="C502" t="s">
        <v>1707</v>
      </c>
      <c r="F502" t="s">
        <v>649</v>
      </c>
      <c r="M502">
        <v>0</v>
      </c>
      <c r="N502">
        <v>0</v>
      </c>
      <c r="O502">
        <v>0</v>
      </c>
      <c r="P502">
        <v>0</v>
      </c>
      <c r="Q502">
        <v>2</v>
      </c>
    </row>
    <row r="503" spans="1:17" x14ac:dyDescent="0.3">
      <c r="A503">
        <v>105</v>
      </c>
      <c r="B503" t="s">
        <v>1943</v>
      </c>
      <c r="C503" t="s">
        <v>1707</v>
      </c>
      <c r="E503">
        <v>5230</v>
      </c>
      <c r="F503" t="s">
        <v>1149</v>
      </c>
      <c r="G503" t="s">
        <v>1150</v>
      </c>
      <c r="H503" t="s">
        <v>965</v>
      </c>
      <c r="I503">
        <v>77583</v>
      </c>
      <c r="J503" t="s">
        <v>1151</v>
      </c>
      <c r="K503">
        <v>2818242435</v>
      </c>
      <c r="M503">
        <v>500</v>
      </c>
      <c r="N503">
        <v>500</v>
      </c>
      <c r="O503">
        <v>1</v>
      </c>
      <c r="P503">
        <v>23</v>
      </c>
      <c r="Q503">
        <v>6</v>
      </c>
    </row>
    <row r="504" spans="1:17" x14ac:dyDescent="0.3">
      <c r="A504" t="s">
        <v>1944</v>
      </c>
      <c r="B504" t="s">
        <v>1769</v>
      </c>
      <c r="C504" t="s">
        <v>1707</v>
      </c>
      <c r="E504">
        <v>5241</v>
      </c>
      <c r="F504" t="s">
        <v>709</v>
      </c>
      <c r="G504" t="s">
        <v>1098</v>
      </c>
      <c r="H504" t="s">
        <v>965</v>
      </c>
      <c r="I504">
        <v>77478</v>
      </c>
      <c r="J504" t="s">
        <v>1099</v>
      </c>
      <c r="K504">
        <v>8325263666</v>
      </c>
      <c r="M504">
        <v>10500</v>
      </c>
      <c r="N504">
        <v>10500</v>
      </c>
      <c r="O504">
        <v>30</v>
      </c>
      <c r="P504">
        <v>142</v>
      </c>
      <c r="Q504">
        <v>31</v>
      </c>
    </row>
    <row r="505" spans="1:17" x14ac:dyDescent="0.3">
      <c r="A505">
        <v>106</v>
      </c>
      <c r="B505" t="s">
        <v>1104</v>
      </c>
      <c r="C505" t="s">
        <v>1707</v>
      </c>
      <c r="F505" t="s">
        <v>649</v>
      </c>
      <c r="M505">
        <v>0</v>
      </c>
      <c r="N505">
        <v>0</v>
      </c>
      <c r="O505">
        <v>0</v>
      </c>
      <c r="P505">
        <v>2</v>
      </c>
      <c r="Q505">
        <v>1</v>
      </c>
    </row>
    <row r="506" spans="1:17" x14ac:dyDescent="0.3">
      <c r="A506" t="s">
        <v>499</v>
      </c>
      <c r="B506" t="s">
        <v>508</v>
      </c>
      <c r="C506" t="s">
        <v>1707</v>
      </c>
      <c r="E506">
        <v>5174</v>
      </c>
      <c r="F506" t="s">
        <v>644</v>
      </c>
      <c r="G506" t="s">
        <v>968</v>
      </c>
      <c r="H506" t="s">
        <v>965</v>
      </c>
      <c r="I506">
        <v>77477</v>
      </c>
      <c r="J506" t="s">
        <v>969</v>
      </c>
      <c r="K506" t="s">
        <v>970</v>
      </c>
      <c r="M506">
        <v>3300</v>
      </c>
      <c r="N506">
        <v>10000</v>
      </c>
      <c r="O506">
        <v>9</v>
      </c>
      <c r="P506">
        <v>60</v>
      </c>
      <c r="Q506">
        <v>15</v>
      </c>
    </row>
    <row r="507" spans="1:17" x14ac:dyDescent="0.3">
      <c r="A507">
        <v>107</v>
      </c>
      <c r="B507" t="s">
        <v>1945</v>
      </c>
      <c r="C507" t="s">
        <v>1707</v>
      </c>
      <c r="E507">
        <v>5117</v>
      </c>
      <c r="F507" t="s">
        <v>1555</v>
      </c>
      <c r="G507" t="s">
        <v>1556</v>
      </c>
      <c r="H507" t="s">
        <v>965</v>
      </c>
      <c r="I507">
        <v>77336</v>
      </c>
      <c r="J507" t="s">
        <v>1557</v>
      </c>
      <c r="K507" t="s">
        <v>1558</v>
      </c>
      <c r="M507">
        <v>1350</v>
      </c>
      <c r="N507">
        <v>1350</v>
      </c>
      <c r="O507">
        <v>10</v>
      </c>
      <c r="P507">
        <v>25</v>
      </c>
      <c r="Q507">
        <v>5</v>
      </c>
    </row>
    <row r="508" spans="1:17" x14ac:dyDescent="0.3">
      <c r="A508">
        <v>108</v>
      </c>
      <c r="B508" t="s">
        <v>1946</v>
      </c>
      <c r="C508" t="s">
        <v>1707</v>
      </c>
      <c r="F508" t="s">
        <v>649</v>
      </c>
      <c r="M508">
        <v>0</v>
      </c>
      <c r="N508">
        <v>0</v>
      </c>
      <c r="O508">
        <v>0</v>
      </c>
      <c r="P508">
        <v>13</v>
      </c>
      <c r="Q508">
        <v>1</v>
      </c>
    </row>
    <row r="509" spans="1:17" x14ac:dyDescent="0.3">
      <c r="A509">
        <v>109</v>
      </c>
      <c r="B509" t="s">
        <v>1947</v>
      </c>
      <c r="C509" t="s">
        <v>1707</v>
      </c>
      <c r="F509" t="s">
        <v>649</v>
      </c>
      <c r="M509">
        <v>0</v>
      </c>
      <c r="N509">
        <v>0</v>
      </c>
      <c r="O509">
        <v>0</v>
      </c>
      <c r="P509">
        <v>31</v>
      </c>
      <c r="Q509">
        <v>4</v>
      </c>
    </row>
    <row r="510" spans="1:17" x14ac:dyDescent="0.3">
      <c r="A510">
        <v>110</v>
      </c>
      <c r="B510" t="s">
        <v>1900</v>
      </c>
      <c r="C510" t="s">
        <v>1707</v>
      </c>
      <c r="F510" t="s">
        <v>649</v>
      </c>
      <c r="M510">
        <v>0</v>
      </c>
      <c r="N510">
        <v>0</v>
      </c>
      <c r="O510">
        <v>0</v>
      </c>
      <c r="P510">
        <v>7</v>
      </c>
      <c r="Q510">
        <v>0</v>
      </c>
    </row>
    <row r="511" spans="1:17" x14ac:dyDescent="0.3">
      <c r="A511" t="s">
        <v>768</v>
      </c>
      <c r="B511" t="s">
        <v>1948</v>
      </c>
      <c r="C511" t="s">
        <v>1707</v>
      </c>
      <c r="E511">
        <v>5230</v>
      </c>
      <c r="F511" t="s">
        <v>1149</v>
      </c>
      <c r="G511" t="s">
        <v>1150</v>
      </c>
      <c r="H511" t="s">
        <v>965</v>
      </c>
      <c r="I511">
        <v>77583</v>
      </c>
      <c r="J511" t="s">
        <v>1151</v>
      </c>
      <c r="K511">
        <v>2818242435</v>
      </c>
      <c r="M511">
        <v>3100</v>
      </c>
      <c r="N511">
        <v>3100</v>
      </c>
      <c r="O511">
        <v>22</v>
      </c>
      <c r="P511">
        <v>84</v>
      </c>
      <c r="Q511">
        <v>51</v>
      </c>
    </row>
    <row r="512" spans="1:17" x14ac:dyDescent="0.3">
      <c r="A512">
        <v>111</v>
      </c>
      <c r="B512" t="s">
        <v>1104</v>
      </c>
      <c r="C512" t="s">
        <v>1707</v>
      </c>
      <c r="F512" t="s">
        <v>649</v>
      </c>
      <c r="M512">
        <v>0</v>
      </c>
      <c r="N512">
        <v>0</v>
      </c>
      <c r="O512">
        <v>0</v>
      </c>
      <c r="P512">
        <v>3</v>
      </c>
      <c r="Q512">
        <v>2</v>
      </c>
    </row>
    <row r="513" spans="1:17" x14ac:dyDescent="0.3">
      <c r="A513" t="s">
        <v>503</v>
      </c>
      <c r="B513" t="s">
        <v>1949</v>
      </c>
      <c r="C513" t="s">
        <v>1707</v>
      </c>
      <c r="E513">
        <v>5174</v>
      </c>
      <c r="F513" t="s">
        <v>644</v>
      </c>
      <c r="G513" t="s">
        <v>968</v>
      </c>
      <c r="H513" t="s">
        <v>965</v>
      </c>
      <c r="I513">
        <v>77477</v>
      </c>
      <c r="J513" t="s">
        <v>969</v>
      </c>
      <c r="K513" t="s">
        <v>970</v>
      </c>
      <c r="M513">
        <v>20500</v>
      </c>
      <c r="N513">
        <v>31000</v>
      </c>
      <c r="O513">
        <v>16</v>
      </c>
      <c r="P513">
        <v>71</v>
      </c>
      <c r="Q513">
        <v>21</v>
      </c>
    </row>
    <row r="514" spans="1:17" x14ac:dyDescent="0.3">
      <c r="A514">
        <v>112</v>
      </c>
      <c r="B514" t="s">
        <v>1937</v>
      </c>
      <c r="C514" t="s">
        <v>1707</v>
      </c>
      <c r="E514">
        <v>5024</v>
      </c>
      <c r="F514" t="s">
        <v>1938</v>
      </c>
      <c r="G514" t="s">
        <v>1939</v>
      </c>
      <c r="H514" t="s">
        <v>965</v>
      </c>
      <c r="I514">
        <v>77568</v>
      </c>
      <c r="J514" t="s">
        <v>1940</v>
      </c>
      <c r="K514">
        <v>4095996048</v>
      </c>
      <c r="M514">
        <v>500</v>
      </c>
      <c r="N514">
        <v>500</v>
      </c>
      <c r="O514">
        <v>1</v>
      </c>
      <c r="P514">
        <v>10</v>
      </c>
      <c r="Q514">
        <v>4</v>
      </c>
    </row>
    <row r="515" spans="1:17" x14ac:dyDescent="0.3">
      <c r="A515">
        <v>113</v>
      </c>
      <c r="B515" t="s">
        <v>604</v>
      </c>
      <c r="C515" t="s">
        <v>1707</v>
      </c>
      <c r="F515" t="s">
        <v>649</v>
      </c>
      <c r="M515">
        <v>0</v>
      </c>
      <c r="N515">
        <v>0</v>
      </c>
      <c r="O515">
        <v>0</v>
      </c>
      <c r="P515">
        <v>9</v>
      </c>
      <c r="Q515">
        <v>5</v>
      </c>
    </row>
    <row r="516" spans="1:17" x14ac:dyDescent="0.3">
      <c r="A516">
        <v>114</v>
      </c>
      <c r="B516" t="s">
        <v>728</v>
      </c>
      <c r="C516" t="s">
        <v>1707</v>
      </c>
      <c r="F516" t="s">
        <v>649</v>
      </c>
      <c r="M516">
        <v>0</v>
      </c>
      <c r="N516">
        <v>0</v>
      </c>
      <c r="O516">
        <v>0</v>
      </c>
      <c r="P516">
        <v>8</v>
      </c>
      <c r="Q516">
        <v>0</v>
      </c>
    </row>
    <row r="517" spans="1:17" x14ac:dyDescent="0.3">
      <c r="A517">
        <v>115</v>
      </c>
      <c r="B517" t="s">
        <v>728</v>
      </c>
      <c r="C517" t="s">
        <v>1707</v>
      </c>
      <c r="F517" t="s">
        <v>649</v>
      </c>
      <c r="M517">
        <v>0</v>
      </c>
      <c r="N517">
        <v>0</v>
      </c>
      <c r="O517">
        <v>0</v>
      </c>
      <c r="P517">
        <v>10</v>
      </c>
      <c r="Q517">
        <v>0</v>
      </c>
    </row>
    <row r="518" spans="1:17" x14ac:dyDescent="0.3">
      <c r="A518">
        <v>116</v>
      </c>
      <c r="B518" t="s">
        <v>728</v>
      </c>
      <c r="C518" t="s">
        <v>1707</v>
      </c>
      <c r="F518" t="s">
        <v>649</v>
      </c>
      <c r="M518">
        <v>0</v>
      </c>
      <c r="N518">
        <v>0</v>
      </c>
      <c r="O518">
        <v>0</v>
      </c>
      <c r="P518">
        <v>9</v>
      </c>
      <c r="Q518">
        <v>0</v>
      </c>
    </row>
    <row r="519" spans="1:17" x14ac:dyDescent="0.3">
      <c r="A519">
        <v>117</v>
      </c>
      <c r="B519" t="s">
        <v>1111</v>
      </c>
      <c r="C519" t="s">
        <v>1707</v>
      </c>
      <c r="E519">
        <v>5255</v>
      </c>
      <c r="F519" t="s">
        <v>1514</v>
      </c>
      <c r="G519" t="s">
        <v>1515</v>
      </c>
      <c r="H519" t="s">
        <v>965</v>
      </c>
      <c r="I519">
        <v>77306</v>
      </c>
      <c r="J519" t="s">
        <v>1516</v>
      </c>
      <c r="K519">
        <v>2817040191</v>
      </c>
      <c r="M519">
        <v>500</v>
      </c>
      <c r="N519">
        <v>500</v>
      </c>
      <c r="O519">
        <v>1</v>
      </c>
      <c r="P519">
        <v>5</v>
      </c>
      <c r="Q519">
        <v>4</v>
      </c>
    </row>
    <row r="520" spans="1:17" x14ac:dyDescent="0.3">
      <c r="A520">
        <v>118</v>
      </c>
      <c r="B520" t="s">
        <v>1950</v>
      </c>
      <c r="C520" t="s">
        <v>1707</v>
      </c>
      <c r="F520" t="s">
        <v>649</v>
      </c>
      <c r="M520">
        <v>0</v>
      </c>
      <c r="N520">
        <v>0</v>
      </c>
      <c r="O520">
        <v>0</v>
      </c>
      <c r="P520">
        <v>20</v>
      </c>
      <c r="Q520">
        <v>5</v>
      </c>
    </row>
    <row r="521" spans="1:17" x14ac:dyDescent="0.3">
      <c r="A521">
        <v>119</v>
      </c>
      <c r="B521" t="s">
        <v>725</v>
      </c>
      <c r="C521" t="s">
        <v>1707</v>
      </c>
      <c r="E521">
        <v>5247</v>
      </c>
      <c r="F521" t="s">
        <v>1951</v>
      </c>
      <c r="G521" t="s">
        <v>1952</v>
      </c>
      <c r="H521" t="s">
        <v>965</v>
      </c>
      <c r="I521">
        <v>77021</v>
      </c>
      <c r="J521" t="s">
        <v>1953</v>
      </c>
      <c r="K521" t="s">
        <v>1954</v>
      </c>
      <c r="L521" t="s">
        <v>1954</v>
      </c>
      <c r="M521">
        <v>500</v>
      </c>
      <c r="N521">
        <v>500</v>
      </c>
      <c r="O521">
        <v>1</v>
      </c>
      <c r="P521">
        <v>20</v>
      </c>
      <c r="Q521">
        <v>5</v>
      </c>
    </row>
    <row r="522" spans="1:17" x14ac:dyDescent="0.3">
      <c r="A522">
        <v>120</v>
      </c>
      <c r="B522" t="s">
        <v>1955</v>
      </c>
      <c r="C522" t="s">
        <v>1707</v>
      </c>
      <c r="F522" t="s">
        <v>649</v>
      </c>
      <c r="M522">
        <v>0</v>
      </c>
      <c r="N522">
        <v>0</v>
      </c>
      <c r="O522">
        <v>0</v>
      </c>
      <c r="P522">
        <v>35</v>
      </c>
      <c r="Q522">
        <v>1</v>
      </c>
    </row>
    <row r="523" spans="1:17" x14ac:dyDescent="0.3">
      <c r="A523">
        <v>121</v>
      </c>
      <c r="B523" t="s">
        <v>731</v>
      </c>
      <c r="C523" t="s">
        <v>1707</v>
      </c>
      <c r="F523" t="s">
        <v>649</v>
      </c>
      <c r="M523">
        <v>0</v>
      </c>
      <c r="N523">
        <v>0</v>
      </c>
      <c r="O523">
        <v>0</v>
      </c>
      <c r="P523">
        <v>9</v>
      </c>
      <c r="Q523">
        <v>3</v>
      </c>
    </row>
    <row r="524" spans="1:17" x14ac:dyDescent="0.3">
      <c r="A524" t="s">
        <v>507</v>
      </c>
      <c r="B524" t="s">
        <v>498</v>
      </c>
      <c r="C524" t="s">
        <v>1707</v>
      </c>
      <c r="E524">
        <v>5174</v>
      </c>
      <c r="F524" t="s">
        <v>644</v>
      </c>
      <c r="G524" t="s">
        <v>968</v>
      </c>
      <c r="H524" t="s">
        <v>965</v>
      </c>
      <c r="I524">
        <v>77477</v>
      </c>
      <c r="J524" t="s">
        <v>969</v>
      </c>
      <c r="K524" t="s">
        <v>970</v>
      </c>
      <c r="M524">
        <v>15500</v>
      </c>
      <c r="N524">
        <v>26500</v>
      </c>
      <c r="O524">
        <v>17</v>
      </c>
      <c r="P524">
        <v>61</v>
      </c>
      <c r="Q524">
        <v>18</v>
      </c>
    </row>
    <row r="525" spans="1:17" x14ac:dyDescent="0.3">
      <c r="A525">
        <v>122</v>
      </c>
      <c r="B525" t="s">
        <v>1111</v>
      </c>
      <c r="C525" t="s">
        <v>1707</v>
      </c>
      <c r="F525" t="s">
        <v>649</v>
      </c>
      <c r="M525">
        <v>0</v>
      </c>
      <c r="N525">
        <v>0</v>
      </c>
      <c r="O525">
        <v>0</v>
      </c>
      <c r="P525">
        <v>15</v>
      </c>
      <c r="Q525">
        <v>3</v>
      </c>
    </row>
    <row r="526" spans="1:17" x14ac:dyDescent="0.3">
      <c r="A526">
        <v>123</v>
      </c>
      <c r="B526" t="s">
        <v>1956</v>
      </c>
      <c r="C526" t="s">
        <v>1707</v>
      </c>
      <c r="E526">
        <v>5022</v>
      </c>
      <c r="F526" t="s">
        <v>1957</v>
      </c>
      <c r="G526" t="s">
        <v>1958</v>
      </c>
      <c r="H526" t="s">
        <v>965</v>
      </c>
      <c r="I526">
        <v>77379</v>
      </c>
      <c r="J526" t="s">
        <v>1959</v>
      </c>
      <c r="K526">
        <v>2817556242</v>
      </c>
      <c r="L526">
        <v>2817556242</v>
      </c>
      <c r="M526">
        <v>500</v>
      </c>
      <c r="N526">
        <v>500</v>
      </c>
      <c r="O526">
        <v>1</v>
      </c>
      <c r="P526">
        <v>7</v>
      </c>
      <c r="Q526">
        <v>3</v>
      </c>
    </row>
    <row r="527" spans="1:17" x14ac:dyDescent="0.3">
      <c r="A527">
        <v>124</v>
      </c>
      <c r="B527" t="s">
        <v>1960</v>
      </c>
      <c r="C527" t="s">
        <v>1707</v>
      </c>
      <c r="F527" t="s">
        <v>649</v>
      </c>
      <c r="M527">
        <v>0</v>
      </c>
      <c r="N527">
        <v>0</v>
      </c>
      <c r="O527">
        <v>0</v>
      </c>
      <c r="P527">
        <v>16</v>
      </c>
      <c r="Q527">
        <v>4</v>
      </c>
    </row>
    <row r="528" spans="1:17" x14ac:dyDescent="0.3">
      <c r="A528">
        <v>125</v>
      </c>
      <c r="B528" t="s">
        <v>1104</v>
      </c>
      <c r="C528" t="s">
        <v>1707</v>
      </c>
      <c r="E528">
        <v>5285</v>
      </c>
      <c r="F528" t="s">
        <v>1961</v>
      </c>
      <c r="G528" t="s">
        <v>1962</v>
      </c>
      <c r="H528" t="s">
        <v>965</v>
      </c>
      <c r="I528">
        <v>77583</v>
      </c>
      <c r="J528" t="s">
        <v>1963</v>
      </c>
      <c r="K528">
        <v>7542323883</v>
      </c>
      <c r="M528">
        <v>500</v>
      </c>
      <c r="N528">
        <v>500</v>
      </c>
      <c r="O528">
        <v>1</v>
      </c>
      <c r="P528">
        <v>1</v>
      </c>
      <c r="Q528">
        <v>6</v>
      </c>
    </row>
    <row r="529" spans="1:17" x14ac:dyDescent="0.3">
      <c r="A529">
        <v>126</v>
      </c>
      <c r="B529" t="s">
        <v>1964</v>
      </c>
      <c r="C529" t="s">
        <v>1707</v>
      </c>
      <c r="F529" t="s">
        <v>649</v>
      </c>
      <c r="M529">
        <v>0</v>
      </c>
      <c r="N529">
        <v>0</v>
      </c>
      <c r="O529">
        <v>0</v>
      </c>
      <c r="P529">
        <v>11</v>
      </c>
      <c r="Q529">
        <v>2</v>
      </c>
    </row>
    <row r="530" spans="1:17" x14ac:dyDescent="0.3">
      <c r="A530" t="s">
        <v>510</v>
      </c>
      <c r="B530" t="s">
        <v>1965</v>
      </c>
      <c r="C530" t="s">
        <v>1707</v>
      </c>
      <c r="E530">
        <v>5008</v>
      </c>
      <c r="F530" t="s">
        <v>1966</v>
      </c>
      <c r="G530" t="s">
        <v>1967</v>
      </c>
      <c r="H530" t="s">
        <v>965</v>
      </c>
      <c r="I530">
        <v>77099</v>
      </c>
      <c r="J530" t="s">
        <v>1968</v>
      </c>
      <c r="K530">
        <v>7134193997</v>
      </c>
      <c r="M530">
        <v>4100</v>
      </c>
      <c r="N530">
        <v>5000</v>
      </c>
      <c r="O530">
        <v>24</v>
      </c>
      <c r="P530">
        <v>81</v>
      </c>
      <c r="Q530">
        <v>29</v>
      </c>
    </row>
    <row r="531" spans="1:17" x14ac:dyDescent="0.3">
      <c r="A531">
        <v>127</v>
      </c>
      <c r="B531" t="s">
        <v>1935</v>
      </c>
      <c r="C531" t="s">
        <v>1707</v>
      </c>
      <c r="E531">
        <v>5211</v>
      </c>
      <c r="F531" t="s">
        <v>1249</v>
      </c>
      <c r="G531" t="s">
        <v>1250</v>
      </c>
      <c r="H531" t="s">
        <v>965</v>
      </c>
      <c r="I531">
        <v>77581</v>
      </c>
      <c r="J531" t="s">
        <v>1251</v>
      </c>
      <c r="K531">
        <v>8328766812</v>
      </c>
      <c r="M531">
        <v>500</v>
      </c>
      <c r="N531">
        <v>500</v>
      </c>
      <c r="O531">
        <v>1</v>
      </c>
      <c r="P531">
        <v>17</v>
      </c>
      <c r="Q531">
        <v>7</v>
      </c>
    </row>
    <row r="532" spans="1:17" x14ac:dyDescent="0.3">
      <c r="A532">
        <v>128</v>
      </c>
      <c r="B532" t="s">
        <v>1935</v>
      </c>
      <c r="C532" t="s">
        <v>1707</v>
      </c>
      <c r="E532">
        <v>5211</v>
      </c>
      <c r="F532" t="s">
        <v>1249</v>
      </c>
      <c r="G532" t="s">
        <v>1250</v>
      </c>
      <c r="H532" t="s">
        <v>965</v>
      </c>
      <c r="I532">
        <v>77581</v>
      </c>
      <c r="J532" t="s">
        <v>1251</v>
      </c>
      <c r="K532">
        <v>8328766812</v>
      </c>
      <c r="M532">
        <v>500</v>
      </c>
      <c r="N532">
        <v>500</v>
      </c>
      <c r="O532">
        <v>1</v>
      </c>
      <c r="P532">
        <v>11</v>
      </c>
      <c r="Q532">
        <v>6</v>
      </c>
    </row>
    <row r="533" spans="1:17" x14ac:dyDescent="0.3">
      <c r="A533">
        <v>129</v>
      </c>
      <c r="B533" t="s">
        <v>1969</v>
      </c>
      <c r="C533" t="s">
        <v>1707</v>
      </c>
      <c r="F533" t="s">
        <v>649</v>
      </c>
      <c r="M533">
        <v>0</v>
      </c>
      <c r="N533">
        <v>0</v>
      </c>
      <c r="O533">
        <v>0</v>
      </c>
      <c r="P533">
        <v>14</v>
      </c>
      <c r="Q533">
        <v>2</v>
      </c>
    </row>
    <row r="534" spans="1:17" x14ac:dyDescent="0.3">
      <c r="A534">
        <v>130</v>
      </c>
      <c r="B534" t="s">
        <v>1935</v>
      </c>
      <c r="C534" t="s">
        <v>1707</v>
      </c>
      <c r="F534" t="s">
        <v>649</v>
      </c>
      <c r="M534">
        <v>0</v>
      </c>
      <c r="N534">
        <v>0</v>
      </c>
      <c r="O534">
        <v>0</v>
      </c>
      <c r="P534">
        <v>16</v>
      </c>
      <c r="Q534">
        <v>5</v>
      </c>
    </row>
    <row r="535" spans="1:17" x14ac:dyDescent="0.3">
      <c r="A535">
        <v>131</v>
      </c>
      <c r="B535" t="s">
        <v>1970</v>
      </c>
      <c r="C535" t="s">
        <v>1707</v>
      </c>
      <c r="F535" t="s">
        <v>649</v>
      </c>
      <c r="M535">
        <v>0</v>
      </c>
      <c r="N535">
        <v>0</v>
      </c>
      <c r="O535">
        <v>0</v>
      </c>
      <c r="P535">
        <v>8</v>
      </c>
      <c r="Q535">
        <v>1</v>
      </c>
    </row>
    <row r="536" spans="1:17" x14ac:dyDescent="0.3">
      <c r="A536" t="s">
        <v>512</v>
      </c>
      <c r="B536" t="s">
        <v>1971</v>
      </c>
      <c r="C536" t="s">
        <v>1707</v>
      </c>
      <c r="E536">
        <v>5174</v>
      </c>
      <c r="F536" t="s">
        <v>644</v>
      </c>
      <c r="G536" t="s">
        <v>968</v>
      </c>
      <c r="H536" t="s">
        <v>965</v>
      </c>
      <c r="I536">
        <v>77477</v>
      </c>
      <c r="J536" t="s">
        <v>969</v>
      </c>
      <c r="K536" t="s">
        <v>970</v>
      </c>
      <c r="M536">
        <v>500</v>
      </c>
      <c r="N536">
        <v>10000</v>
      </c>
      <c r="O536">
        <v>1</v>
      </c>
      <c r="P536">
        <v>21</v>
      </c>
      <c r="Q536">
        <v>4</v>
      </c>
    </row>
    <row r="537" spans="1:17" x14ac:dyDescent="0.3">
      <c r="A537">
        <v>132</v>
      </c>
      <c r="B537" t="s">
        <v>1972</v>
      </c>
      <c r="C537" t="s">
        <v>1707</v>
      </c>
      <c r="E537">
        <v>5272</v>
      </c>
      <c r="F537" t="s">
        <v>1823</v>
      </c>
      <c r="G537" t="s">
        <v>1824</v>
      </c>
      <c r="H537" t="s">
        <v>965</v>
      </c>
      <c r="I537">
        <v>77021</v>
      </c>
      <c r="J537" t="s">
        <v>1825</v>
      </c>
      <c r="K537" t="s">
        <v>1826</v>
      </c>
      <c r="M537">
        <v>500</v>
      </c>
      <c r="N537">
        <v>500</v>
      </c>
      <c r="O537">
        <v>1</v>
      </c>
      <c r="P537">
        <v>10</v>
      </c>
      <c r="Q537">
        <v>3</v>
      </c>
    </row>
    <row r="538" spans="1:17" x14ac:dyDescent="0.3">
      <c r="A538">
        <v>133</v>
      </c>
      <c r="B538" t="s">
        <v>1104</v>
      </c>
      <c r="C538" t="s">
        <v>1707</v>
      </c>
      <c r="F538" t="s">
        <v>649</v>
      </c>
      <c r="M538">
        <v>0</v>
      </c>
      <c r="N538">
        <v>0</v>
      </c>
      <c r="O538">
        <v>0</v>
      </c>
      <c r="P538">
        <v>2</v>
      </c>
      <c r="Q538">
        <v>4</v>
      </c>
    </row>
    <row r="539" spans="1:17" x14ac:dyDescent="0.3">
      <c r="A539">
        <v>134</v>
      </c>
      <c r="B539" t="s">
        <v>728</v>
      </c>
      <c r="C539" t="s">
        <v>1707</v>
      </c>
      <c r="F539" t="s">
        <v>649</v>
      </c>
      <c r="M539">
        <v>0</v>
      </c>
      <c r="N539">
        <v>0</v>
      </c>
      <c r="O539">
        <v>0</v>
      </c>
      <c r="P539">
        <v>7</v>
      </c>
      <c r="Q539">
        <v>0</v>
      </c>
    </row>
    <row r="540" spans="1:17" x14ac:dyDescent="0.3">
      <c r="A540">
        <v>135</v>
      </c>
      <c r="B540" t="s">
        <v>1973</v>
      </c>
      <c r="C540" t="s">
        <v>1707</v>
      </c>
      <c r="F540" t="s">
        <v>649</v>
      </c>
      <c r="M540">
        <v>0</v>
      </c>
      <c r="N540">
        <v>0</v>
      </c>
      <c r="O540">
        <v>0</v>
      </c>
      <c r="P540">
        <v>17</v>
      </c>
      <c r="Q540">
        <v>3</v>
      </c>
    </row>
    <row r="541" spans="1:17" x14ac:dyDescent="0.3">
      <c r="A541">
        <v>136</v>
      </c>
      <c r="B541" t="s">
        <v>1104</v>
      </c>
      <c r="C541" t="s">
        <v>1707</v>
      </c>
      <c r="F541" t="s">
        <v>649</v>
      </c>
      <c r="M541">
        <v>0</v>
      </c>
      <c r="N541">
        <v>0</v>
      </c>
      <c r="O541">
        <v>0</v>
      </c>
      <c r="P541">
        <v>4</v>
      </c>
      <c r="Q541">
        <v>3</v>
      </c>
    </row>
    <row r="542" spans="1:17" x14ac:dyDescent="0.3">
      <c r="A542" t="s">
        <v>514</v>
      </c>
      <c r="B542" t="s">
        <v>1974</v>
      </c>
      <c r="C542" t="s">
        <v>1707</v>
      </c>
      <c r="E542">
        <v>5174</v>
      </c>
      <c r="F542" t="s">
        <v>644</v>
      </c>
      <c r="G542" t="s">
        <v>968</v>
      </c>
      <c r="H542" t="s">
        <v>965</v>
      </c>
      <c r="I542">
        <v>77477</v>
      </c>
      <c r="J542" t="s">
        <v>969</v>
      </c>
      <c r="K542" t="s">
        <v>970</v>
      </c>
      <c r="M542">
        <v>11500</v>
      </c>
      <c r="N542">
        <v>33000</v>
      </c>
      <c r="O542">
        <v>19</v>
      </c>
      <c r="P542">
        <v>116</v>
      </c>
      <c r="Q542">
        <v>29</v>
      </c>
    </row>
    <row r="543" spans="1:17" x14ac:dyDescent="0.3">
      <c r="A543">
        <v>137</v>
      </c>
      <c r="B543" t="s">
        <v>1104</v>
      </c>
      <c r="C543" t="s">
        <v>1707</v>
      </c>
      <c r="F543" t="s">
        <v>649</v>
      </c>
      <c r="M543">
        <v>0</v>
      </c>
      <c r="N543">
        <v>0</v>
      </c>
      <c r="O543">
        <v>0</v>
      </c>
      <c r="P543">
        <v>3</v>
      </c>
      <c r="Q543">
        <v>3</v>
      </c>
    </row>
    <row r="544" spans="1:17" x14ac:dyDescent="0.3">
      <c r="A544">
        <v>138</v>
      </c>
      <c r="B544" t="s">
        <v>1104</v>
      </c>
      <c r="C544" t="s">
        <v>1707</v>
      </c>
      <c r="F544" t="s">
        <v>649</v>
      </c>
      <c r="M544">
        <v>0</v>
      </c>
      <c r="N544">
        <v>0</v>
      </c>
      <c r="O544">
        <v>0</v>
      </c>
      <c r="P544">
        <v>2</v>
      </c>
      <c r="Q544">
        <v>3</v>
      </c>
    </row>
    <row r="545" spans="1:17" x14ac:dyDescent="0.3">
      <c r="A545">
        <v>139</v>
      </c>
      <c r="B545" t="s">
        <v>1975</v>
      </c>
      <c r="C545" t="s">
        <v>1707</v>
      </c>
      <c r="F545" t="s">
        <v>649</v>
      </c>
      <c r="M545">
        <v>0</v>
      </c>
      <c r="N545">
        <v>0</v>
      </c>
      <c r="O545">
        <v>0</v>
      </c>
      <c r="P545">
        <v>17</v>
      </c>
      <c r="Q545">
        <v>1</v>
      </c>
    </row>
    <row r="546" spans="1:17" x14ac:dyDescent="0.3">
      <c r="A546">
        <v>140</v>
      </c>
      <c r="B546" t="s">
        <v>730</v>
      </c>
      <c r="C546" t="s">
        <v>1707</v>
      </c>
      <c r="F546" t="s">
        <v>649</v>
      </c>
      <c r="M546">
        <v>0</v>
      </c>
      <c r="N546">
        <v>0</v>
      </c>
      <c r="O546">
        <v>0</v>
      </c>
      <c r="P546">
        <v>3</v>
      </c>
      <c r="Q546">
        <v>0</v>
      </c>
    </row>
    <row r="547" spans="1:17" x14ac:dyDescent="0.3">
      <c r="A547" t="s">
        <v>792</v>
      </c>
      <c r="B547" t="s">
        <v>1873</v>
      </c>
      <c r="C547" t="s">
        <v>1707</v>
      </c>
      <c r="E547">
        <v>5032</v>
      </c>
      <c r="F547" t="s">
        <v>1742</v>
      </c>
      <c r="G547" t="s">
        <v>1743</v>
      </c>
      <c r="H547" t="s">
        <v>965</v>
      </c>
      <c r="I547">
        <v>77536</v>
      </c>
      <c r="J547" t="s">
        <v>1744</v>
      </c>
      <c r="K547">
        <v>8325232186</v>
      </c>
      <c r="M547">
        <v>2000</v>
      </c>
      <c r="N547">
        <v>2000</v>
      </c>
      <c r="O547">
        <v>16</v>
      </c>
      <c r="P547">
        <v>44</v>
      </c>
      <c r="Q547">
        <v>16</v>
      </c>
    </row>
    <row r="548" spans="1:17" x14ac:dyDescent="0.3">
      <c r="A548">
        <v>141</v>
      </c>
      <c r="B548" t="s">
        <v>1972</v>
      </c>
      <c r="C548" t="s">
        <v>1707</v>
      </c>
      <c r="F548" t="s">
        <v>649</v>
      </c>
      <c r="M548">
        <v>0</v>
      </c>
      <c r="N548">
        <v>0</v>
      </c>
      <c r="O548">
        <v>0</v>
      </c>
      <c r="P548">
        <v>8</v>
      </c>
      <c r="Q548">
        <v>1</v>
      </c>
    </row>
    <row r="549" spans="1:17" x14ac:dyDescent="0.3">
      <c r="A549" t="s">
        <v>516</v>
      </c>
      <c r="B549" t="s">
        <v>502</v>
      </c>
      <c r="C549" t="s">
        <v>1707</v>
      </c>
      <c r="E549">
        <v>5174</v>
      </c>
      <c r="F549" t="s">
        <v>644</v>
      </c>
      <c r="G549" t="s">
        <v>968</v>
      </c>
      <c r="H549" t="s">
        <v>965</v>
      </c>
      <c r="I549">
        <v>77477</v>
      </c>
      <c r="J549" t="s">
        <v>969</v>
      </c>
      <c r="K549" t="s">
        <v>970</v>
      </c>
      <c r="M549">
        <v>2900</v>
      </c>
      <c r="N549">
        <v>3500</v>
      </c>
      <c r="O549">
        <v>9</v>
      </c>
      <c r="P549">
        <v>33</v>
      </c>
      <c r="Q549">
        <v>11</v>
      </c>
    </row>
    <row r="550" spans="1:17" x14ac:dyDescent="0.3">
      <c r="A550">
        <v>142</v>
      </c>
      <c r="B550" t="s">
        <v>1976</v>
      </c>
      <c r="C550" t="s">
        <v>1707</v>
      </c>
      <c r="E550">
        <v>5181</v>
      </c>
      <c r="F550" t="s">
        <v>1977</v>
      </c>
      <c r="G550" t="s">
        <v>1978</v>
      </c>
      <c r="H550" t="s">
        <v>965</v>
      </c>
      <c r="I550">
        <v>77471</v>
      </c>
      <c r="J550" t="s">
        <v>1979</v>
      </c>
      <c r="K550">
        <v>7134170275</v>
      </c>
      <c r="L550">
        <v>7134170275</v>
      </c>
      <c r="M550">
        <v>500</v>
      </c>
      <c r="N550">
        <v>525</v>
      </c>
      <c r="O550">
        <v>2</v>
      </c>
      <c r="P550">
        <v>17</v>
      </c>
      <c r="Q550">
        <v>4</v>
      </c>
    </row>
    <row r="551" spans="1:17" x14ac:dyDescent="0.3">
      <c r="A551">
        <v>143</v>
      </c>
      <c r="B551" t="s">
        <v>1980</v>
      </c>
      <c r="C551" t="s">
        <v>1707</v>
      </c>
      <c r="F551" t="s">
        <v>649</v>
      </c>
      <c r="M551">
        <v>0</v>
      </c>
      <c r="N551">
        <v>0</v>
      </c>
      <c r="O551">
        <v>0</v>
      </c>
      <c r="P551">
        <v>9</v>
      </c>
      <c r="Q551">
        <v>1</v>
      </c>
    </row>
    <row r="552" spans="1:17" x14ac:dyDescent="0.3">
      <c r="A552">
        <v>144</v>
      </c>
      <c r="B552" t="s">
        <v>1972</v>
      </c>
      <c r="C552" t="s">
        <v>1707</v>
      </c>
      <c r="F552" t="s">
        <v>649</v>
      </c>
      <c r="M552">
        <v>0</v>
      </c>
      <c r="N552">
        <v>0</v>
      </c>
      <c r="O552">
        <v>0</v>
      </c>
      <c r="P552">
        <v>5</v>
      </c>
      <c r="Q552">
        <v>1</v>
      </c>
    </row>
    <row r="553" spans="1:17" x14ac:dyDescent="0.3">
      <c r="A553">
        <v>145</v>
      </c>
      <c r="B553" t="s">
        <v>1972</v>
      </c>
      <c r="C553" t="s">
        <v>1707</v>
      </c>
      <c r="F553" t="s">
        <v>649</v>
      </c>
      <c r="M553">
        <v>0</v>
      </c>
      <c r="N553">
        <v>0</v>
      </c>
      <c r="O553">
        <v>0</v>
      </c>
      <c r="P553">
        <v>6</v>
      </c>
      <c r="Q553">
        <v>1</v>
      </c>
    </row>
    <row r="554" spans="1:17" x14ac:dyDescent="0.3">
      <c r="A554">
        <v>146</v>
      </c>
      <c r="B554" t="s">
        <v>1981</v>
      </c>
      <c r="C554" t="s">
        <v>1707</v>
      </c>
      <c r="F554" t="s">
        <v>649</v>
      </c>
      <c r="M554">
        <v>0</v>
      </c>
      <c r="N554">
        <v>0</v>
      </c>
      <c r="O554">
        <v>0</v>
      </c>
      <c r="P554">
        <v>24</v>
      </c>
      <c r="Q554">
        <v>5</v>
      </c>
    </row>
    <row r="555" spans="1:17" x14ac:dyDescent="0.3">
      <c r="A555" t="s">
        <v>519</v>
      </c>
      <c r="B555" t="s">
        <v>502</v>
      </c>
      <c r="C555" t="s">
        <v>1707</v>
      </c>
      <c r="E555">
        <v>5174</v>
      </c>
      <c r="F555" t="s">
        <v>644</v>
      </c>
      <c r="G555" t="s">
        <v>968</v>
      </c>
      <c r="H555" t="s">
        <v>965</v>
      </c>
      <c r="I555">
        <v>77477</v>
      </c>
      <c r="J555" t="s">
        <v>969</v>
      </c>
      <c r="K555" t="s">
        <v>970</v>
      </c>
      <c r="M555">
        <v>2900</v>
      </c>
      <c r="N555">
        <v>3500</v>
      </c>
      <c r="O555">
        <v>9</v>
      </c>
      <c r="P555">
        <v>20</v>
      </c>
      <c r="Q555">
        <v>11</v>
      </c>
    </row>
    <row r="556" spans="1:17" x14ac:dyDescent="0.3">
      <c r="A556">
        <v>147</v>
      </c>
      <c r="B556" t="s">
        <v>1981</v>
      </c>
      <c r="C556" t="s">
        <v>1707</v>
      </c>
      <c r="F556" t="s">
        <v>649</v>
      </c>
      <c r="M556">
        <v>0</v>
      </c>
      <c r="N556">
        <v>0</v>
      </c>
      <c r="O556">
        <v>0</v>
      </c>
      <c r="P556">
        <v>15</v>
      </c>
      <c r="Q556">
        <v>5</v>
      </c>
    </row>
    <row r="557" spans="1:17" x14ac:dyDescent="0.3">
      <c r="A557">
        <v>148</v>
      </c>
      <c r="B557" t="s">
        <v>1981</v>
      </c>
      <c r="C557" t="s">
        <v>1707</v>
      </c>
      <c r="F557" t="s">
        <v>649</v>
      </c>
      <c r="M557">
        <v>0</v>
      </c>
      <c r="N557">
        <v>0</v>
      </c>
      <c r="O557">
        <v>0</v>
      </c>
      <c r="P557">
        <v>12</v>
      </c>
      <c r="Q557">
        <v>6</v>
      </c>
    </row>
    <row r="558" spans="1:17" x14ac:dyDescent="0.3">
      <c r="A558">
        <v>149</v>
      </c>
      <c r="B558" t="s">
        <v>728</v>
      </c>
      <c r="C558" t="s">
        <v>1707</v>
      </c>
      <c r="F558" t="s">
        <v>649</v>
      </c>
      <c r="M558">
        <v>0</v>
      </c>
      <c r="N558">
        <v>0</v>
      </c>
      <c r="O558">
        <v>0</v>
      </c>
      <c r="P558">
        <v>5</v>
      </c>
      <c r="Q558">
        <v>0</v>
      </c>
    </row>
    <row r="559" spans="1:17" x14ac:dyDescent="0.3">
      <c r="A559">
        <v>150</v>
      </c>
      <c r="B559" t="s">
        <v>1982</v>
      </c>
      <c r="C559" t="s">
        <v>1707</v>
      </c>
      <c r="F559" t="s">
        <v>649</v>
      </c>
      <c r="M559">
        <v>0</v>
      </c>
      <c r="N559">
        <v>0</v>
      </c>
      <c r="O559">
        <v>0</v>
      </c>
      <c r="P559">
        <v>5</v>
      </c>
      <c r="Q559">
        <v>0</v>
      </c>
    </row>
    <row r="560" spans="1:17" x14ac:dyDescent="0.3">
      <c r="A560">
        <v>151</v>
      </c>
      <c r="B560" t="s">
        <v>729</v>
      </c>
      <c r="C560" t="s">
        <v>1707</v>
      </c>
      <c r="F560" t="s">
        <v>649</v>
      </c>
      <c r="M560">
        <v>0</v>
      </c>
      <c r="N560">
        <v>0</v>
      </c>
      <c r="O560">
        <v>0</v>
      </c>
      <c r="P560">
        <v>13</v>
      </c>
      <c r="Q560">
        <v>0</v>
      </c>
    </row>
    <row r="561" spans="1:17" x14ac:dyDescent="0.3">
      <c r="A561" t="s">
        <v>521</v>
      </c>
      <c r="B561" t="s">
        <v>1983</v>
      </c>
      <c r="C561" t="s">
        <v>1707</v>
      </c>
      <c r="E561">
        <v>5074</v>
      </c>
      <c r="F561" t="s">
        <v>1509</v>
      </c>
      <c r="G561" t="s">
        <v>1510</v>
      </c>
      <c r="H561" t="s">
        <v>965</v>
      </c>
      <c r="I561">
        <v>77539</v>
      </c>
      <c r="J561" t="s">
        <v>1511</v>
      </c>
      <c r="K561">
        <v>8325887532</v>
      </c>
      <c r="L561">
        <v>8325887532</v>
      </c>
      <c r="M561">
        <v>4500</v>
      </c>
      <c r="N561">
        <v>4500</v>
      </c>
      <c r="O561">
        <v>25</v>
      </c>
      <c r="P561">
        <v>37</v>
      </c>
      <c r="Q561">
        <v>15</v>
      </c>
    </row>
    <row r="562" spans="1:17" x14ac:dyDescent="0.3">
      <c r="A562">
        <v>152</v>
      </c>
      <c r="B562" t="s">
        <v>1984</v>
      </c>
      <c r="C562" t="s">
        <v>1707</v>
      </c>
      <c r="F562" t="s">
        <v>649</v>
      </c>
      <c r="M562">
        <v>0</v>
      </c>
      <c r="N562">
        <v>0</v>
      </c>
      <c r="O562">
        <v>0</v>
      </c>
      <c r="P562">
        <v>12</v>
      </c>
      <c r="Q562">
        <v>2</v>
      </c>
    </row>
    <row r="563" spans="1:17" x14ac:dyDescent="0.3">
      <c r="A563">
        <v>153</v>
      </c>
      <c r="B563" t="s">
        <v>1960</v>
      </c>
      <c r="C563" t="s">
        <v>1707</v>
      </c>
      <c r="E563">
        <v>5219</v>
      </c>
      <c r="F563" t="s">
        <v>1473</v>
      </c>
      <c r="G563" t="s">
        <v>1474</v>
      </c>
      <c r="H563" t="s">
        <v>965</v>
      </c>
      <c r="I563">
        <v>77581</v>
      </c>
      <c r="J563" t="s">
        <v>1475</v>
      </c>
      <c r="K563">
        <v>7134597338</v>
      </c>
      <c r="M563">
        <v>500</v>
      </c>
      <c r="N563">
        <v>500</v>
      </c>
      <c r="O563">
        <v>1</v>
      </c>
      <c r="P563">
        <v>17</v>
      </c>
      <c r="Q563">
        <v>2</v>
      </c>
    </row>
    <row r="564" spans="1:17" x14ac:dyDescent="0.3">
      <c r="A564">
        <v>154</v>
      </c>
      <c r="B564" t="s">
        <v>1985</v>
      </c>
      <c r="C564" t="s">
        <v>1707</v>
      </c>
      <c r="F564" t="s">
        <v>649</v>
      </c>
      <c r="M564">
        <v>0</v>
      </c>
      <c r="N564">
        <v>0</v>
      </c>
      <c r="O564">
        <v>0</v>
      </c>
      <c r="P564">
        <v>10</v>
      </c>
      <c r="Q564">
        <v>1</v>
      </c>
    </row>
    <row r="565" spans="1:17" x14ac:dyDescent="0.3">
      <c r="A565">
        <v>155</v>
      </c>
      <c r="B565" t="s">
        <v>1986</v>
      </c>
      <c r="C565" t="s">
        <v>1707</v>
      </c>
      <c r="E565">
        <v>5282</v>
      </c>
      <c r="F565" t="s">
        <v>1064</v>
      </c>
      <c r="G565" t="s">
        <v>1065</v>
      </c>
      <c r="H565" t="s">
        <v>965</v>
      </c>
      <c r="I565">
        <v>77437</v>
      </c>
      <c r="J565" t="s">
        <v>1066</v>
      </c>
      <c r="K565" t="s">
        <v>1067</v>
      </c>
      <c r="M565">
        <v>1050</v>
      </c>
      <c r="N565">
        <v>1050</v>
      </c>
      <c r="O565">
        <v>5</v>
      </c>
      <c r="P565">
        <v>31</v>
      </c>
      <c r="Q565">
        <v>14</v>
      </c>
    </row>
    <row r="566" spans="1:17" x14ac:dyDescent="0.3">
      <c r="A566">
        <v>156</v>
      </c>
      <c r="B566" t="s">
        <v>1956</v>
      </c>
      <c r="C566" t="s">
        <v>1707</v>
      </c>
      <c r="F566" t="s">
        <v>649</v>
      </c>
      <c r="M566">
        <v>0</v>
      </c>
      <c r="N566">
        <v>0</v>
      </c>
      <c r="O566">
        <v>0</v>
      </c>
      <c r="P566">
        <v>7</v>
      </c>
      <c r="Q566">
        <v>4</v>
      </c>
    </row>
    <row r="567" spans="1:17" x14ac:dyDescent="0.3">
      <c r="A567" t="s">
        <v>523</v>
      </c>
      <c r="B567" t="s">
        <v>1987</v>
      </c>
      <c r="C567" t="s">
        <v>1707</v>
      </c>
      <c r="E567">
        <v>5240</v>
      </c>
      <c r="F567" t="s">
        <v>1988</v>
      </c>
      <c r="G567" t="s">
        <v>1989</v>
      </c>
      <c r="H567" t="s">
        <v>965</v>
      </c>
      <c r="I567">
        <v>77547</v>
      </c>
      <c r="J567" t="s">
        <v>1990</v>
      </c>
      <c r="K567" t="s">
        <v>1991</v>
      </c>
      <c r="M567">
        <v>10000</v>
      </c>
      <c r="N567">
        <v>10000</v>
      </c>
      <c r="O567">
        <v>21</v>
      </c>
      <c r="P567">
        <v>30</v>
      </c>
      <c r="Q567">
        <v>19</v>
      </c>
    </row>
    <row r="568" spans="1:17" x14ac:dyDescent="0.3">
      <c r="A568">
        <v>157</v>
      </c>
      <c r="B568" t="s">
        <v>728</v>
      </c>
      <c r="C568" t="s">
        <v>1707</v>
      </c>
      <c r="F568" t="s">
        <v>649</v>
      </c>
      <c r="M568">
        <v>0</v>
      </c>
      <c r="N568">
        <v>0</v>
      </c>
      <c r="O568">
        <v>0</v>
      </c>
      <c r="P568">
        <v>5</v>
      </c>
      <c r="Q568">
        <v>0</v>
      </c>
    </row>
    <row r="569" spans="1:17" x14ac:dyDescent="0.3">
      <c r="A569">
        <v>158</v>
      </c>
      <c r="B569" t="s">
        <v>1973</v>
      </c>
      <c r="C569" t="s">
        <v>1707</v>
      </c>
      <c r="F569" t="s">
        <v>649</v>
      </c>
      <c r="M569">
        <v>0</v>
      </c>
      <c r="N569">
        <v>0</v>
      </c>
      <c r="O569">
        <v>0</v>
      </c>
      <c r="P569">
        <v>8</v>
      </c>
      <c r="Q569">
        <v>1</v>
      </c>
    </row>
    <row r="570" spans="1:17" x14ac:dyDescent="0.3">
      <c r="A570">
        <v>159</v>
      </c>
      <c r="B570" t="s">
        <v>1992</v>
      </c>
      <c r="C570" t="s">
        <v>1707</v>
      </c>
      <c r="F570" t="s">
        <v>649</v>
      </c>
      <c r="M570">
        <v>0</v>
      </c>
      <c r="N570">
        <v>0</v>
      </c>
      <c r="O570">
        <v>0</v>
      </c>
      <c r="P570">
        <v>11</v>
      </c>
      <c r="Q570">
        <v>2</v>
      </c>
    </row>
    <row r="571" spans="1:17" x14ac:dyDescent="0.3">
      <c r="A571">
        <v>160</v>
      </c>
      <c r="B571" t="s">
        <v>1993</v>
      </c>
      <c r="C571" t="s">
        <v>1707</v>
      </c>
      <c r="E571">
        <v>5041</v>
      </c>
      <c r="F571" t="s">
        <v>1331</v>
      </c>
      <c r="G571" t="s">
        <v>1332</v>
      </c>
      <c r="H571" t="s">
        <v>965</v>
      </c>
      <c r="I571">
        <v>77479</v>
      </c>
      <c r="J571" t="s">
        <v>1333</v>
      </c>
      <c r="K571">
        <v>7137251858</v>
      </c>
      <c r="M571">
        <v>2600</v>
      </c>
      <c r="N571">
        <v>2600</v>
      </c>
      <c r="O571">
        <v>21</v>
      </c>
      <c r="P571">
        <v>48</v>
      </c>
      <c r="Q571">
        <v>22</v>
      </c>
    </row>
    <row r="572" spans="1:17" x14ac:dyDescent="0.3">
      <c r="A572">
        <v>161</v>
      </c>
      <c r="B572" t="s">
        <v>1994</v>
      </c>
      <c r="C572" t="s">
        <v>1707</v>
      </c>
      <c r="F572" t="s">
        <v>649</v>
      </c>
      <c r="M572">
        <v>0</v>
      </c>
      <c r="N572">
        <v>0</v>
      </c>
      <c r="O572">
        <v>0</v>
      </c>
      <c r="P572">
        <v>14</v>
      </c>
      <c r="Q572">
        <v>4</v>
      </c>
    </row>
    <row r="573" spans="1:17" x14ac:dyDescent="0.3">
      <c r="A573" t="s">
        <v>1375</v>
      </c>
      <c r="B573" t="s">
        <v>1995</v>
      </c>
      <c r="C573" t="s">
        <v>1707</v>
      </c>
      <c r="E573">
        <v>5174</v>
      </c>
      <c r="F573" t="s">
        <v>644</v>
      </c>
      <c r="G573" t="s">
        <v>968</v>
      </c>
      <c r="H573" t="s">
        <v>965</v>
      </c>
      <c r="I573">
        <v>77477</v>
      </c>
      <c r="J573" t="s">
        <v>969</v>
      </c>
      <c r="K573" t="s">
        <v>970</v>
      </c>
      <c r="M573">
        <v>2900</v>
      </c>
      <c r="N573">
        <v>3500</v>
      </c>
      <c r="O573">
        <v>17</v>
      </c>
      <c r="P573">
        <v>32</v>
      </c>
      <c r="Q573">
        <v>12</v>
      </c>
    </row>
    <row r="574" spans="1:17" x14ac:dyDescent="0.3">
      <c r="A574">
        <v>162</v>
      </c>
      <c r="B574" t="s">
        <v>1996</v>
      </c>
      <c r="C574" t="s">
        <v>1707</v>
      </c>
      <c r="F574" t="s">
        <v>649</v>
      </c>
      <c r="M574">
        <v>0</v>
      </c>
      <c r="N574">
        <v>0</v>
      </c>
      <c r="O574">
        <v>0</v>
      </c>
      <c r="P574">
        <v>9</v>
      </c>
      <c r="Q574">
        <v>0</v>
      </c>
    </row>
    <row r="575" spans="1:17" x14ac:dyDescent="0.3">
      <c r="A575" t="s">
        <v>368</v>
      </c>
      <c r="B575" t="s">
        <v>1997</v>
      </c>
      <c r="C575" t="s">
        <v>1707</v>
      </c>
      <c r="E575">
        <v>5291</v>
      </c>
      <c r="F575" t="s">
        <v>1998</v>
      </c>
      <c r="G575" t="s">
        <v>1999</v>
      </c>
      <c r="H575" t="s">
        <v>965</v>
      </c>
      <c r="I575">
        <v>77040</v>
      </c>
      <c r="J575" t="s">
        <v>2000</v>
      </c>
      <c r="K575">
        <v>8322151812</v>
      </c>
      <c r="M575">
        <v>725</v>
      </c>
      <c r="N575">
        <v>725</v>
      </c>
      <c r="O575">
        <v>10</v>
      </c>
      <c r="P575">
        <v>32</v>
      </c>
      <c r="Q575">
        <v>8</v>
      </c>
    </row>
    <row r="576" spans="1:17" x14ac:dyDescent="0.3">
      <c r="A576">
        <v>163</v>
      </c>
      <c r="B576" t="s">
        <v>2001</v>
      </c>
      <c r="C576" t="s">
        <v>1707</v>
      </c>
      <c r="E576">
        <v>5069</v>
      </c>
      <c r="F576" t="s">
        <v>1310</v>
      </c>
      <c r="G576" t="s">
        <v>1311</v>
      </c>
      <c r="H576" t="s">
        <v>965</v>
      </c>
      <c r="I576">
        <v>77469</v>
      </c>
      <c r="J576" t="s">
        <v>1312</v>
      </c>
      <c r="K576">
        <v>3466402132</v>
      </c>
      <c r="M576">
        <v>3100</v>
      </c>
      <c r="N576">
        <v>4000</v>
      </c>
      <c r="O576">
        <v>27</v>
      </c>
      <c r="P576">
        <v>61</v>
      </c>
      <c r="Q576">
        <v>23</v>
      </c>
    </row>
    <row r="577" spans="1:17" x14ac:dyDescent="0.3">
      <c r="A577">
        <v>164</v>
      </c>
      <c r="B577" t="s">
        <v>2002</v>
      </c>
      <c r="C577" t="s">
        <v>1707</v>
      </c>
      <c r="E577">
        <v>5053</v>
      </c>
      <c r="F577" t="s">
        <v>2003</v>
      </c>
      <c r="G577" t="s">
        <v>2004</v>
      </c>
      <c r="H577" t="s">
        <v>965</v>
      </c>
      <c r="I577">
        <v>77077</v>
      </c>
      <c r="J577" t="s">
        <v>2005</v>
      </c>
      <c r="K577">
        <v>7135981295</v>
      </c>
      <c r="M577">
        <v>500</v>
      </c>
      <c r="N577">
        <v>500</v>
      </c>
      <c r="O577">
        <v>1</v>
      </c>
      <c r="P577">
        <v>11</v>
      </c>
      <c r="Q577">
        <v>4</v>
      </c>
    </row>
    <row r="578" spans="1:17" x14ac:dyDescent="0.3">
      <c r="A578">
        <v>165</v>
      </c>
      <c r="B578" t="s">
        <v>719</v>
      </c>
      <c r="C578" t="s">
        <v>1707</v>
      </c>
      <c r="E578">
        <v>5261</v>
      </c>
      <c r="F578" t="s">
        <v>1037</v>
      </c>
      <c r="G578" t="s">
        <v>1038</v>
      </c>
      <c r="H578" t="s">
        <v>965</v>
      </c>
      <c r="I578">
        <v>77584</v>
      </c>
      <c r="J578" t="s">
        <v>1039</v>
      </c>
      <c r="K578" t="s">
        <v>1040</v>
      </c>
      <c r="M578">
        <v>500</v>
      </c>
      <c r="N578">
        <v>500</v>
      </c>
      <c r="O578">
        <v>1</v>
      </c>
      <c r="P578">
        <v>7</v>
      </c>
      <c r="Q578">
        <v>6</v>
      </c>
    </row>
    <row r="579" spans="1:17" x14ac:dyDescent="0.3">
      <c r="A579">
        <v>166</v>
      </c>
      <c r="B579" t="s">
        <v>2002</v>
      </c>
      <c r="C579" t="s">
        <v>1707</v>
      </c>
      <c r="F579" t="s">
        <v>649</v>
      </c>
      <c r="M579">
        <v>0</v>
      </c>
      <c r="N579">
        <v>0</v>
      </c>
      <c r="O579">
        <v>0</v>
      </c>
      <c r="P579">
        <v>6</v>
      </c>
      <c r="Q579">
        <v>4</v>
      </c>
    </row>
    <row r="580" spans="1:17" x14ac:dyDescent="0.3">
      <c r="A580" t="s">
        <v>525</v>
      </c>
      <c r="B580" t="s">
        <v>2006</v>
      </c>
      <c r="C580" t="s">
        <v>1707</v>
      </c>
      <c r="E580">
        <v>5222</v>
      </c>
      <c r="F580" t="s">
        <v>1395</v>
      </c>
      <c r="G580" t="s">
        <v>1396</v>
      </c>
      <c r="H580" t="s">
        <v>965</v>
      </c>
      <c r="I580">
        <v>77047</v>
      </c>
      <c r="J580" t="s">
        <v>1397</v>
      </c>
      <c r="K580">
        <v>7133208400</v>
      </c>
      <c r="M580">
        <v>500</v>
      </c>
      <c r="N580">
        <v>525</v>
      </c>
      <c r="O580">
        <v>1</v>
      </c>
      <c r="P580">
        <v>19</v>
      </c>
      <c r="Q580">
        <v>3</v>
      </c>
    </row>
    <row r="581" spans="1:17" x14ac:dyDescent="0.3">
      <c r="A581">
        <v>167</v>
      </c>
      <c r="B581" t="s">
        <v>719</v>
      </c>
      <c r="C581" t="s">
        <v>1707</v>
      </c>
      <c r="E581">
        <v>5261</v>
      </c>
      <c r="F581" t="s">
        <v>1037</v>
      </c>
      <c r="G581" t="s">
        <v>1038</v>
      </c>
      <c r="H581" t="s">
        <v>965</v>
      </c>
      <c r="I581">
        <v>77584</v>
      </c>
      <c r="J581" t="s">
        <v>1039</v>
      </c>
      <c r="K581" t="s">
        <v>1040</v>
      </c>
      <c r="M581">
        <v>500</v>
      </c>
      <c r="N581">
        <v>500</v>
      </c>
      <c r="O581">
        <v>1</v>
      </c>
      <c r="P581">
        <v>12</v>
      </c>
      <c r="Q581">
        <v>4</v>
      </c>
    </row>
    <row r="582" spans="1:17" x14ac:dyDescent="0.3">
      <c r="A582">
        <v>168</v>
      </c>
      <c r="B582" t="s">
        <v>728</v>
      </c>
      <c r="C582" t="s">
        <v>1707</v>
      </c>
      <c r="F582" t="s">
        <v>649</v>
      </c>
      <c r="M582">
        <v>0</v>
      </c>
      <c r="N582">
        <v>0</v>
      </c>
      <c r="O582">
        <v>0</v>
      </c>
      <c r="P582">
        <v>3</v>
      </c>
      <c r="Q582">
        <v>0</v>
      </c>
    </row>
    <row r="583" spans="1:17" x14ac:dyDescent="0.3">
      <c r="A583">
        <v>169</v>
      </c>
      <c r="B583" t="s">
        <v>2002</v>
      </c>
      <c r="C583" t="s">
        <v>1707</v>
      </c>
      <c r="F583" t="s">
        <v>649</v>
      </c>
      <c r="M583">
        <v>0</v>
      </c>
      <c r="N583">
        <v>0</v>
      </c>
      <c r="O583">
        <v>0</v>
      </c>
      <c r="P583">
        <v>2</v>
      </c>
      <c r="Q583">
        <v>3</v>
      </c>
    </row>
    <row r="584" spans="1:17" x14ac:dyDescent="0.3">
      <c r="A584">
        <v>170</v>
      </c>
      <c r="B584" t="s">
        <v>1972</v>
      </c>
      <c r="C584" t="s">
        <v>1707</v>
      </c>
      <c r="F584" t="s">
        <v>649</v>
      </c>
      <c r="M584">
        <v>0</v>
      </c>
      <c r="N584">
        <v>0</v>
      </c>
      <c r="O584">
        <v>0</v>
      </c>
      <c r="P584">
        <v>2</v>
      </c>
      <c r="Q584">
        <v>1</v>
      </c>
    </row>
    <row r="585" spans="1:17" x14ac:dyDescent="0.3">
      <c r="A585">
        <v>171</v>
      </c>
      <c r="B585" t="s">
        <v>2007</v>
      </c>
      <c r="C585" t="s">
        <v>1707</v>
      </c>
      <c r="F585" t="s">
        <v>649</v>
      </c>
      <c r="M585">
        <v>0</v>
      </c>
      <c r="N585">
        <v>0</v>
      </c>
      <c r="O585">
        <v>0</v>
      </c>
      <c r="P585">
        <v>1</v>
      </c>
      <c r="Q585">
        <v>0</v>
      </c>
    </row>
    <row r="586" spans="1:17" x14ac:dyDescent="0.3">
      <c r="A586" t="s">
        <v>485</v>
      </c>
      <c r="B586" t="s">
        <v>2008</v>
      </c>
      <c r="C586" t="s">
        <v>1707</v>
      </c>
      <c r="E586">
        <v>5232</v>
      </c>
      <c r="F586" t="s">
        <v>1790</v>
      </c>
      <c r="G586" t="s">
        <v>1791</v>
      </c>
      <c r="H586" t="s">
        <v>965</v>
      </c>
      <c r="I586">
        <v>77478</v>
      </c>
      <c r="J586" t="s">
        <v>1792</v>
      </c>
      <c r="K586" t="s">
        <v>1793</v>
      </c>
      <c r="M586">
        <v>24500</v>
      </c>
      <c r="N586">
        <v>24500</v>
      </c>
      <c r="O586">
        <v>13</v>
      </c>
      <c r="P586">
        <v>43</v>
      </c>
      <c r="Q586">
        <v>21</v>
      </c>
    </row>
    <row r="587" spans="1:17" x14ac:dyDescent="0.3">
      <c r="A587">
        <v>172</v>
      </c>
      <c r="B587" t="s">
        <v>727</v>
      </c>
      <c r="C587" t="s">
        <v>1707</v>
      </c>
      <c r="F587" t="s">
        <v>649</v>
      </c>
      <c r="M587">
        <v>0</v>
      </c>
      <c r="N587">
        <v>0</v>
      </c>
      <c r="O587">
        <v>0</v>
      </c>
      <c r="P587">
        <v>10</v>
      </c>
      <c r="Q587">
        <v>0</v>
      </c>
    </row>
    <row r="588" spans="1:17" x14ac:dyDescent="0.3">
      <c r="A588">
        <v>173</v>
      </c>
      <c r="B588" t="s">
        <v>2009</v>
      </c>
      <c r="C588" t="s">
        <v>1707</v>
      </c>
      <c r="E588">
        <v>5143</v>
      </c>
      <c r="F588" t="s">
        <v>1050</v>
      </c>
      <c r="G588" t="s">
        <v>1051</v>
      </c>
      <c r="H588" t="s">
        <v>965</v>
      </c>
      <c r="I588">
        <v>77009</v>
      </c>
      <c r="J588" t="s">
        <v>1052</v>
      </c>
      <c r="K588" t="s">
        <v>1053</v>
      </c>
      <c r="M588">
        <v>9200</v>
      </c>
      <c r="N588">
        <v>9200</v>
      </c>
      <c r="O588">
        <v>41</v>
      </c>
      <c r="P588">
        <v>142</v>
      </c>
      <c r="Q588">
        <v>50</v>
      </c>
    </row>
    <row r="589" spans="1:17" x14ac:dyDescent="0.3">
      <c r="A589">
        <v>174</v>
      </c>
      <c r="B589" t="s">
        <v>2010</v>
      </c>
      <c r="C589" t="s">
        <v>1707</v>
      </c>
      <c r="E589">
        <v>5264</v>
      </c>
      <c r="F589" t="s">
        <v>1920</v>
      </c>
      <c r="G589" t="s">
        <v>1921</v>
      </c>
      <c r="H589" t="s">
        <v>965</v>
      </c>
      <c r="I589">
        <v>77085</v>
      </c>
      <c r="J589" t="s">
        <v>1922</v>
      </c>
      <c r="K589">
        <v>2816827974</v>
      </c>
      <c r="M589">
        <v>500</v>
      </c>
      <c r="N589">
        <v>500</v>
      </c>
      <c r="O589">
        <v>1</v>
      </c>
      <c r="P589">
        <v>20</v>
      </c>
      <c r="Q589">
        <v>8</v>
      </c>
    </row>
    <row r="590" spans="1:17" x14ac:dyDescent="0.3">
      <c r="A590">
        <v>175</v>
      </c>
      <c r="B590" t="s">
        <v>726</v>
      </c>
      <c r="C590" t="s">
        <v>1707</v>
      </c>
      <c r="F590" t="s">
        <v>649</v>
      </c>
      <c r="M590">
        <v>0</v>
      </c>
      <c r="N590">
        <v>0</v>
      </c>
      <c r="O590">
        <v>0</v>
      </c>
      <c r="P590">
        <v>12</v>
      </c>
      <c r="Q590">
        <v>4</v>
      </c>
    </row>
    <row r="591" spans="1:17" x14ac:dyDescent="0.3">
      <c r="A591">
        <v>176</v>
      </c>
      <c r="B591" t="s">
        <v>2011</v>
      </c>
      <c r="C591" t="s">
        <v>1707</v>
      </c>
      <c r="F591" t="s">
        <v>649</v>
      </c>
      <c r="M591">
        <v>0</v>
      </c>
      <c r="N591">
        <v>0</v>
      </c>
      <c r="O591">
        <v>0</v>
      </c>
      <c r="P591">
        <v>9</v>
      </c>
      <c r="Q591">
        <v>0</v>
      </c>
    </row>
    <row r="592" spans="1:17" x14ac:dyDescent="0.3">
      <c r="A592" t="s">
        <v>527</v>
      </c>
      <c r="B592" t="s">
        <v>378</v>
      </c>
      <c r="C592" t="s">
        <v>1707</v>
      </c>
      <c r="E592">
        <v>5174</v>
      </c>
      <c r="F592" t="s">
        <v>644</v>
      </c>
      <c r="G592" t="s">
        <v>968</v>
      </c>
      <c r="H592" t="s">
        <v>965</v>
      </c>
      <c r="I592">
        <v>77477</v>
      </c>
      <c r="J592" t="s">
        <v>969</v>
      </c>
      <c r="K592" t="s">
        <v>970</v>
      </c>
      <c r="M592">
        <v>25500</v>
      </c>
      <c r="N592">
        <v>60000</v>
      </c>
      <c r="O592">
        <v>14</v>
      </c>
      <c r="P592">
        <v>105</v>
      </c>
      <c r="Q592">
        <v>40</v>
      </c>
    </row>
    <row r="593" spans="1:17" x14ac:dyDescent="0.3">
      <c r="A593">
        <v>177</v>
      </c>
      <c r="B593" t="s">
        <v>725</v>
      </c>
      <c r="C593" t="s">
        <v>1707</v>
      </c>
      <c r="F593" t="s">
        <v>649</v>
      </c>
      <c r="M593">
        <v>0</v>
      </c>
      <c r="N593">
        <v>0</v>
      </c>
      <c r="O593">
        <v>0</v>
      </c>
      <c r="P593">
        <v>15</v>
      </c>
      <c r="Q593">
        <v>5</v>
      </c>
    </row>
    <row r="594" spans="1:17" x14ac:dyDescent="0.3">
      <c r="A594">
        <v>178</v>
      </c>
      <c r="B594" t="s">
        <v>2012</v>
      </c>
      <c r="C594" t="s">
        <v>1707</v>
      </c>
      <c r="E594">
        <v>5266</v>
      </c>
      <c r="F594" t="s">
        <v>1770</v>
      </c>
      <c r="G594" t="s">
        <v>1771</v>
      </c>
      <c r="H594" t="s">
        <v>965</v>
      </c>
      <c r="I594">
        <v>77514</v>
      </c>
      <c r="J594" t="s">
        <v>1772</v>
      </c>
      <c r="K594">
        <v>7132532625</v>
      </c>
      <c r="M594">
        <v>2600</v>
      </c>
      <c r="N594">
        <v>2600</v>
      </c>
      <c r="O594">
        <v>26</v>
      </c>
      <c r="P594">
        <v>38</v>
      </c>
      <c r="Q594">
        <v>18</v>
      </c>
    </row>
    <row r="595" spans="1:17" x14ac:dyDescent="0.3">
      <c r="A595">
        <v>179</v>
      </c>
      <c r="B595" t="s">
        <v>2013</v>
      </c>
      <c r="C595" t="s">
        <v>1707</v>
      </c>
      <c r="F595" t="s">
        <v>649</v>
      </c>
      <c r="M595">
        <v>0</v>
      </c>
      <c r="N595">
        <v>0</v>
      </c>
      <c r="O595">
        <v>0</v>
      </c>
      <c r="P595">
        <v>15</v>
      </c>
      <c r="Q595">
        <v>3</v>
      </c>
    </row>
    <row r="596" spans="1:17" x14ac:dyDescent="0.3">
      <c r="A596">
        <v>180</v>
      </c>
      <c r="B596" t="s">
        <v>1972</v>
      </c>
      <c r="C596" t="s">
        <v>1707</v>
      </c>
      <c r="E596">
        <v>5255</v>
      </c>
      <c r="F596" t="s">
        <v>1514</v>
      </c>
      <c r="G596" t="s">
        <v>1515</v>
      </c>
      <c r="H596" t="s">
        <v>965</v>
      </c>
      <c r="I596">
        <v>77306</v>
      </c>
      <c r="J596" t="s">
        <v>1516</v>
      </c>
      <c r="K596">
        <v>2817040191</v>
      </c>
      <c r="M596">
        <v>500</v>
      </c>
      <c r="N596">
        <v>500</v>
      </c>
      <c r="O596">
        <v>1</v>
      </c>
      <c r="P596">
        <v>6</v>
      </c>
      <c r="Q596">
        <v>3</v>
      </c>
    </row>
    <row r="597" spans="1:17" x14ac:dyDescent="0.3">
      <c r="A597">
        <v>181</v>
      </c>
      <c r="B597" t="s">
        <v>1972</v>
      </c>
      <c r="C597" t="s">
        <v>1707</v>
      </c>
      <c r="F597" t="s">
        <v>649</v>
      </c>
      <c r="M597">
        <v>0</v>
      </c>
      <c r="N597">
        <v>0</v>
      </c>
      <c r="O597">
        <v>0</v>
      </c>
      <c r="P597">
        <v>5</v>
      </c>
      <c r="Q597">
        <v>2</v>
      </c>
    </row>
    <row r="598" spans="1:17" x14ac:dyDescent="0.3">
      <c r="A598" t="s">
        <v>529</v>
      </c>
      <c r="B598" t="s">
        <v>599</v>
      </c>
      <c r="C598" t="s">
        <v>1707</v>
      </c>
      <c r="E598">
        <v>5174</v>
      </c>
      <c r="F598" t="s">
        <v>644</v>
      </c>
      <c r="G598" t="s">
        <v>968</v>
      </c>
      <c r="H598" t="s">
        <v>965</v>
      </c>
      <c r="I598">
        <v>77477</v>
      </c>
      <c r="J598" t="s">
        <v>969</v>
      </c>
      <c r="K598" t="s">
        <v>970</v>
      </c>
      <c r="M598">
        <v>3600</v>
      </c>
      <c r="N598">
        <v>17000</v>
      </c>
      <c r="O598">
        <v>16</v>
      </c>
      <c r="P598">
        <v>51</v>
      </c>
      <c r="Q598">
        <v>24</v>
      </c>
    </row>
    <row r="599" spans="1:17" x14ac:dyDescent="0.3">
      <c r="A599">
        <v>182</v>
      </c>
      <c r="B599" t="s">
        <v>2014</v>
      </c>
      <c r="C599" t="s">
        <v>1707</v>
      </c>
      <c r="F599" t="s">
        <v>649</v>
      </c>
      <c r="M599">
        <v>0</v>
      </c>
      <c r="N599">
        <v>0</v>
      </c>
      <c r="O599">
        <v>0</v>
      </c>
      <c r="P599">
        <v>18</v>
      </c>
      <c r="Q599">
        <v>8</v>
      </c>
    </row>
    <row r="600" spans="1:17" x14ac:dyDescent="0.3">
      <c r="A600">
        <v>183</v>
      </c>
      <c r="B600" t="s">
        <v>2015</v>
      </c>
      <c r="C600" t="s">
        <v>1707</v>
      </c>
      <c r="E600">
        <v>5187</v>
      </c>
      <c r="F600" t="s">
        <v>2016</v>
      </c>
      <c r="G600" t="s">
        <v>2017</v>
      </c>
      <c r="H600" t="s">
        <v>965</v>
      </c>
      <c r="I600">
        <v>77583</v>
      </c>
      <c r="J600" t="s">
        <v>2018</v>
      </c>
      <c r="K600">
        <v>8323610049</v>
      </c>
      <c r="M600">
        <v>1000</v>
      </c>
      <c r="N600">
        <v>1000</v>
      </c>
      <c r="O600">
        <v>11</v>
      </c>
      <c r="P600">
        <v>38</v>
      </c>
      <c r="Q600">
        <v>18</v>
      </c>
    </row>
    <row r="601" spans="1:17" x14ac:dyDescent="0.3">
      <c r="A601">
        <v>184</v>
      </c>
      <c r="B601" t="s">
        <v>2019</v>
      </c>
      <c r="C601" t="s">
        <v>1707</v>
      </c>
      <c r="F601" t="s">
        <v>649</v>
      </c>
      <c r="M601">
        <v>0</v>
      </c>
      <c r="N601">
        <v>0</v>
      </c>
      <c r="O601">
        <v>0</v>
      </c>
      <c r="P601">
        <v>19</v>
      </c>
      <c r="Q601">
        <v>2</v>
      </c>
    </row>
    <row r="602" spans="1:17" x14ac:dyDescent="0.3">
      <c r="A602">
        <v>185</v>
      </c>
      <c r="B602" t="s">
        <v>2020</v>
      </c>
      <c r="C602" t="s">
        <v>1707</v>
      </c>
      <c r="F602" t="s">
        <v>649</v>
      </c>
      <c r="M602">
        <v>0</v>
      </c>
      <c r="N602">
        <v>0</v>
      </c>
      <c r="O602">
        <v>0</v>
      </c>
      <c r="P602">
        <v>19</v>
      </c>
      <c r="Q602">
        <v>1</v>
      </c>
    </row>
    <row r="603" spans="1:17" x14ac:dyDescent="0.3">
      <c r="A603">
        <v>186</v>
      </c>
      <c r="B603" t="s">
        <v>724</v>
      </c>
      <c r="C603" t="s">
        <v>1707</v>
      </c>
      <c r="F603" t="s">
        <v>649</v>
      </c>
      <c r="M603">
        <v>0</v>
      </c>
      <c r="N603">
        <v>0</v>
      </c>
      <c r="O603">
        <v>0</v>
      </c>
      <c r="P603">
        <v>9</v>
      </c>
      <c r="Q603">
        <v>4</v>
      </c>
    </row>
    <row r="604" spans="1:17" x14ac:dyDescent="0.3">
      <c r="A604" t="s">
        <v>501</v>
      </c>
      <c r="B604" t="s">
        <v>2021</v>
      </c>
      <c r="C604" t="s">
        <v>1707</v>
      </c>
      <c r="E604">
        <v>5174</v>
      </c>
      <c r="F604" t="s">
        <v>644</v>
      </c>
      <c r="G604" t="s">
        <v>968</v>
      </c>
      <c r="H604" t="s">
        <v>965</v>
      </c>
      <c r="I604">
        <v>77477</v>
      </c>
      <c r="J604" t="s">
        <v>969</v>
      </c>
      <c r="K604" t="s">
        <v>970</v>
      </c>
      <c r="M604">
        <v>12000</v>
      </c>
      <c r="N604">
        <v>23000</v>
      </c>
      <c r="O604">
        <v>9</v>
      </c>
      <c r="P604">
        <v>129</v>
      </c>
      <c r="Q604">
        <v>49</v>
      </c>
    </row>
    <row r="605" spans="1:17" x14ac:dyDescent="0.3">
      <c r="A605">
        <v>187</v>
      </c>
      <c r="B605" t="s">
        <v>739</v>
      </c>
      <c r="C605" t="s">
        <v>1707</v>
      </c>
      <c r="E605">
        <v>5153</v>
      </c>
      <c r="F605" t="s">
        <v>2022</v>
      </c>
      <c r="G605" t="s">
        <v>2023</v>
      </c>
      <c r="H605" t="s">
        <v>965</v>
      </c>
      <c r="I605">
        <v>77095</v>
      </c>
      <c r="J605" t="s">
        <v>2024</v>
      </c>
      <c r="K605">
        <v>17133056024</v>
      </c>
      <c r="M605">
        <v>3000</v>
      </c>
      <c r="N605">
        <v>3000</v>
      </c>
      <c r="O605">
        <v>15</v>
      </c>
      <c r="P605">
        <v>45</v>
      </c>
      <c r="Q605">
        <v>34</v>
      </c>
    </row>
    <row r="606" spans="1:17" x14ac:dyDescent="0.3">
      <c r="A606">
        <v>188</v>
      </c>
      <c r="B606" t="s">
        <v>2025</v>
      </c>
      <c r="C606" t="s">
        <v>1707</v>
      </c>
      <c r="F606" t="s">
        <v>649</v>
      </c>
      <c r="M606">
        <v>0</v>
      </c>
      <c r="N606">
        <v>0</v>
      </c>
      <c r="O606">
        <v>0</v>
      </c>
      <c r="P606">
        <v>6</v>
      </c>
      <c r="Q606">
        <v>4</v>
      </c>
    </row>
    <row r="607" spans="1:17" x14ac:dyDescent="0.3">
      <c r="A607">
        <v>189</v>
      </c>
      <c r="B607" t="s">
        <v>2026</v>
      </c>
      <c r="C607" t="s">
        <v>1707</v>
      </c>
      <c r="E607">
        <v>5181</v>
      </c>
      <c r="F607" t="s">
        <v>1977</v>
      </c>
      <c r="G607" t="s">
        <v>1978</v>
      </c>
      <c r="H607" t="s">
        <v>965</v>
      </c>
      <c r="I607">
        <v>77471</v>
      </c>
      <c r="J607" t="s">
        <v>1979</v>
      </c>
      <c r="K607">
        <v>7134170275</v>
      </c>
      <c r="L607">
        <v>7134170275</v>
      </c>
      <c r="M607">
        <v>4800</v>
      </c>
      <c r="N607">
        <v>4800</v>
      </c>
      <c r="O607">
        <v>24</v>
      </c>
      <c r="P607">
        <v>70</v>
      </c>
      <c r="Q607">
        <v>12</v>
      </c>
    </row>
    <row r="608" spans="1:17" x14ac:dyDescent="0.3">
      <c r="A608">
        <v>190</v>
      </c>
      <c r="B608" t="s">
        <v>2027</v>
      </c>
      <c r="C608" t="s">
        <v>1707</v>
      </c>
      <c r="F608" t="s">
        <v>649</v>
      </c>
      <c r="M608">
        <v>0</v>
      </c>
      <c r="N608">
        <v>0</v>
      </c>
      <c r="O608">
        <v>0</v>
      </c>
      <c r="P608">
        <v>10</v>
      </c>
      <c r="Q608">
        <v>2</v>
      </c>
    </row>
    <row r="609" spans="1:17" x14ac:dyDescent="0.3">
      <c r="A609">
        <v>191</v>
      </c>
      <c r="B609" t="s">
        <v>2028</v>
      </c>
      <c r="C609" t="s">
        <v>1707</v>
      </c>
      <c r="E609">
        <v>5089</v>
      </c>
      <c r="F609" t="s">
        <v>1738</v>
      </c>
      <c r="G609" t="s">
        <v>1739</v>
      </c>
      <c r="H609" t="s">
        <v>965</v>
      </c>
      <c r="I609">
        <v>77583</v>
      </c>
      <c r="J609" t="s">
        <v>1740</v>
      </c>
      <c r="K609">
        <v>2253355942</v>
      </c>
      <c r="M609">
        <v>10500</v>
      </c>
      <c r="N609">
        <v>10500</v>
      </c>
      <c r="O609">
        <v>25</v>
      </c>
      <c r="P609">
        <v>107</v>
      </c>
      <c r="Q609">
        <v>47</v>
      </c>
    </row>
    <row r="610" spans="1:17" x14ac:dyDescent="0.3">
      <c r="A610" t="s">
        <v>531</v>
      </c>
      <c r="B610" t="s">
        <v>2029</v>
      </c>
      <c r="C610" t="s">
        <v>1707</v>
      </c>
      <c r="E610">
        <v>5111</v>
      </c>
      <c r="F610" t="s">
        <v>2030</v>
      </c>
      <c r="G610" t="s">
        <v>2031</v>
      </c>
      <c r="H610" t="s">
        <v>965</v>
      </c>
      <c r="I610">
        <v>77406</v>
      </c>
      <c r="J610" t="s">
        <v>2032</v>
      </c>
      <c r="K610">
        <v>8325356995</v>
      </c>
      <c r="L610">
        <v>8325356995</v>
      </c>
      <c r="M610">
        <v>45000</v>
      </c>
      <c r="N610">
        <v>45000</v>
      </c>
      <c r="O610">
        <v>24</v>
      </c>
      <c r="P610">
        <v>111</v>
      </c>
      <c r="Q610">
        <v>27</v>
      </c>
    </row>
    <row r="611" spans="1:17" x14ac:dyDescent="0.3">
      <c r="A611">
        <v>192</v>
      </c>
      <c r="B611" t="s">
        <v>2033</v>
      </c>
      <c r="C611" t="s">
        <v>1707</v>
      </c>
      <c r="E611">
        <v>5268</v>
      </c>
      <c r="F611" t="s">
        <v>2034</v>
      </c>
      <c r="G611" t="s">
        <v>2035</v>
      </c>
      <c r="H611" t="s">
        <v>965</v>
      </c>
      <c r="I611">
        <v>77062</v>
      </c>
      <c r="J611" t="s">
        <v>2036</v>
      </c>
      <c r="K611">
        <v>2812542727</v>
      </c>
      <c r="M611">
        <v>3000</v>
      </c>
      <c r="N611">
        <v>3000</v>
      </c>
      <c r="O611">
        <v>16</v>
      </c>
      <c r="P611">
        <v>61</v>
      </c>
      <c r="Q611">
        <v>52</v>
      </c>
    </row>
    <row r="612" spans="1:17" x14ac:dyDescent="0.3">
      <c r="A612">
        <v>193</v>
      </c>
      <c r="B612" t="s">
        <v>2037</v>
      </c>
      <c r="C612" t="s">
        <v>1707</v>
      </c>
      <c r="F612" t="s">
        <v>649</v>
      </c>
      <c r="M612">
        <v>0</v>
      </c>
      <c r="N612">
        <v>0</v>
      </c>
      <c r="O612">
        <v>0</v>
      </c>
      <c r="P612">
        <v>1</v>
      </c>
      <c r="Q612">
        <v>1</v>
      </c>
    </row>
    <row r="613" spans="1:17" x14ac:dyDescent="0.3">
      <c r="A613">
        <v>194</v>
      </c>
      <c r="B613" t="s">
        <v>2038</v>
      </c>
      <c r="C613" t="s">
        <v>1707</v>
      </c>
      <c r="E613">
        <v>5303</v>
      </c>
      <c r="F613" t="s">
        <v>1264</v>
      </c>
      <c r="G613" t="s">
        <v>1265</v>
      </c>
      <c r="H613" t="s">
        <v>965</v>
      </c>
      <c r="I613">
        <v>77469</v>
      </c>
      <c r="J613" t="s">
        <v>1266</v>
      </c>
      <c r="K613">
        <v>8327416157</v>
      </c>
      <c r="M613">
        <v>3000</v>
      </c>
      <c r="N613">
        <v>3000</v>
      </c>
      <c r="O613">
        <v>19</v>
      </c>
      <c r="P613">
        <v>58</v>
      </c>
      <c r="Q613">
        <v>18</v>
      </c>
    </row>
    <row r="614" spans="1:17" x14ac:dyDescent="0.3">
      <c r="A614">
        <v>195</v>
      </c>
      <c r="B614" t="s">
        <v>2039</v>
      </c>
      <c r="C614" t="s">
        <v>1707</v>
      </c>
      <c r="E614">
        <v>5268</v>
      </c>
      <c r="F614" t="s">
        <v>2034</v>
      </c>
      <c r="G614" t="s">
        <v>2035</v>
      </c>
      <c r="H614" t="s">
        <v>965</v>
      </c>
      <c r="I614">
        <v>77062</v>
      </c>
      <c r="J614" t="s">
        <v>2036</v>
      </c>
      <c r="K614">
        <v>2812542727</v>
      </c>
      <c r="M614">
        <v>7750</v>
      </c>
      <c r="N614">
        <v>7750</v>
      </c>
      <c r="O614">
        <v>27</v>
      </c>
      <c r="P614">
        <v>105</v>
      </c>
      <c r="Q614">
        <v>67</v>
      </c>
    </row>
    <row r="615" spans="1:17" x14ac:dyDescent="0.3">
      <c r="A615">
        <v>196</v>
      </c>
      <c r="B615" t="s">
        <v>2040</v>
      </c>
      <c r="C615" t="s">
        <v>1707</v>
      </c>
      <c r="E615">
        <v>5291</v>
      </c>
      <c r="F615" t="s">
        <v>1998</v>
      </c>
      <c r="G615" t="s">
        <v>1999</v>
      </c>
      <c r="H615" t="s">
        <v>965</v>
      </c>
      <c r="I615">
        <v>77040</v>
      </c>
      <c r="J615" t="s">
        <v>2000</v>
      </c>
      <c r="K615">
        <v>8322151812</v>
      </c>
      <c r="M615">
        <v>1950</v>
      </c>
      <c r="N615">
        <v>1950</v>
      </c>
      <c r="O615">
        <v>23</v>
      </c>
      <c r="P615">
        <v>67</v>
      </c>
      <c r="Q615">
        <v>22</v>
      </c>
    </row>
    <row r="616" spans="1:17" x14ac:dyDescent="0.3">
      <c r="A616" t="s">
        <v>533</v>
      </c>
      <c r="B616" t="s">
        <v>2041</v>
      </c>
      <c r="C616" t="s">
        <v>1707</v>
      </c>
      <c r="E616">
        <v>5174</v>
      </c>
      <c r="F616" t="s">
        <v>644</v>
      </c>
      <c r="G616" t="s">
        <v>968</v>
      </c>
      <c r="H616" t="s">
        <v>965</v>
      </c>
      <c r="I616">
        <v>77477</v>
      </c>
      <c r="J616" t="s">
        <v>969</v>
      </c>
      <c r="K616" t="s">
        <v>970</v>
      </c>
      <c r="M616">
        <v>11500</v>
      </c>
      <c r="N616">
        <v>17000</v>
      </c>
      <c r="O616">
        <v>38</v>
      </c>
      <c r="P616">
        <v>100</v>
      </c>
      <c r="Q616">
        <v>43</v>
      </c>
    </row>
    <row r="617" spans="1:17" x14ac:dyDescent="0.3">
      <c r="A617">
        <v>197</v>
      </c>
      <c r="B617" t="s">
        <v>2042</v>
      </c>
      <c r="C617" t="s">
        <v>1707</v>
      </c>
      <c r="E617">
        <v>5261</v>
      </c>
      <c r="F617" t="s">
        <v>1037</v>
      </c>
      <c r="G617" t="s">
        <v>1038</v>
      </c>
      <c r="H617" t="s">
        <v>965</v>
      </c>
      <c r="I617">
        <v>77584</v>
      </c>
      <c r="J617" t="s">
        <v>1039</v>
      </c>
      <c r="K617" t="s">
        <v>1040</v>
      </c>
      <c r="M617">
        <v>550</v>
      </c>
      <c r="N617">
        <v>550</v>
      </c>
      <c r="O617">
        <v>3</v>
      </c>
      <c r="P617">
        <v>50</v>
      </c>
      <c r="Q617">
        <v>9</v>
      </c>
    </row>
    <row r="618" spans="1:17" x14ac:dyDescent="0.3">
      <c r="A618">
        <v>198</v>
      </c>
      <c r="B618" t="s">
        <v>2043</v>
      </c>
      <c r="C618" t="s">
        <v>1707</v>
      </c>
      <c r="E618">
        <v>5268</v>
      </c>
      <c r="F618" t="s">
        <v>2034</v>
      </c>
      <c r="G618" t="s">
        <v>2035</v>
      </c>
      <c r="H618" t="s">
        <v>965</v>
      </c>
      <c r="I618">
        <v>77062</v>
      </c>
      <c r="J618" t="s">
        <v>2036</v>
      </c>
      <c r="K618">
        <v>2812542727</v>
      </c>
      <c r="M618">
        <v>8000</v>
      </c>
      <c r="N618">
        <v>8000</v>
      </c>
      <c r="O618">
        <v>23</v>
      </c>
      <c r="P618">
        <v>100</v>
      </c>
      <c r="Q618">
        <v>62</v>
      </c>
    </row>
    <row r="619" spans="1:17" x14ac:dyDescent="0.3">
      <c r="A619">
        <v>199</v>
      </c>
      <c r="B619" t="s">
        <v>2044</v>
      </c>
      <c r="C619" t="s">
        <v>1707</v>
      </c>
      <c r="E619">
        <v>5113</v>
      </c>
      <c r="F619" t="s">
        <v>976</v>
      </c>
      <c r="G619" t="s">
        <v>977</v>
      </c>
      <c r="H619" t="s">
        <v>965</v>
      </c>
      <c r="I619">
        <v>77095</v>
      </c>
      <c r="J619" t="s">
        <v>978</v>
      </c>
      <c r="K619">
        <v>8325679148</v>
      </c>
      <c r="M619">
        <v>2050</v>
      </c>
      <c r="N619">
        <v>2050</v>
      </c>
      <c r="O619">
        <v>6</v>
      </c>
      <c r="P619">
        <v>33</v>
      </c>
      <c r="Q619">
        <v>9</v>
      </c>
    </row>
    <row r="620" spans="1:17" x14ac:dyDescent="0.3">
      <c r="A620">
        <v>200</v>
      </c>
      <c r="B620" t="s">
        <v>2045</v>
      </c>
      <c r="C620" t="s">
        <v>1707</v>
      </c>
      <c r="E620">
        <v>5218</v>
      </c>
      <c r="F620" t="s">
        <v>1894</v>
      </c>
      <c r="G620" t="s">
        <v>1895</v>
      </c>
      <c r="H620" t="s">
        <v>965</v>
      </c>
      <c r="I620">
        <v>77469</v>
      </c>
      <c r="J620" t="s">
        <v>1896</v>
      </c>
      <c r="K620" t="s">
        <v>1897</v>
      </c>
      <c r="M620">
        <v>3000</v>
      </c>
      <c r="N620">
        <v>3000</v>
      </c>
      <c r="O620">
        <v>13</v>
      </c>
      <c r="P620">
        <v>84</v>
      </c>
      <c r="Q620">
        <v>41</v>
      </c>
    </row>
    <row r="621" spans="1:17" x14ac:dyDescent="0.3">
      <c r="A621">
        <v>201</v>
      </c>
      <c r="B621" t="s">
        <v>2046</v>
      </c>
      <c r="C621" t="s">
        <v>1707</v>
      </c>
      <c r="E621">
        <v>5266</v>
      </c>
      <c r="F621" t="s">
        <v>1770</v>
      </c>
      <c r="G621" t="s">
        <v>1771</v>
      </c>
      <c r="H621" t="s">
        <v>965</v>
      </c>
      <c r="I621">
        <v>77514</v>
      </c>
      <c r="J621" t="s">
        <v>1772</v>
      </c>
      <c r="K621">
        <v>7132532625</v>
      </c>
      <c r="M621">
        <v>2300</v>
      </c>
      <c r="N621">
        <v>2300</v>
      </c>
      <c r="O621">
        <v>18</v>
      </c>
      <c r="P621">
        <v>57</v>
      </c>
      <c r="Q621">
        <v>28</v>
      </c>
    </row>
    <row r="622" spans="1:17" x14ac:dyDescent="0.3">
      <c r="A622" t="s">
        <v>535</v>
      </c>
      <c r="B622" t="s">
        <v>2047</v>
      </c>
      <c r="C622" t="s">
        <v>1707</v>
      </c>
      <c r="E622">
        <v>5213</v>
      </c>
      <c r="F622" t="s">
        <v>2048</v>
      </c>
      <c r="G622" t="s">
        <v>2049</v>
      </c>
      <c r="H622" t="s">
        <v>965</v>
      </c>
      <c r="I622">
        <v>77535</v>
      </c>
      <c r="J622" t="s">
        <v>2050</v>
      </c>
      <c r="K622">
        <v>9364022672</v>
      </c>
      <c r="M622">
        <v>12500</v>
      </c>
      <c r="N622">
        <v>12500</v>
      </c>
      <c r="O622">
        <v>9</v>
      </c>
      <c r="P622">
        <v>62</v>
      </c>
      <c r="Q622">
        <v>9</v>
      </c>
    </row>
    <row r="623" spans="1:17" x14ac:dyDescent="0.3">
      <c r="A623" t="s">
        <v>843</v>
      </c>
      <c r="B623" t="s">
        <v>2051</v>
      </c>
      <c r="C623" t="s">
        <v>1707</v>
      </c>
      <c r="E623">
        <v>5258</v>
      </c>
      <c r="F623" t="s">
        <v>1764</v>
      </c>
      <c r="G623" t="s">
        <v>1765</v>
      </c>
      <c r="H623" t="s">
        <v>965</v>
      </c>
      <c r="I623">
        <v>77477</v>
      </c>
      <c r="J623" t="s">
        <v>1766</v>
      </c>
      <c r="K623" t="s">
        <v>1767</v>
      </c>
      <c r="M623">
        <v>1600</v>
      </c>
      <c r="N623">
        <v>1600</v>
      </c>
      <c r="O623">
        <v>6</v>
      </c>
      <c r="P623">
        <v>10</v>
      </c>
      <c r="Q623">
        <v>9</v>
      </c>
    </row>
    <row r="624" spans="1:17" x14ac:dyDescent="0.3">
      <c r="A624" t="s">
        <v>537</v>
      </c>
      <c r="B624" t="s">
        <v>2052</v>
      </c>
      <c r="C624" t="s">
        <v>1707</v>
      </c>
      <c r="E624">
        <v>5174</v>
      </c>
      <c r="F624" t="s">
        <v>644</v>
      </c>
      <c r="G624" t="s">
        <v>968</v>
      </c>
      <c r="H624" t="s">
        <v>965</v>
      </c>
      <c r="I624">
        <v>77477</v>
      </c>
      <c r="J624" t="s">
        <v>969</v>
      </c>
      <c r="K624" t="s">
        <v>970</v>
      </c>
      <c r="M624">
        <v>6750</v>
      </c>
      <c r="N624">
        <v>22000</v>
      </c>
      <c r="O624">
        <v>19</v>
      </c>
      <c r="P624">
        <v>39</v>
      </c>
      <c r="Q624">
        <v>19</v>
      </c>
    </row>
    <row r="625" spans="1:17" x14ac:dyDescent="0.3">
      <c r="A625" t="s">
        <v>539</v>
      </c>
      <c r="B625" t="s">
        <v>2053</v>
      </c>
      <c r="C625" t="s">
        <v>1707</v>
      </c>
      <c r="E625">
        <v>5207</v>
      </c>
      <c r="F625" t="s">
        <v>1914</v>
      </c>
      <c r="G625" t="s">
        <v>1915</v>
      </c>
      <c r="H625" t="s">
        <v>965</v>
      </c>
      <c r="I625">
        <v>77536</v>
      </c>
      <c r="J625" t="s">
        <v>1916</v>
      </c>
      <c r="K625">
        <v>2817023860</v>
      </c>
      <c r="M625">
        <v>5750</v>
      </c>
      <c r="N625">
        <v>5875</v>
      </c>
      <c r="O625">
        <v>26</v>
      </c>
      <c r="P625">
        <v>61</v>
      </c>
      <c r="Q625">
        <v>15</v>
      </c>
    </row>
    <row r="626" spans="1:17" x14ac:dyDescent="0.3">
      <c r="A626" t="s">
        <v>395</v>
      </c>
      <c r="B626" t="s">
        <v>1873</v>
      </c>
      <c r="C626" t="s">
        <v>1707</v>
      </c>
      <c r="E626">
        <v>5294</v>
      </c>
      <c r="F626" t="s">
        <v>1178</v>
      </c>
      <c r="G626" t="s">
        <v>1179</v>
      </c>
      <c r="H626" t="s">
        <v>965</v>
      </c>
      <c r="I626">
        <v>77433</v>
      </c>
      <c r="J626" t="s">
        <v>1180</v>
      </c>
      <c r="K626" t="s">
        <v>1181</v>
      </c>
      <c r="M626">
        <v>2100</v>
      </c>
      <c r="N626">
        <v>2100</v>
      </c>
      <c r="O626">
        <v>7</v>
      </c>
      <c r="P626">
        <v>26</v>
      </c>
      <c r="Q626">
        <v>14</v>
      </c>
    </row>
    <row r="627" spans="1:17" x14ac:dyDescent="0.3">
      <c r="A627" t="s">
        <v>541</v>
      </c>
      <c r="B627" t="s">
        <v>2054</v>
      </c>
      <c r="C627" t="s">
        <v>1707</v>
      </c>
      <c r="E627">
        <v>5297</v>
      </c>
      <c r="F627" t="s">
        <v>2055</v>
      </c>
      <c r="G627" t="s">
        <v>2056</v>
      </c>
      <c r="H627" t="s">
        <v>965</v>
      </c>
      <c r="I627">
        <v>77407</v>
      </c>
      <c r="J627" t="s">
        <v>2057</v>
      </c>
      <c r="K627" t="s">
        <v>2058</v>
      </c>
      <c r="M627">
        <v>6000</v>
      </c>
      <c r="N627">
        <v>6000</v>
      </c>
      <c r="O627">
        <v>19</v>
      </c>
      <c r="P627">
        <v>39</v>
      </c>
      <c r="Q627">
        <v>12</v>
      </c>
    </row>
    <row r="628" spans="1:17" x14ac:dyDescent="0.3">
      <c r="A628" t="s">
        <v>543</v>
      </c>
      <c r="B628" t="s">
        <v>2059</v>
      </c>
      <c r="C628" t="s">
        <v>1707</v>
      </c>
      <c r="E628">
        <v>5058</v>
      </c>
      <c r="F628" t="s">
        <v>697</v>
      </c>
      <c r="G628" t="s">
        <v>1090</v>
      </c>
      <c r="H628" t="s">
        <v>965</v>
      </c>
      <c r="I628">
        <v>77449</v>
      </c>
      <c r="J628" t="s">
        <v>1091</v>
      </c>
      <c r="K628" t="s">
        <v>1092</v>
      </c>
      <c r="M628">
        <v>1500</v>
      </c>
      <c r="N628">
        <v>1500</v>
      </c>
      <c r="O628">
        <v>6</v>
      </c>
      <c r="P628">
        <v>17</v>
      </c>
      <c r="Q628">
        <v>8</v>
      </c>
    </row>
    <row r="629" spans="1:17" x14ac:dyDescent="0.3">
      <c r="A629" t="s">
        <v>545</v>
      </c>
      <c r="B629" t="s">
        <v>2060</v>
      </c>
      <c r="C629" t="s">
        <v>1707</v>
      </c>
      <c r="E629">
        <v>5174</v>
      </c>
      <c r="F629" t="s">
        <v>644</v>
      </c>
      <c r="G629" t="s">
        <v>968</v>
      </c>
      <c r="H629" t="s">
        <v>965</v>
      </c>
      <c r="I629">
        <v>77477</v>
      </c>
      <c r="J629" t="s">
        <v>969</v>
      </c>
      <c r="K629" t="s">
        <v>970</v>
      </c>
      <c r="M629">
        <v>3000</v>
      </c>
      <c r="N629">
        <v>9500</v>
      </c>
      <c r="O629">
        <v>17</v>
      </c>
      <c r="P629">
        <v>65</v>
      </c>
      <c r="Q629">
        <v>10</v>
      </c>
    </row>
    <row r="630" spans="1:17" x14ac:dyDescent="0.3">
      <c r="A630" t="s">
        <v>547</v>
      </c>
      <c r="B630" t="s">
        <v>2061</v>
      </c>
      <c r="C630" t="s">
        <v>1707</v>
      </c>
      <c r="E630">
        <v>5266</v>
      </c>
      <c r="F630" t="s">
        <v>1770</v>
      </c>
      <c r="G630" t="s">
        <v>1771</v>
      </c>
      <c r="H630" t="s">
        <v>965</v>
      </c>
      <c r="I630">
        <v>77514</v>
      </c>
      <c r="J630" t="s">
        <v>1772</v>
      </c>
      <c r="K630">
        <v>7132532625</v>
      </c>
      <c r="M630">
        <v>5250</v>
      </c>
      <c r="N630">
        <v>5250</v>
      </c>
      <c r="O630">
        <v>29</v>
      </c>
      <c r="P630">
        <v>90</v>
      </c>
      <c r="Q630">
        <v>36</v>
      </c>
    </row>
    <row r="631" spans="1:17" x14ac:dyDescent="0.3">
      <c r="A631" t="s">
        <v>867</v>
      </c>
      <c r="B631" t="s">
        <v>2062</v>
      </c>
      <c r="C631" t="s">
        <v>1707</v>
      </c>
      <c r="E631">
        <v>5058</v>
      </c>
      <c r="F631" t="s">
        <v>697</v>
      </c>
      <c r="G631" t="s">
        <v>1090</v>
      </c>
      <c r="H631" t="s">
        <v>965</v>
      </c>
      <c r="I631">
        <v>77449</v>
      </c>
      <c r="J631" t="s">
        <v>1091</v>
      </c>
      <c r="K631" t="s">
        <v>1092</v>
      </c>
      <c r="M631">
        <v>1300</v>
      </c>
      <c r="N631">
        <v>1525</v>
      </c>
      <c r="O631">
        <v>3</v>
      </c>
      <c r="P631">
        <v>45</v>
      </c>
      <c r="Q631">
        <v>9</v>
      </c>
    </row>
    <row r="632" spans="1:17" x14ac:dyDescent="0.3">
      <c r="A632" t="s">
        <v>549</v>
      </c>
      <c r="B632" t="s">
        <v>2063</v>
      </c>
      <c r="C632" t="s">
        <v>1707</v>
      </c>
      <c r="E632">
        <v>5181</v>
      </c>
      <c r="F632" t="s">
        <v>1977</v>
      </c>
      <c r="G632" t="s">
        <v>1978</v>
      </c>
      <c r="H632" t="s">
        <v>965</v>
      </c>
      <c r="I632">
        <v>77471</v>
      </c>
      <c r="J632" t="s">
        <v>1979</v>
      </c>
      <c r="K632">
        <v>7134170275</v>
      </c>
      <c r="L632">
        <v>7134170275</v>
      </c>
      <c r="M632">
        <v>2600</v>
      </c>
      <c r="N632">
        <v>2800</v>
      </c>
      <c r="O632">
        <v>8</v>
      </c>
      <c r="P632">
        <v>16</v>
      </c>
      <c r="Q632">
        <v>8</v>
      </c>
    </row>
    <row r="633" spans="1:17" x14ac:dyDescent="0.3">
      <c r="A633" t="s">
        <v>551</v>
      </c>
      <c r="B633" t="s">
        <v>2064</v>
      </c>
      <c r="C633" t="s">
        <v>1707</v>
      </c>
      <c r="E633">
        <v>5174</v>
      </c>
      <c r="F633" t="s">
        <v>644</v>
      </c>
      <c r="G633" t="s">
        <v>968</v>
      </c>
      <c r="H633" t="s">
        <v>965</v>
      </c>
      <c r="I633">
        <v>77477</v>
      </c>
      <c r="J633" t="s">
        <v>969</v>
      </c>
      <c r="K633" t="s">
        <v>970</v>
      </c>
      <c r="M633">
        <v>4100</v>
      </c>
      <c r="N633">
        <v>10000</v>
      </c>
      <c r="O633">
        <v>9</v>
      </c>
      <c r="P633">
        <v>63</v>
      </c>
      <c r="Q633">
        <v>19</v>
      </c>
    </row>
    <row r="634" spans="1:17" x14ac:dyDescent="0.3">
      <c r="A634" t="s">
        <v>553</v>
      </c>
      <c r="B634" t="s">
        <v>2065</v>
      </c>
      <c r="C634" t="s">
        <v>1707</v>
      </c>
      <c r="E634">
        <v>5254</v>
      </c>
      <c r="F634" t="s">
        <v>1746</v>
      </c>
      <c r="G634" t="s">
        <v>1747</v>
      </c>
      <c r="H634" t="s">
        <v>965</v>
      </c>
      <c r="I634">
        <v>77007</v>
      </c>
      <c r="J634" t="s">
        <v>1748</v>
      </c>
      <c r="K634">
        <v>8325675773</v>
      </c>
      <c r="M634">
        <v>3000</v>
      </c>
      <c r="N634">
        <v>3000</v>
      </c>
      <c r="O634">
        <v>10</v>
      </c>
      <c r="P634">
        <v>51</v>
      </c>
      <c r="Q634">
        <v>14</v>
      </c>
    </row>
    <row r="635" spans="1:17" x14ac:dyDescent="0.3">
      <c r="A635" t="s">
        <v>2066</v>
      </c>
      <c r="B635" t="s">
        <v>2059</v>
      </c>
      <c r="C635" t="s">
        <v>1707</v>
      </c>
      <c r="E635">
        <v>5058</v>
      </c>
      <c r="F635" t="s">
        <v>697</v>
      </c>
      <c r="G635" t="s">
        <v>1090</v>
      </c>
      <c r="H635" t="s">
        <v>965</v>
      </c>
      <c r="I635">
        <v>77449</v>
      </c>
      <c r="J635" t="s">
        <v>1091</v>
      </c>
      <c r="K635" t="s">
        <v>1092</v>
      </c>
      <c r="M635">
        <v>575</v>
      </c>
      <c r="N635">
        <v>1500</v>
      </c>
      <c r="O635">
        <v>2</v>
      </c>
      <c r="P635">
        <v>17</v>
      </c>
      <c r="Q635">
        <v>9</v>
      </c>
    </row>
    <row r="636" spans="1:17" x14ac:dyDescent="0.3">
      <c r="A636" t="s">
        <v>560</v>
      </c>
      <c r="B636" t="s">
        <v>2021</v>
      </c>
      <c r="C636" t="s">
        <v>1707</v>
      </c>
      <c r="E636">
        <v>5174</v>
      </c>
      <c r="F636" t="s">
        <v>644</v>
      </c>
      <c r="G636" t="s">
        <v>968</v>
      </c>
      <c r="H636" t="s">
        <v>965</v>
      </c>
      <c r="I636">
        <v>77477</v>
      </c>
      <c r="J636" t="s">
        <v>969</v>
      </c>
      <c r="K636" t="s">
        <v>970</v>
      </c>
      <c r="M636">
        <v>11000</v>
      </c>
      <c r="N636">
        <v>23000</v>
      </c>
      <c r="O636">
        <v>7</v>
      </c>
      <c r="P636">
        <v>95</v>
      </c>
      <c r="Q636">
        <v>47</v>
      </c>
    </row>
    <row r="637" spans="1:17" x14ac:dyDescent="0.3">
      <c r="A637" t="s">
        <v>562</v>
      </c>
      <c r="B637" t="s">
        <v>2067</v>
      </c>
      <c r="C637" t="s">
        <v>1707</v>
      </c>
      <c r="E637">
        <v>5266</v>
      </c>
      <c r="F637" t="s">
        <v>1770</v>
      </c>
      <c r="G637" t="s">
        <v>1771</v>
      </c>
      <c r="H637" t="s">
        <v>965</v>
      </c>
      <c r="I637">
        <v>77514</v>
      </c>
      <c r="J637" t="s">
        <v>1772</v>
      </c>
      <c r="K637">
        <v>7132532625</v>
      </c>
      <c r="M637">
        <v>2000</v>
      </c>
      <c r="N637">
        <v>2000</v>
      </c>
      <c r="O637">
        <v>6</v>
      </c>
      <c r="P637">
        <v>26</v>
      </c>
      <c r="Q637">
        <v>11</v>
      </c>
    </row>
    <row r="638" spans="1:17" x14ac:dyDescent="0.3">
      <c r="A638" t="s">
        <v>564</v>
      </c>
      <c r="B638" t="s">
        <v>2068</v>
      </c>
      <c r="C638" t="s">
        <v>1707</v>
      </c>
      <c r="E638">
        <v>5157</v>
      </c>
      <c r="F638" t="s">
        <v>2069</v>
      </c>
      <c r="G638" t="s">
        <v>2070</v>
      </c>
      <c r="H638" t="s">
        <v>965</v>
      </c>
      <c r="I638">
        <v>77044</v>
      </c>
      <c r="J638" t="s">
        <v>2071</v>
      </c>
      <c r="K638">
        <v>7132015861</v>
      </c>
      <c r="M638">
        <v>4575</v>
      </c>
      <c r="N638">
        <v>4575</v>
      </c>
      <c r="O638">
        <v>17</v>
      </c>
      <c r="P638">
        <v>37</v>
      </c>
      <c r="Q638">
        <v>19</v>
      </c>
    </row>
    <row r="639" spans="1:17" x14ac:dyDescent="0.3">
      <c r="A639" t="s">
        <v>1540</v>
      </c>
      <c r="B639" t="s">
        <v>2072</v>
      </c>
      <c r="C639" t="s">
        <v>1707</v>
      </c>
      <c r="E639">
        <v>5258</v>
      </c>
      <c r="F639" t="s">
        <v>1764</v>
      </c>
      <c r="G639" t="s">
        <v>1765</v>
      </c>
      <c r="H639" t="s">
        <v>965</v>
      </c>
      <c r="I639">
        <v>77477</v>
      </c>
      <c r="J639" t="s">
        <v>1766</v>
      </c>
      <c r="K639" t="s">
        <v>1767</v>
      </c>
      <c r="M639">
        <v>1600</v>
      </c>
      <c r="N639">
        <v>1650</v>
      </c>
      <c r="O639">
        <v>6</v>
      </c>
      <c r="P639">
        <v>9</v>
      </c>
      <c r="Q639">
        <v>8</v>
      </c>
    </row>
    <row r="640" spans="1:17" x14ac:dyDescent="0.3">
      <c r="A640" t="s">
        <v>1542</v>
      </c>
      <c r="B640" t="s">
        <v>2073</v>
      </c>
      <c r="C640" t="s">
        <v>1707</v>
      </c>
      <c r="E640">
        <v>5174</v>
      </c>
      <c r="F640" t="s">
        <v>644</v>
      </c>
      <c r="G640" t="s">
        <v>968</v>
      </c>
      <c r="H640" t="s">
        <v>965</v>
      </c>
      <c r="I640">
        <v>77477</v>
      </c>
      <c r="J640" t="s">
        <v>969</v>
      </c>
      <c r="K640" t="s">
        <v>970</v>
      </c>
      <c r="M640">
        <v>33500</v>
      </c>
      <c r="N640">
        <v>50000</v>
      </c>
      <c r="O640">
        <v>13</v>
      </c>
      <c r="P640">
        <v>65</v>
      </c>
      <c r="Q640">
        <v>18</v>
      </c>
    </row>
    <row r="641" spans="1:17" x14ac:dyDescent="0.3">
      <c r="A641" t="s">
        <v>1543</v>
      </c>
      <c r="B641" t="s">
        <v>2074</v>
      </c>
      <c r="C641" t="s">
        <v>1707</v>
      </c>
      <c r="E641">
        <v>5174</v>
      </c>
      <c r="F641" t="s">
        <v>644</v>
      </c>
      <c r="G641" t="s">
        <v>968</v>
      </c>
      <c r="H641" t="s">
        <v>965</v>
      </c>
      <c r="I641">
        <v>77477</v>
      </c>
      <c r="J641" t="s">
        <v>969</v>
      </c>
      <c r="K641" t="s">
        <v>970</v>
      </c>
      <c r="M641">
        <v>2500</v>
      </c>
      <c r="N641">
        <v>31000</v>
      </c>
      <c r="O641">
        <v>12</v>
      </c>
      <c r="P641">
        <v>60</v>
      </c>
      <c r="Q641">
        <v>19</v>
      </c>
    </row>
    <row r="642" spans="1:17" x14ac:dyDescent="0.3">
      <c r="A642" t="s">
        <v>2075</v>
      </c>
      <c r="B642" t="s">
        <v>2076</v>
      </c>
      <c r="C642" t="s">
        <v>1707</v>
      </c>
      <c r="E642">
        <v>5174</v>
      </c>
      <c r="F642" t="s">
        <v>644</v>
      </c>
      <c r="G642" t="s">
        <v>968</v>
      </c>
      <c r="H642" t="s">
        <v>965</v>
      </c>
      <c r="I642">
        <v>77477</v>
      </c>
      <c r="J642" t="s">
        <v>969</v>
      </c>
      <c r="K642" t="s">
        <v>970</v>
      </c>
      <c r="M642">
        <v>700</v>
      </c>
      <c r="N642">
        <v>5500</v>
      </c>
      <c r="O642">
        <v>4</v>
      </c>
      <c r="P642">
        <v>29</v>
      </c>
      <c r="Q642">
        <v>4</v>
      </c>
    </row>
    <row r="643" spans="1:17" x14ac:dyDescent="0.3">
      <c r="A643" t="s">
        <v>1544</v>
      </c>
      <c r="B643" t="s">
        <v>2077</v>
      </c>
      <c r="C643" t="s">
        <v>1707</v>
      </c>
      <c r="E643">
        <v>5261</v>
      </c>
      <c r="F643" t="s">
        <v>1037</v>
      </c>
      <c r="G643" t="s">
        <v>1038</v>
      </c>
      <c r="H643" t="s">
        <v>965</v>
      </c>
      <c r="I643">
        <v>77584</v>
      </c>
      <c r="J643" t="s">
        <v>1039</v>
      </c>
      <c r="K643" t="s">
        <v>1040</v>
      </c>
      <c r="M643">
        <v>1050</v>
      </c>
      <c r="N643">
        <v>1050</v>
      </c>
      <c r="O643">
        <v>7</v>
      </c>
      <c r="P643">
        <v>43</v>
      </c>
      <c r="Q643">
        <v>9</v>
      </c>
    </row>
    <row r="644" spans="1:17" x14ac:dyDescent="0.3">
      <c r="A644" t="s">
        <v>566</v>
      </c>
      <c r="B644" t="s">
        <v>2078</v>
      </c>
      <c r="C644" t="s">
        <v>1707</v>
      </c>
      <c r="E644">
        <v>5058</v>
      </c>
      <c r="F644" t="s">
        <v>697</v>
      </c>
      <c r="G644" t="s">
        <v>1090</v>
      </c>
      <c r="H644" t="s">
        <v>965</v>
      </c>
      <c r="I644">
        <v>77449</v>
      </c>
      <c r="J644" t="s">
        <v>1091</v>
      </c>
      <c r="K644" t="s">
        <v>1092</v>
      </c>
      <c r="M644">
        <v>500</v>
      </c>
      <c r="N644">
        <v>500</v>
      </c>
      <c r="O644">
        <v>1</v>
      </c>
      <c r="P644">
        <v>24</v>
      </c>
      <c r="Q644">
        <v>7</v>
      </c>
    </row>
    <row r="645" spans="1:17" x14ac:dyDescent="0.3">
      <c r="A645" t="s">
        <v>2079</v>
      </c>
      <c r="B645" t="s">
        <v>1734</v>
      </c>
      <c r="C645" t="s">
        <v>1707</v>
      </c>
      <c r="E645">
        <v>5113</v>
      </c>
      <c r="F645" t="s">
        <v>976</v>
      </c>
      <c r="G645" t="s">
        <v>977</v>
      </c>
      <c r="H645" t="s">
        <v>965</v>
      </c>
      <c r="I645">
        <v>77095</v>
      </c>
      <c r="J645" t="s">
        <v>978</v>
      </c>
      <c r="K645">
        <v>8325679148</v>
      </c>
      <c r="M645">
        <v>1300</v>
      </c>
      <c r="N645">
        <v>1300</v>
      </c>
      <c r="O645">
        <v>8</v>
      </c>
      <c r="P645">
        <v>17</v>
      </c>
      <c r="Q645">
        <v>10</v>
      </c>
    </row>
    <row r="646" spans="1:17" x14ac:dyDescent="0.3">
      <c r="A646" t="s">
        <v>585</v>
      </c>
      <c r="B646" t="s">
        <v>2078</v>
      </c>
      <c r="C646" t="s">
        <v>1707</v>
      </c>
      <c r="E646">
        <v>5058</v>
      </c>
      <c r="F646" t="s">
        <v>697</v>
      </c>
      <c r="G646" t="s">
        <v>1090</v>
      </c>
      <c r="H646" t="s">
        <v>965</v>
      </c>
      <c r="I646">
        <v>77449</v>
      </c>
      <c r="J646" t="s">
        <v>1091</v>
      </c>
      <c r="K646" t="s">
        <v>1092</v>
      </c>
      <c r="M646">
        <v>500</v>
      </c>
      <c r="N646">
        <v>500</v>
      </c>
      <c r="O646">
        <v>1</v>
      </c>
      <c r="P646">
        <v>12</v>
      </c>
      <c r="Q646">
        <v>5</v>
      </c>
    </row>
    <row r="647" spans="1:17" x14ac:dyDescent="0.3">
      <c r="A647" t="s">
        <v>588</v>
      </c>
      <c r="B647" t="s">
        <v>2080</v>
      </c>
      <c r="C647" t="s">
        <v>1707</v>
      </c>
      <c r="E647">
        <v>5299</v>
      </c>
      <c r="F647" t="s">
        <v>690</v>
      </c>
      <c r="G647" t="s">
        <v>2081</v>
      </c>
      <c r="H647" t="s">
        <v>965</v>
      </c>
      <c r="I647">
        <v>77026</v>
      </c>
      <c r="J647" t="s">
        <v>2082</v>
      </c>
      <c r="K647">
        <v>7135487587</v>
      </c>
      <c r="M647">
        <v>21400</v>
      </c>
      <c r="N647">
        <v>21400</v>
      </c>
      <c r="O647">
        <v>26</v>
      </c>
      <c r="P647">
        <v>117</v>
      </c>
      <c r="Q647">
        <v>35</v>
      </c>
    </row>
    <row r="648" spans="1:17" x14ac:dyDescent="0.3">
      <c r="A648" t="s">
        <v>590</v>
      </c>
      <c r="B648" t="s">
        <v>2083</v>
      </c>
      <c r="C648" t="s">
        <v>1707</v>
      </c>
      <c r="E648">
        <v>5232</v>
      </c>
      <c r="F648" t="s">
        <v>1790</v>
      </c>
      <c r="G648" t="s">
        <v>1791</v>
      </c>
      <c r="H648" t="s">
        <v>965</v>
      </c>
      <c r="I648">
        <v>77478</v>
      </c>
      <c r="J648" t="s">
        <v>1792</v>
      </c>
      <c r="K648" t="s">
        <v>1793</v>
      </c>
      <c r="M648">
        <v>29500</v>
      </c>
      <c r="N648">
        <v>29500</v>
      </c>
      <c r="O648">
        <v>38</v>
      </c>
      <c r="P648">
        <v>161</v>
      </c>
      <c r="Q648">
        <v>50</v>
      </c>
    </row>
    <row r="649" spans="1:17" x14ac:dyDescent="0.3">
      <c r="A649" t="s">
        <v>592</v>
      </c>
      <c r="B649" t="s">
        <v>2084</v>
      </c>
      <c r="C649" t="s">
        <v>1707</v>
      </c>
      <c r="E649">
        <v>5174</v>
      </c>
      <c r="F649" t="s">
        <v>644</v>
      </c>
      <c r="G649" t="s">
        <v>968</v>
      </c>
      <c r="H649" t="s">
        <v>965</v>
      </c>
      <c r="I649">
        <v>77477</v>
      </c>
      <c r="J649" t="s">
        <v>969</v>
      </c>
      <c r="K649" t="s">
        <v>970</v>
      </c>
      <c r="M649">
        <v>13000</v>
      </c>
      <c r="N649">
        <v>31000</v>
      </c>
      <c r="O649">
        <v>7</v>
      </c>
      <c r="P649">
        <v>103</v>
      </c>
      <c r="Q649">
        <v>54</v>
      </c>
    </row>
    <row r="650" spans="1:17" x14ac:dyDescent="0.3">
      <c r="A650" t="s">
        <v>2085</v>
      </c>
      <c r="B650" t="s">
        <v>2086</v>
      </c>
      <c r="C650" t="s">
        <v>1707</v>
      </c>
      <c r="E650">
        <v>5002</v>
      </c>
      <c r="F650" t="s">
        <v>1799</v>
      </c>
      <c r="G650" t="s">
        <v>1800</v>
      </c>
      <c r="H650" t="s">
        <v>965</v>
      </c>
      <c r="I650">
        <v>77478</v>
      </c>
      <c r="J650" t="s">
        <v>1801</v>
      </c>
      <c r="K650">
        <v>9044197772</v>
      </c>
      <c r="M650">
        <v>24500</v>
      </c>
      <c r="N650">
        <v>24500</v>
      </c>
      <c r="O650">
        <v>30</v>
      </c>
      <c r="P650">
        <v>69</v>
      </c>
      <c r="Q650">
        <v>41</v>
      </c>
    </row>
    <row r="651" spans="1:17" x14ac:dyDescent="0.3">
      <c r="A651" t="s">
        <v>2087</v>
      </c>
      <c r="B651" t="s">
        <v>2088</v>
      </c>
      <c r="C651" t="s">
        <v>1707</v>
      </c>
      <c r="E651">
        <v>5174</v>
      </c>
      <c r="F651" t="s">
        <v>644</v>
      </c>
      <c r="G651" t="s">
        <v>968</v>
      </c>
      <c r="H651" t="s">
        <v>965</v>
      </c>
      <c r="I651">
        <v>77477</v>
      </c>
      <c r="J651" t="s">
        <v>969</v>
      </c>
      <c r="K651" t="s">
        <v>970</v>
      </c>
      <c r="M651">
        <v>16500</v>
      </c>
      <c r="N651">
        <v>48000</v>
      </c>
      <c r="O651">
        <v>21</v>
      </c>
      <c r="P651">
        <v>86</v>
      </c>
      <c r="Q651">
        <v>26</v>
      </c>
    </row>
    <row r="652" spans="1:17" x14ac:dyDescent="0.3">
      <c r="A652" t="s">
        <v>594</v>
      </c>
      <c r="B652" t="s">
        <v>2089</v>
      </c>
      <c r="C652" t="s">
        <v>1707</v>
      </c>
      <c r="E652">
        <v>5174</v>
      </c>
      <c r="F652" t="s">
        <v>644</v>
      </c>
      <c r="G652" t="s">
        <v>968</v>
      </c>
      <c r="H652" t="s">
        <v>965</v>
      </c>
      <c r="I652">
        <v>77477</v>
      </c>
      <c r="J652" t="s">
        <v>969</v>
      </c>
      <c r="K652" t="s">
        <v>970</v>
      </c>
      <c r="M652">
        <v>15500</v>
      </c>
      <c r="N652">
        <v>18000</v>
      </c>
      <c r="O652">
        <v>11</v>
      </c>
      <c r="P652">
        <v>91</v>
      </c>
      <c r="Q652">
        <v>47</v>
      </c>
    </row>
    <row r="653" spans="1:17" x14ac:dyDescent="0.3">
      <c r="A653" t="s">
        <v>600</v>
      </c>
      <c r="B653" t="s">
        <v>2090</v>
      </c>
      <c r="C653" t="s">
        <v>1707</v>
      </c>
      <c r="E653">
        <v>5273</v>
      </c>
      <c r="F653" t="s">
        <v>2091</v>
      </c>
      <c r="G653" t="s">
        <v>2092</v>
      </c>
      <c r="H653" t="s">
        <v>965</v>
      </c>
      <c r="I653">
        <v>77423</v>
      </c>
      <c r="J653" t="s">
        <v>2093</v>
      </c>
      <c r="K653">
        <v>8329499710</v>
      </c>
      <c r="M653">
        <v>10000</v>
      </c>
      <c r="N653">
        <v>10000</v>
      </c>
      <c r="O653">
        <v>33</v>
      </c>
      <c r="P653">
        <v>74</v>
      </c>
      <c r="Q653">
        <v>37</v>
      </c>
    </row>
    <row r="654" spans="1:17" x14ac:dyDescent="0.3">
      <c r="A654" t="s">
        <v>602</v>
      </c>
      <c r="B654" t="s">
        <v>2094</v>
      </c>
      <c r="C654" t="s">
        <v>1707</v>
      </c>
      <c r="E654">
        <v>5291</v>
      </c>
      <c r="F654" t="s">
        <v>1998</v>
      </c>
      <c r="G654" t="s">
        <v>1999</v>
      </c>
      <c r="H654" t="s">
        <v>965</v>
      </c>
      <c r="I654">
        <v>77040</v>
      </c>
      <c r="J654" t="s">
        <v>2000</v>
      </c>
      <c r="K654">
        <v>8322151812</v>
      </c>
      <c r="M654">
        <v>8200</v>
      </c>
      <c r="N654">
        <v>8200</v>
      </c>
      <c r="O654">
        <v>49</v>
      </c>
      <c r="P654">
        <v>147</v>
      </c>
      <c r="Q654">
        <v>68</v>
      </c>
    </row>
    <row r="655" spans="1:17" x14ac:dyDescent="0.3">
      <c r="A655" t="s">
        <v>606</v>
      </c>
      <c r="B655" t="s">
        <v>2095</v>
      </c>
      <c r="C655" t="s">
        <v>1707</v>
      </c>
      <c r="E655">
        <v>5103</v>
      </c>
      <c r="F655" t="s">
        <v>1926</v>
      </c>
      <c r="G655" t="s">
        <v>1927</v>
      </c>
      <c r="H655" t="s">
        <v>965</v>
      </c>
      <c r="I655">
        <v>77406</v>
      </c>
      <c r="J655" t="s">
        <v>1928</v>
      </c>
      <c r="K655">
        <v>2817625705</v>
      </c>
      <c r="M655">
        <v>3500</v>
      </c>
      <c r="N655">
        <v>3500</v>
      </c>
      <c r="O655">
        <v>34</v>
      </c>
      <c r="P655">
        <v>60</v>
      </c>
      <c r="Q655">
        <v>19</v>
      </c>
    </row>
    <row r="656" spans="1:17" x14ac:dyDescent="0.3">
      <c r="A656" t="s">
        <v>608</v>
      </c>
      <c r="B656" t="s">
        <v>2096</v>
      </c>
      <c r="C656" t="s">
        <v>1707</v>
      </c>
      <c r="E656">
        <v>5300</v>
      </c>
      <c r="F656" t="s">
        <v>2097</v>
      </c>
      <c r="G656" t="s">
        <v>2098</v>
      </c>
      <c r="H656" t="s">
        <v>965</v>
      </c>
      <c r="I656">
        <v>77584</v>
      </c>
      <c r="J656" t="s">
        <v>2099</v>
      </c>
      <c r="K656">
        <v>2818131494</v>
      </c>
      <c r="M656">
        <v>4600</v>
      </c>
      <c r="N656">
        <v>4600</v>
      </c>
      <c r="O656">
        <v>18</v>
      </c>
      <c r="P656">
        <v>90</v>
      </c>
      <c r="Q656">
        <v>56</v>
      </c>
    </row>
    <row r="657" spans="1:17" x14ac:dyDescent="0.3">
      <c r="A657" t="s">
        <v>612</v>
      </c>
      <c r="B657" t="s">
        <v>2100</v>
      </c>
      <c r="C657" t="s">
        <v>1707</v>
      </c>
      <c r="E657">
        <v>5111</v>
      </c>
      <c r="F657" t="s">
        <v>2030</v>
      </c>
      <c r="G657" t="s">
        <v>2031</v>
      </c>
      <c r="H657" t="s">
        <v>965</v>
      </c>
      <c r="I657">
        <v>77406</v>
      </c>
      <c r="J657" t="s">
        <v>2032</v>
      </c>
      <c r="K657">
        <v>8325356995</v>
      </c>
      <c r="L657">
        <v>8325356995</v>
      </c>
      <c r="M657">
        <v>11000</v>
      </c>
      <c r="N657">
        <v>11000</v>
      </c>
      <c r="O657">
        <v>42</v>
      </c>
      <c r="P657">
        <v>142</v>
      </c>
      <c r="Q657">
        <v>67</v>
      </c>
    </row>
    <row r="658" spans="1:17" x14ac:dyDescent="0.3">
      <c r="A658" t="s">
        <v>619</v>
      </c>
      <c r="B658" t="s">
        <v>2101</v>
      </c>
      <c r="C658" t="s">
        <v>1707</v>
      </c>
      <c r="E658">
        <v>5280</v>
      </c>
      <c r="F658" t="s">
        <v>1070</v>
      </c>
      <c r="G658" t="s">
        <v>1071</v>
      </c>
      <c r="H658" t="s">
        <v>965</v>
      </c>
      <c r="I658">
        <v>77581</v>
      </c>
      <c r="J658" t="s">
        <v>1072</v>
      </c>
      <c r="K658">
        <v>2817738917</v>
      </c>
      <c r="L658">
        <v>2817152642</v>
      </c>
      <c r="M658">
        <v>5000</v>
      </c>
      <c r="N658">
        <v>5000</v>
      </c>
      <c r="O658">
        <v>10</v>
      </c>
      <c r="P658">
        <v>87</v>
      </c>
      <c r="Q658">
        <v>21</v>
      </c>
    </row>
    <row r="659" spans="1:17" x14ac:dyDescent="0.3">
      <c r="A659" t="s">
        <v>2102</v>
      </c>
      <c r="B659" t="s">
        <v>2103</v>
      </c>
      <c r="C659" t="s">
        <v>1707</v>
      </c>
      <c r="E659">
        <v>5241</v>
      </c>
      <c r="F659" t="s">
        <v>709</v>
      </c>
      <c r="G659" t="s">
        <v>1098</v>
      </c>
      <c r="H659" t="s">
        <v>965</v>
      </c>
      <c r="I659">
        <v>77478</v>
      </c>
      <c r="J659" t="s">
        <v>1099</v>
      </c>
      <c r="K659">
        <v>8325263666</v>
      </c>
      <c r="M659">
        <v>13500</v>
      </c>
      <c r="N659">
        <v>13500</v>
      </c>
      <c r="O659">
        <v>12</v>
      </c>
      <c r="P659">
        <v>85</v>
      </c>
      <c r="Q659">
        <v>30</v>
      </c>
    </row>
    <row r="660" spans="1:17" x14ac:dyDescent="0.3">
      <c r="A660" t="s">
        <v>1625</v>
      </c>
      <c r="B660" t="s">
        <v>1626</v>
      </c>
      <c r="C660" t="s">
        <v>1707</v>
      </c>
      <c r="E660">
        <v>5089</v>
      </c>
      <c r="F660" t="s">
        <v>1738</v>
      </c>
      <c r="G660" t="s">
        <v>1739</v>
      </c>
      <c r="H660" t="s">
        <v>965</v>
      </c>
      <c r="I660">
        <v>77583</v>
      </c>
      <c r="J660" t="s">
        <v>1740</v>
      </c>
      <c r="K660">
        <v>2253355942</v>
      </c>
      <c r="M660">
        <v>11000</v>
      </c>
      <c r="N660">
        <v>11000</v>
      </c>
      <c r="O660">
        <v>14</v>
      </c>
      <c r="P660">
        <v>37</v>
      </c>
      <c r="Q660">
        <v>18</v>
      </c>
    </row>
    <row r="661" spans="1:17" x14ac:dyDescent="0.3">
      <c r="A661" t="s">
        <v>1627</v>
      </c>
      <c r="B661" t="s">
        <v>1628</v>
      </c>
      <c r="C661" t="s">
        <v>1707</v>
      </c>
      <c r="E661">
        <v>5266</v>
      </c>
      <c r="F661" t="s">
        <v>1770</v>
      </c>
      <c r="G661" t="s">
        <v>1771</v>
      </c>
      <c r="H661" t="s">
        <v>965</v>
      </c>
      <c r="I661">
        <v>77514</v>
      </c>
      <c r="J661" t="s">
        <v>1772</v>
      </c>
      <c r="K661">
        <v>7132532625</v>
      </c>
      <c r="M661">
        <v>1500</v>
      </c>
      <c r="N661">
        <v>1500</v>
      </c>
      <c r="O661">
        <v>9</v>
      </c>
      <c r="P661">
        <v>42</v>
      </c>
      <c r="Q661">
        <v>17</v>
      </c>
    </row>
    <row r="662" spans="1:17" x14ac:dyDescent="0.3">
      <c r="A662" t="s">
        <v>2104</v>
      </c>
      <c r="B662" t="s">
        <v>1734</v>
      </c>
      <c r="C662" t="s">
        <v>1707</v>
      </c>
      <c r="E662">
        <v>5181</v>
      </c>
      <c r="F662" t="s">
        <v>1977</v>
      </c>
      <c r="G662" t="s">
        <v>1978</v>
      </c>
      <c r="H662" t="s">
        <v>965</v>
      </c>
      <c r="I662">
        <v>77471</v>
      </c>
      <c r="J662" t="s">
        <v>1979</v>
      </c>
      <c r="K662">
        <v>7134170275</v>
      </c>
      <c r="L662">
        <v>7134170275</v>
      </c>
      <c r="M662">
        <v>1250</v>
      </c>
      <c r="N662">
        <v>1250</v>
      </c>
      <c r="O662">
        <v>9</v>
      </c>
      <c r="P662">
        <v>4</v>
      </c>
      <c r="Q662">
        <v>8</v>
      </c>
    </row>
    <row r="663" spans="1:17" x14ac:dyDescent="0.3">
      <c r="A663" t="s">
        <v>1629</v>
      </c>
      <c r="B663" t="s">
        <v>749</v>
      </c>
      <c r="C663" t="s">
        <v>1707</v>
      </c>
      <c r="E663">
        <v>5174</v>
      </c>
      <c r="F663" t="s">
        <v>644</v>
      </c>
      <c r="G663" t="s">
        <v>968</v>
      </c>
      <c r="H663" t="s">
        <v>965</v>
      </c>
      <c r="I663">
        <v>77477</v>
      </c>
      <c r="J663" t="s">
        <v>969</v>
      </c>
      <c r="K663" t="s">
        <v>970</v>
      </c>
      <c r="M663">
        <v>3600</v>
      </c>
      <c r="N663">
        <v>5000</v>
      </c>
      <c r="O663">
        <v>12</v>
      </c>
      <c r="P663">
        <v>61</v>
      </c>
      <c r="Q663">
        <v>16</v>
      </c>
    </row>
    <row r="664" spans="1:17" x14ac:dyDescent="0.3">
      <c r="A664" t="s">
        <v>2105</v>
      </c>
      <c r="B664" t="s">
        <v>2106</v>
      </c>
      <c r="C664" t="s">
        <v>1707</v>
      </c>
      <c r="E664">
        <v>5291</v>
      </c>
      <c r="F664" t="s">
        <v>1998</v>
      </c>
      <c r="G664" t="s">
        <v>1999</v>
      </c>
      <c r="H664" t="s">
        <v>965</v>
      </c>
      <c r="I664">
        <v>77040</v>
      </c>
      <c r="J664" t="s">
        <v>2000</v>
      </c>
      <c r="K664">
        <v>8322151812</v>
      </c>
      <c r="M664">
        <v>3900</v>
      </c>
      <c r="N664">
        <v>3900</v>
      </c>
      <c r="O664">
        <v>21</v>
      </c>
      <c r="P664">
        <v>135</v>
      </c>
      <c r="Q664">
        <v>70</v>
      </c>
    </row>
    <row r="665" spans="1:17" x14ac:dyDescent="0.3">
      <c r="A665" t="s">
        <v>1655</v>
      </c>
      <c r="B665" t="s">
        <v>2107</v>
      </c>
      <c r="C665" t="s">
        <v>1707</v>
      </c>
      <c r="E665">
        <v>5174</v>
      </c>
      <c r="F665" t="s">
        <v>644</v>
      </c>
      <c r="G665" t="s">
        <v>968</v>
      </c>
      <c r="H665" t="s">
        <v>965</v>
      </c>
      <c r="I665">
        <v>77477</v>
      </c>
      <c r="J665" t="s">
        <v>969</v>
      </c>
      <c r="K665" t="s">
        <v>970</v>
      </c>
      <c r="M665">
        <v>36500</v>
      </c>
      <c r="N665">
        <v>50000</v>
      </c>
      <c r="O665">
        <v>11</v>
      </c>
      <c r="P665">
        <v>101</v>
      </c>
      <c r="Q665">
        <v>39</v>
      </c>
    </row>
    <row r="666" spans="1:17" x14ac:dyDescent="0.3">
      <c r="A666" t="s">
        <v>1657</v>
      </c>
      <c r="B666" t="s">
        <v>2108</v>
      </c>
      <c r="C666" t="s">
        <v>1707</v>
      </c>
      <c r="E666">
        <v>5174</v>
      </c>
      <c r="F666" t="s">
        <v>644</v>
      </c>
      <c r="G666" t="s">
        <v>968</v>
      </c>
      <c r="H666" t="s">
        <v>965</v>
      </c>
      <c r="I666">
        <v>77477</v>
      </c>
      <c r="J666" t="s">
        <v>969</v>
      </c>
      <c r="K666" t="s">
        <v>970</v>
      </c>
      <c r="M666">
        <v>5500</v>
      </c>
      <c r="N666">
        <v>17000</v>
      </c>
      <c r="O666">
        <v>12</v>
      </c>
      <c r="P666">
        <v>83</v>
      </c>
      <c r="Q666">
        <v>18</v>
      </c>
    </row>
    <row r="667" spans="1:17" x14ac:dyDescent="0.3">
      <c r="A667" t="s">
        <v>2109</v>
      </c>
      <c r="B667" t="s">
        <v>478</v>
      </c>
      <c r="C667" t="s">
        <v>1707</v>
      </c>
      <c r="E667">
        <v>5174</v>
      </c>
      <c r="F667" t="s">
        <v>644</v>
      </c>
      <c r="G667" t="s">
        <v>968</v>
      </c>
      <c r="H667" t="s">
        <v>965</v>
      </c>
      <c r="I667">
        <v>77477</v>
      </c>
      <c r="J667" t="s">
        <v>969</v>
      </c>
      <c r="K667" t="s">
        <v>970</v>
      </c>
      <c r="M667">
        <v>7000</v>
      </c>
      <c r="N667">
        <v>7500</v>
      </c>
      <c r="O667">
        <v>28</v>
      </c>
      <c r="P667">
        <v>84</v>
      </c>
      <c r="Q667">
        <v>35</v>
      </c>
    </row>
    <row r="668" spans="1:17" x14ac:dyDescent="0.3">
      <c r="A668" t="s">
        <v>1661</v>
      </c>
      <c r="B668" t="s">
        <v>2110</v>
      </c>
      <c r="C668" t="s">
        <v>1707</v>
      </c>
      <c r="E668">
        <v>5284</v>
      </c>
      <c r="F668" t="s">
        <v>1908</v>
      </c>
      <c r="G668" t="s">
        <v>1909</v>
      </c>
      <c r="H668" t="s">
        <v>965</v>
      </c>
      <c r="I668">
        <v>77469</v>
      </c>
      <c r="J668" t="s">
        <v>1910</v>
      </c>
      <c r="K668">
        <v>9792369045</v>
      </c>
      <c r="M668">
        <v>17500</v>
      </c>
      <c r="N668">
        <v>17500</v>
      </c>
      <c r="O668">
        <v>17</v>
      </c>
      <c r="P668">
        <v>133</v>
      </c>
      <c r="Q668">
        <v>51</v>
      </c>
    </row>
    <row r="669" spans="1:17" x14ac:dyDescent="0.3">
      <c r="A669" t="s">
        <v>2111</v>
      </c>
      <c r="B669" t="s">
        <v>1734</v>
      </c>
      <c r="C669" t="s">
        <v>1707</v>
      </c>
      <c r="E669">
        <v>5223</v>
      </c>
      <c r="F669" t="s">
        <v>2112</v>
      </c>
      <c r="G669" t="s">
        <v>2113</v>
      </c>
      <c r="H669" t="s">
        <v>965</v>
      </c>
      <c r="I669">
        <v>77583</v>
      </c>
      <c r="J669" t="s">
        <v>2114</v>
      </c>
      <c r="K669">
        <v>2814372608</v>
      </c>
      <c r="L669">
        <v>2814372608</v>
      </c>
      <c r="M669">
        <v>1500</v>
      </c>
      <c r="N669">
        <v>1500</v>
      </c>
      <c r="O669">
        <v>8</v>
      </c>
      <c r="P669">
        <v>12</v>
      </c>
      <c r="Q669">
        <v>10</v>
      </c>
    </row>
    <row r="670" spans="1:17" x14ac:dyDescent="0.3">
      <c r="A670" t="s">
        <v>2115</v>
      </c>
      <c r="B670" t="s">
        <v>2116</v>
      </c>
      <c r="C670" t="s">
        <v>1707</v>
      </c>
      <c r="E670">
        <v>5174</v>
      </c>
      <c r="F670" t="s">
        <v>644</v>
      </c>
      <c r="G670" t="s">
        <v>968</v>
      </c>
      <c r="H670" t="s">
        <v>965</v>
      </c>
      <c r="I670">
        <v>77477</v>
      </c>
      <c r="J670" t="s">
        <v>969</v>
      </c>
      <c r="K670" t="s">
        <v>970</v>
      </c>
      <c r="M670">
        <v>14500</v>
      </c>
      <c r="N670">
        <v>17000</v>
      </c>
      <c r="O670">
        <v>13</v>
      </c>
      <c r="P670">
        <v>47</v>
      </c>
      <c r="Q670">
        <v>16</v>
      </c>
    </row>
    <row r="671" spans="1:17" x14ac:dyDescent="0.3">
      <c r="A671" t="s">
        <v>2117</v>
      </c>
      <c r="B671" t="s">
        <v>2118</v>
      </c>
      <c r="C671" t="s">
        <v>1707</v>
      </c>
      <c r="E671">
        <v>5240</v>
      </c>
      <c r="F671" t="s">
        <v>1988</v>
      </c>
      <c r="G671" t="s">
        <v>1989</v>
      </c>
      <c r="H671" t="s">
        <v>965</v>
      </c>
      <c r="I671">
        <v>77547</v>
      </c>
      <c r="J671" t="s">
        <v>1990</v>
      </c>
      <c r="K671" t="s">
        <v>1991</v>
      </c>
      <c r="M671">
        <v>45000</v>
      </c>
      <c r="N671">
        <v>45000</v>
      </c>
      <c r="O671">
        <v>29</v>
      </c>
      <c r="P671">
        <v>126</v>
      </c>
      <c r="Q671">
        <v>61</v>
      </c>
    </row>
    <row r="672" spans="1:17" x14ac:dyDescent="0.3">
      <c r="A672" t="s">
        <v>2119</v>
      </c>
      <c r="B672" t="s">
        <v>482</v>
      </c>
      <c r="C672" t="s">
        <v>1707</v>
      </c>
      <c r="E672">
        <v>5174</v>
      </c>
      <c r="F672" t="s">
        <v>644</v>
      </c>
      <c r="G672" t="s">
        <v>968</v>
      </c>
      <c r="H672" t="s">
        <v>965</v>
      </c>
      <c r="I672">
        <v>77477</v>
      </c>
      <c r="J672" t="s">
        <v>969</v>
      </c>
      <c r="K672" t="s">
        <v>970</v>
      </c>
      <c r="M672">
        <v>6500</v>
      </c>
      <c r="N672">
        <v>20000</v>
      </c>
      <c r="O672">
        <v>15</v>
      </c>
      <c r="P672">
        <v>30</v>
      </c>
      <c r="Q672">
        <v>21</v>
      </c>
    </row>
    <row r="673" spans="1:17" x14ac:dyDescent="0.3">
      <c r="A673" t="s">
        <v>1668</v>
      </c>
      <c r="B673" t="s">
        <v>1669</v>
      </c>
      <c r="C673" t="s">
        <v>1707</v>
      </c>
      <c r="E673">
        <v>5294</v>
      </c>
      <c r="F673" t="s">
        <v>1178</v>
      </c>
      <c r="G673" t="s">
        <v>1179</v>
      </c>
      <c r="H673" t="s">
        <v>965</v>
      </c>
      <c r="I673">
        <v>77433</v>
      </c>
      <c r="J673" t="s">
        <v>1180</v>
      </c>
      <c r="K673" t="s">
        <v>1181</v>
      </c>
      <c r="M673">
        <v>1400</v>
      </c>
      <c r="N673">
        <v>1400</v>
      </c>
      <c r="O673">
        <v>8</v>
      </c>
      <c r="P673">
        <v>44</v>
      </c>
      <c r="Q673">
        <v>7</v>
      </c>
    </row>
    <row r="674" spans="1:17" x14ac:dyDescent="0.3">
      <c r="A674" t="s">
        <v>2120</v>
      </c>
      <c r="B674" t="s">
        <v>2121</v>
      </c>
      <c r="C674" t="s">
        <v>1707</v>
      </c>
      <c r="E674">
        <v>5069</v>
      </c>
      <c r="F674" t="s">
        <v>1310</v>
      </c>
      <c r="G674" t="s">
        <v>1311</v>
      </c>
      <c r="H674" t="s">
        <v>965</v>
      </c>
      <c r="I674">
        <v>77469</v>
      </c>
      <c r="J674" t="s">
        <v>1312</v>
      </c>
      <c r="K674">
        <v>3466402132</v>
      </c>
      <c r="M674">
        <v>1300</v>
      </c>
      <c r="N674">
        <v>1300</v>
      </c>
      <c r="O674">
        <v>19</v>
      </c>
      <c r="P674">
        <v>28</v>
      </c>
      <c r="Q674">
        <v>22</v>
      </c>
    </row>
    <row r="675" spans="1:17" x14ac:dyDescent="0.3">
      <c r="A675" t="s">
        <v>2122</v>
      </c>
      <c r="B675" t="s">
        <v>1734</v>
      </c>
      <c r="C675" t="s">
        <v>1707</v>
      </c>
      <c r="E675">
        <v>5223</v>
      </c>
      <c r="F675" t="s">
        <v>2112</v>
      </c>
      <c r="G675" t="s">
        <v>2113</v>
      </c>
      <c r="H675" t="s">
        <v>965</v>
      </c>
      <c r="I675">
        <v>77583</v>
      </c>
      <c r="J675" t="s">
        <v>2114</v>
      </c>
      <c r="K675">
        <v>2814372608</v>
      </c>
      <c r="L675">
        <v>2814372608</v>
      </c>
      <c r="M675">
        <v>1550</v>
      </c>
      <c r="N675">
        <v>1600</v>
      </c>
      <c r="O675">
        <v>10</v>
      </c>
      <c r="P675">
        <v>6</v>
      </c>
      <c r="Q675">
        <v>11</v>
      </c>
    </row>
    <row r="676" spans="1:17" x14ac:dyDescent="0.3">
      <c r="A676" t="s">
        <v>1694</v>
      </c>
      <c r="B676" t="s">
        <v>2123</v>
      </c>
      <c r="C676" t="s">
        <v>1707</v>
      </c>
      <c r="E676">
        <v>5208</v>
      </c>
      <c r="F676" t="s">
        <v>2124</v>
      </c>
      <c r="G676" t="s">
        <v>2125</v>
      </c>
      <c r="H676" t="s">
        <v>965</v>
      </c>
      <c r="I676">
        <v>78681</v>
      </c>
      <c r="J676" t="s">
        <v>2126</v>
      </c>
      <c r="K676">
        <v>5127758200</v>
      </c>
      <c r="M676">
        <v>160000</v>
      </c>
      <c r="N676">
        <v>160000</v>
      </c>
      <c r="O676">
        <v>42</v>
      </c>
      <c r="P676">
        <v>214</v>
      </c>
      <c r="Q676">
        <v>58</v>
      </c>
    </row>
    <row r="677" spans="1:17" x14ac:dyDescent="0.3">
      <c r="A677" t="s">
        <v>2127</v>
      </c>
      <c r="B677" t="s">
        <v>2051</v>
      </c>
      <c r="C677" t="s">
        <v>1707</v>
      </c>
      <c r="E677">
        <v>5261</v>
      </c>
      <c r="F677" t="s">
        <v>1037</v>
      </c>
      <c r="G677" t="s">
        <v>1038</v>
      </c>
      <c r="H677" t="s">
        <v>965</v>
      </c>
      <c r="I677">
        <v>77584</v>
      </c>
      <c r="J677" t="s">
        <v>1039</v>
      </c>
      <c r="K677" t="s">
        <v>1040</v>
      </c>
      <c r="M677">
        <v>1750</v>
      </c>
      <c r="N677">
        <v>1750</v>
      </c>
      <c r="O677">
        <v>13</v>
      </c>
      <c r="P677">
        <v>18</v>
      </c>
      <c r="Q677">
        <v>12</v>
      </c>
    </row>
    <row r="678" spans="1:17" x14ac:dyDescent="0.3">
      <c r="A678" t="s">
        <v>2128</v>
      </c>
      <c r="B678" t="s">
        <v>2129</v>
      </c>
      <c r="C678" t="s">
        <v>1707</v>
      </c>
      <c r="E678">
        <v>5143</v>
      </c>
      <c r="F678" t="s">
        <v>1050</v>
      </c>
      <c r="G678" t="s">
        <v>1051</v>
      </c>
      <c r="H678" t="s">
        <v>965</v>
      </c>
      <c r="I678">
        <v>77009</v>
      </c>
      <c r="J678" t="s">
        <v>1052</v>
      </c>
      <c r="K678" t="s">
        <v>1053</v>
      </c>
      <c r="M678">
        <v>6250</v>
      </c>
      <c r="N678">
        <v>6250</v>
      </c>
      <c r="O678">
        <v>26</v>
      </c>
      <c r="P678">
        <v>133</v>
      </c>
      <c r="Q678">
        <v>61</v>
      </c>
    </row>
    <row r="679" spans="1:17" x14ac:dyDescent="0.3">
      <c r="A679" t="s">
        <v>2130</v>
      </c>
      <c r="B679" t="s">
        <v>2131</v>
      </c>
      <c r="C679" t="s">
        <v>1707</v>
      </c>
      <c r="E679">
        <v>5223</v>
      </c>
      <c r="F679" t="s">
        <v>2112</v>
      </c>
      <c r="G679" t="s">
        <v>2113</v>
      </c>
      <c r="H679" t="s">
        <v>965</v>
      </c>
      <c r="I679">
        <v>77583</v>
      </c>
      <c r="J679" t="s">
        <v>2114</v>
      </c>
      <c r="K679">
        <v>2814372608</v>
      </c>
      <c r="L679">
        <v>2814372608</v>
      </c>
      <c r="M679">
        <v>12500</v>
      </c>
      <c r="N679">
        <v>12500</v>
      </c>
      <c r="O679">
        <v>16</v>
      </c>
      <c r="P679">
        <v>170</v>
      </c>
      <c r="Q679">
        <v>50</v>
      </c>
    </row>
    <row r="680" spans="1:17" x14ac:dyDescent="0.3">
      <c r="A680" t="s">
        <v>2132</v>
      </c>
      <c r="B680" t="s">
        <v>2133</v>
      </c>
      <c r="C680" t="s">
        <v>1707</v>
      </c>
      <c r="E680">
        <v>5269</v>
      </c>
      <c r="F680" t="s">
        <v>1817</v>
      </c>
      <c r="G680" t="s">
        <v>1818</v>
      </c>
      <c r="H680" t="s">
        <v>965</v>
      </c>
      <c r="I680">
        <v>77545</v>
      </c>
      <c r="J680" t="s">
        <v>1819</v>
      </c>
      <c r="K680">
        <v>8322591129</v>
      </c>
      <c r="M680">
        <v>14000</v>
      </c>
      <c r="N680">
        <v>14000</v>
      </c>
      <c r="O680">
        <v>47</v>
      </c>
      <c r="P680">
        <v>284</v>
      </c>
      <c r="Q680">
        <v>71</v>
      </c>
    </row>
    <row r="681" spans="1:17" x14ac:dyDescent="0.3">
      <c r="A681" t="s">
        <v>945</v>
      </c>
      <c r="B681" t="s">
        <v>263</v>
      </c>
      <c r="D681" t="s">
        <v>950</v>
      </c>
      <c r="E681" t="s">
        <v>951</v>
      </c>
      <c r="F681" t="s">
        <v>655</v>
      </c>
      <c r="G681" t="s">
        <v>952</v>
      </c>
      <c r="H681" t="s">
        <v>953</v>
      </c>
      <c r="I681" t="s">
        <v>954</v>
      </c>
      <c r="J681" t="s">
        <v>955</v>
      </c>
      <c r="K681" t="s">
        <v>956</v>
      </c>
      <c r="L681" t="s">
        <v>957</v>
      </c>
      <c r="M681" t="s">
        <v>958</v>
      </c>
      <c r="N681" t="s">
        <v>959</v>
      </c>
      <c r="O681" t="s">
        <v>960</v>
      </c>
      <c r="P681" t="s">
        <v>961</v>
      </c>
      <c r="Q681" t="s">
        <v>962</v>
      </c>
    </row>
    <row r="682" spans="1:17" x14ac:dyDescent="0.3">
      <c r="A682">
        <v>2</v>
      </c>
      <c r="B682" t="s">
        <v>2134</v>
      </c>
      <c r="C682" t="s">
        <v>1708</v>
      </c>
      <c r="E682">
        <v>5225</v>
      </c>
      <c r="F682" t="s">
        <v>2135</v>
      </c>
      <c r="G682" t="s">
        <v>2136</v>
      </c>
      <c r="H682" t="s">
        <v>965</v>
      </c>
      <c r="I682">
        <v>77045</v>
      </c>
      <c r="J682" t="s">
        <v>2137</v>
      </c>
      <c r="K682">
        <v>8322790159</v>
      </c>
      <c r="M682">
        <v>6000</v>
      </c>
      <c r="N682">
        <v>6000</v>
      </c>
      <c r="O682">
        <v>29</v>
      </c>
      <c r="P682">
        <v>99</v>
      </c>
      <c r="Q682">
        <v>61</v>
      </c>
    </row>
    <row r="683" spans="1:17" x14ac:dyDescent="0.3">
      <c r="A683">
        <v>3</v>
      </c>
      <c r="B683" t="s">
        <v>1601</v>
      </c>
      <c r="C683" t="s">
        <v>1708</v>
      </c>
      <c r="E683">
        <v>5202</v>
      </c>
      <c r="F683" t="s">
        <v>2138</v>
      </c>
      <c r="G683" t="s">
        <v>2139</v>
      </c>
      <c r="H683" t="s">
        <v>965</v>
      </c>
      <c r="I683">
        <v>77573</v>
      </c>
      <c r="J683" t="s">
        <v>2140</v>
      </c>
      <c r="K683">
        <v>8322777260</v>
      </c>
      <c r="L683">
        <v>8325301747</v>
      </c>
      <c r="M683">
        <v>10000</v>
      </c>
      <c r="N683">
        <v>10000</v>
      </c>
      <c r="O683">
        <v>21</v>
      </c>
      <c r="P683">
        <v>80</v>
      </c>
      <c r="Q683">
        <v>38</v>
      </c>
    </row>
    <row r="684" spans="1:17" x14ac:dyDescent="0.3">
      <c r="A684" t="s">
        <v>266</v>
      </c>
      <c r="B684" t="s">
        <v>2141</v>
      </c>
      <c r="C684" t="s">
        <v>1708</v>
      </c>
      <c r="E684">
        <v>5024</v>
      </c>
      <c r="F684" t="s">
        <v>704</v>
      </c>
      <c r="G684" t="s">
        <v>2142</v>
      </c>
      <c r="H684" t="s">
        <v>965</v>
      </c>
      <c r="I684">
        <v>77479</v>
      </c>
      <c r="J684" t="s">
        <v>2143</v>
      </c>
      <c r="K684" t="s">
        <v>2144</v>
      </c>
      <c r="M684">
        <v>1050</v>
      </c>
      <c r="N684">
        <v>1050</v>
      </c>
      <c r="O684">
        <v>16</v>
      </c>
      <c r="P684">
        <v>51</v>
      </c>
      <c r="Q684">
        <v>20</v>
      </c>
    </row>
    <row r="685" spans="1:17" x14ac:dyDescent="0.3">
      <c r="A685">
        <v>4</v>
      </c>
      <c r="B685" t="s">
        <v>2145</v>
      </c>
      <c r="C685" t="s">
        <v>1708</v>
      </c>
      <c r="E685">
        <v>5175</v>
      </c>
      <c r="F685" t="s">
        <v>2146</v>
      </c>
      <c r="G685" t="s">
        <v>2147</v>
      </c>
      <c r="H685" t="s">
        <v>965</v>
      </c>
      <c r="I685">
        <v>75956</v>
      </c>
      <c r="J685" t="s">
        <v>2148</v>
      </c>
      <c r="K685">
        <v>4093842254</v>
      </c>
      <c r="L685">
        <v>4093823362</v>
      </c>
      <c r="M685">
        <v>2100</v>
      </c>
      <c r="N685">
        <v>2500</v>
      </c>
      <c r="O685">
        <v>24</v>
      </c>
      <c r="P685">
        <v>128</v>
      </c>
      <c r="Q685">
        <v>22</v>
      </c>
    </row>
    <row r="686" spans="1:17" x14ac:dyDescent="0.3">
      <c r="A686" t="s">
        <v>900</v>
      </c>
      <c r="B686" t="s">
        <v>967</v>
      </c>
      <c r="C686" t="s">
        <v>1708</v>
      </c>
      <c r="E686">
        <v>5257</v>
      </c>
      <c r="F686" t="s">
        <v>701</v>
      </c>
      <c r="G686" t="s">
        <v>1581</v>
      </c>
      <c r="H686" t="s">
        <v>965</v>
      </c>
      <c r="I686">
        <v>77505</v>
      </c>
      <c r="J686" t="s">
        <v>1582</v>
      </c>
      <c r="K686">
        <v>2814875581</v>
      </c>
      <c r="L686">
        <v>7132461027</v>
      </c>
      <c r="M686">
        <v>4100</v>
      </c>
      <c r="N686">
        <v>4100</v>
      </c>
      <c r="O686">
        <v>17</v>
      </c>
      <c r="P686">
        <v>215</v>
      </c>
      <c r="Q686">
        <v>24</v>
      </c>
    </row>
    <row r="687" spans="1:17" x14ac:dyDescent="0.3">
      <c r="A687">
        <v>5</v>
      </c>
      <c r="B687" t="s">
        <v>2149</v>
      </c>
      <c r="C687" t="s">
        <v>1708</v>
      </c>
      <c r="E687">
        <v>5218</v>
      </c>
      <c r="F687" t="s">
        <v>2150</v>
      </c>
      <c r="G687" t="s">
        <v>2151</v>
      </c>
      <c r="H687" t="s">
        <v>965</v>
      </c>
      <c r="I687">
        <v>77544</v>
      </c>
      <c r="J687" t="s">
        <v>2152</v>
      </c>
      <c r="K687">
        <v>2819894818</v>
      </c>
      <c r="M687">
        <v>3500</v>
      </c>
      <c r="N687">
        <v>3500</v>
      </c>
      <c r="O687">
        <v>38</v>
      </c>
      <c r="P687">
        <v>153</v>
      </c>
      <c r="Q687">
        <v>51</v>
      </c>
    </row>
    <row r="688" spans="1:17" x14ac:dyDescent="0.3">
      <c r="A688" t="s">
        <v>269</v>
      </c>
      <c r="B688" t="s">
        <v>270</v>
      </c>
      <c r="C688" t="s">
        <v>1708</v>
      </c>
      <c r="E688">
        <v>5162</v>
      </c>
      <c r="F688" t="s">
        <v>644</v>
      </c>
      <c r="G688" t="s">
        <v>968</v>
      </c>
      <c r="H688" t="s">
        <v>965</v>
      </c>
      <c r="I688">
        <v>77477</v>
      </c>
      <c r="J688" t="s">
        <v>969</v>
      </c>
      <c r="K688" t="s">
        <v>970</v>
      </c>
      <c r="M688">
        <v>7500</v>
      </c>
      <c r="N688">
        <v>25000</v>
      </c>
      <c r="O688">
        <v>23</v>
      </c>
      <c r="P688">
        <v>28</v>
      </c>
      <c r="Q688">
        <v>9</v>
      </c>
    </row>
    <row r="689" spans="1:17" x14ac:dyDescent="0.3">
      <c r="A689">
        <v>6</v>
      </c>
      <c r="B689" t="s">
        <v>2153</v>
      </c>
      <c r="C689" t="s">
        <v>1708</v>
      </c>
      <c r="E689">
        <v>5191</v>
      </c>
      <c r="F689" t="s">
        <v>2154</v>
      </c>
      <c r="G689" t="s">
        <v>2155</v>
      </c>
      <c r="H689" t="s">
        <v>965</v>
      </c>
      <c r="I689">
        <v>77581</v>
      </c>
      <c r="J689" t="s">
        <v>2156</v>
      </c>
      <c r="K689" t="s">
        <v>2157</v>
      </c>
      <c r="M689">
        <v>1300</v>
      </c>
      <c r="N689">
        <v>1300</v>
      </c>
      <c r="O689">
        <v>13</v>
      </c>
      <c r="P689">
        <v>104</v>
      </c>
      <c r="Q689">
        <v>16</v>
      </c>
    </row>
    <row r="690" spans="1:17" x14ac:dyDescent="0.3">
      <c r="A690" t="s">
        <v>449</v>
      </c>
      <c r="B690" t="s">
        <v>2158</v>
      </c>
      <c r="C690" t="s">
        <v>1708</v>
      </c>
      <c r="E690">
        <v>5135</v>
      </c>
      <c r="F690" t="s">
        <v>2159</v>
      </c>
      <c r="G690" t="s">
        <v>2160</v>
      </c>
      <c r="H690" t="s">
        <v>965</v>
      </c>
      <c r="I690">
        <v>77083</v>
      </c>
      <c r="J690" t="s">
        <v>2161</v>
      </c>
      <c r="K690">
        <v>8326467733</v>
      </c>
      <c r="M690">
        <v>12000</v>
      </c>
      <c r="N690">
        <v>12000</v>
      </c>
      <c r="O690">
        <v>23</v>
      </c>
      <c r="P690">
        <v>167</v>
      </c>
      <c r="Q690">
        <v>61</v>
      </c>
    </row>
    <row r="691" spans="1:17" x14ac:dyDescent="0.3">
      <c r="A691">
        <v>7</v>
      </c>
      <c r="B691" t="s">
        <v>2162</v>
      </c>
      <c r="C691" t="s">
        <v>1708</v>
      </c>
      <c r="E691">
        <v>5261</v>
      </c>
      <c r="F691" t="s">
        <v>2163</v>
      </c>
      <c r="G691" t="s">
        <v>2164</v>
      </c>
      <c r="H691" t="s">
        <v>965</v>
      </c>
      <c r="I691">
        <v>77099</v>
      </c>
      <c r="J691" t="s">
        <v>2165</v>
      </c>
      <c r="K691">
        <v>8324880724</v>
      </c>
      <c r="M691">
        <v>3200</v>
      </c>
      <c r="N691">
        <v>3200</v>
      </c>
      <c r="O691">
        <v>37</v>
      </c>
      <c r="P691">
        <v>89</v>
      </c>
      <c r="Q691">
        <v>20</v>
      </c>
    </row>
    <row r="692" spans="1:17" x14ac:dyDescent="0.3">
      <c r="A692" t="s">
        <v>271</v>
      </c>
      <c r="B692" t="s">
        <v>2166</v>
      </c>
      <c r="C692" t="s">
        <v>1708</v>
      </c>
      <c r="E692">
        <v>5255</v>
      </c>
      <c r="F692" t="s">
        <v>1409</v>
      </c>
      <c r="G692" t="s">
        <v>1410</v>
      </c>
      <c r="H692" t="s">
        <v>965</v>
      </c>
      <c r="I692">
        <v>77023</v>
      </c>
      <c r="J692" t="s">
        <v>1411</v>
      </c>
      <c r="K692">
        <v>8328905356</v>
      </c>
      <c r="M692">
        <v>43000</v>
      </c>
      <c r="N692">
        <v>43000</v>
      </c>
      <c r="O692">
        <v>26</v>
      </c>
      <c r="P692">
        <v>275</v>
      </c>
      <c r="Q692">
        <v>49</v>
      </c>
    </row>
    <row r="693" spans="1:17" x14ac:dyDescent="0.3">
      <c r="A693">
        <v>8</v>
      </c>
      <c r="B693" t="s">
        <v>2167</v>
      </c>
      <c r="C693" t="s">
        <v>1708</v>
      </c>
      <c r="E693">
        <v>5135</v>
      </c>
      <c r="F693" t="s">
        <v>2159</v>
      </c>
      <c r="G693" t="s">
        <v>2160</v>
      </c>
      <c r="H693" t="s">
        <v>965</v>
      </c>
      <c r="I693">
        <v>77083</v>
      </c>
      <c r="J693" t="s">
        <v>2161</v>
      </c>
      <c r="K693">
        <v>8326467733</v>
      </c>
      <c r="M693">
        <v>800</v>
      </c>
      <c r="N693">
        <v>800</v>
      </c>
      <c r="O693">
        <v>12</v>
      </c>
      <c r="P693">
        <v>46</v>
      </c>
      <c r="Q693">
        <v>19</v>
      </c>
    </row>
    <row r="694" spans="1:17" x14ac:dyDescent="0.3">
      <c r="A694" t="s">
        <v>273</v>
      </c>
      <c r="B694" t="s">
        <v>1008</v>
      </c>
      <c r="C694" t="s">
        <v>1708</v>
      </c>
      <c r="E694">
        <v>5149</v>
      </c>
      <c r="F694" t="s">
        <v>662</v>
      </c>
      <c r="G694" t="s">
        <v>2168</v>
      </c>
      <c r="H694" t="s">
        <v>965</v>
      </c>
      <c r="I694">
        <v>77477</v>
      </c>
      <c r="J694" t="s">
        <v>2169</v>
      </c>
      <c r="M694">
        <v>5500</v>
      </c>
      <c r="N694">
        <v>14000</v>
      </c>
      <c r="O694">
        <v>24</v>
      </c>
      <c r="P694">
        <v>144</v>
      </c>
      <c r="Q694">
        <v>21</v>
      </c>
    </row>
    <row r="695" spans="1:17" x14ac:dyDescent="0.3">
      <c r="A695">
        <v>9</v>
      </c>
      <c r="B695" t="s">
        <v>2170</v>
      </c>
      <c r="C695" t="s">
        <v>1708</v>
      </c>
      <c r="E695">
        <v>5034</v>
      </c>
      <c r="F695" t="s">
        <v>2048</v>
      </c>
      <c r="G695" t="s">
        <v>2049</v>
      </c>
      <c r="H695" t="s">
        <v>965</v>
      </c>
      <c r="I695">
        <v>77535</v>
      </c>
      <c r="J695" t="s">
        <v>2050</v>
      </c>
      <c r="K695">
        <v>9364022672</v>
      </c>
      <c r="M695">
        <v>4500</v>
      </c>
      <c r="N695">
        <v>4500</v>
      </c>
      <c r="O695">
        <v>30</v>
      </c>
      <c r="P695">
        <v>61</v>
      </c>
      <c r="Q695">
        <v>32</v>
      </c>
    </row>
    <row r="696" spans="1:17" x14ac:dyDescent="0.3">
      <c r="A696" t="s">
        <v>275</v>
      </c>
      <c r="B696" t="s">
        <v>272</v>
      </c>
      <c r="C696" t="s">
        <v>1708</v>
      </c>
      <c r="E696">
        <v>5162</v>
      </c>
      <c r="F696" t="s">
        <v>644</v>
      </c>
      <c r="G696" t="s">
        <v>968</v>
      </c>
      <c r="H696" t="s">
        <v>965</v>
      </c>
      <c r="I696">
        <v>77477</v>
      </c>
      <c r="J696" t="s">
        <v>969</v>
      </c>
      <c r="K696" t="s">
        <v>970</v>
      </c>
      <c r="M696">
        <v>6250</v>
      </c>
      <c r="N696">
        <v>10000</v>
      </c>
      <c r="O696">
        <v>22</v>
      </c>
      <c r="P696">
        <v>71</v>
      </c>
      <c r="Q696">
        <v>11</v>
      </c>
    </row>
    <row r="697" spans="1:17" x14ac:dyDescent="0.3">
      <c r="A697">
        <v>10</v>
      </c>
      <c r="B697" t="s">
        <v>2171</v>
      </c>
      <c r="C697" t="s">
        <v>1708</v>
      </c>
      <c r="E697">
        <v>5248</v>
      </c>
      <c r="F697" t="s">
        <v>693</v>
      </c>
      <c r="G697" t="s">
        <v>2172</v>
      </c>
      <c r="H697" t="s">
        <v>965</v>
      </c>
      <c r="I697">
        <v>77479</v>
      </c>
      <c r="J697" t="s">
        <v>2173</v>
      </c>
      <c r="K697">
        <v>7132407121</v>
      </c>
      <c r="M697">
        <v>2100</v>
      </c>
      <c r="N697">
        <v>2100</v>
      </c>
      <c r="O697">
        <v>27</v>
      </c>
      <c r="P697">
        <v>150</v>
      </c>
      <c r="Q697">
        <v>62</v>
      </c>
    </row>
    <row r="698" spans="1:17" x14ac:dyDescent="0.3">
      <c r="A698" t="s">
        <v>277</v>
      </c>
      <c r="B698" t="s">
        <v>2174</v>
      </c>
      <c r="C698" t="s">
        <v>1708</v>
      </c>
      <c r="E698">
        <v>5119</v>
      </c>
      <c r="F698" t="s">
        <v>2175</v>
      </c>
      <c r="G698" t="s">
        <v>2176</v>
      </c>
      <c r="H698" t="s">
        <v>965</v>
      </c>
      <c r="I698">
        <v>77573</v>
      </c>
      <c r="J698" t="s">
        <v>2177</v>
      </c>
      <c r="K698">
        <v>7132528720</v>
      </c>
      <c r="M698">
        <v>2200</v>
      </c>
      <c r="N698">
        <v>2200</v>
      </c>
      <c r="O698">
        <v>9</v>
      </c>
      <c r="P698">
        <v>56</v>
      </c>
      <c r="Q698">
        <v>24</v>
      </c>
    </row>
    <row r="699" spans="1:17" x14ac:dyDescent="0.3">
      <c r="A699">
        <v>11</v>
      </c>
      <c r="B699" t="s">
        <v>2178</v>
      </c>
      <c r="C699" t="s">
        <v>1708</v>
      </c>
      <c r="E699">
        <v>5248</v>
      </c>
      <c r="F699" t="s">
        <v>693</v>
      </c>
      <c r="G699" t="s">
        <v>2172</v>
      </c>
      <c r="H699" t="s">
        <v>965</v>
      </c>
      <c r="I699">
        <v>77479</v>
      </c>
      <c r="J699" t="s">
        <v>2173</v>
      </c>
      <c r="K699">
        <v>7132407121</v>
      </c>
      <c r="M699">
        <v>3600</v>
      </c>
      <c r="N699">
        <v>3600</v>
      </c>
      <c r="O699">
        <v>20</v>
      </c>
      <c r="P699">
        <v>83</v>
      </c>
      <c r="Q699">
        <v>30</v>
      </c>
    </row>
    <row r="700" spans="1:17" x14ac:dyDescent="0.3">
      <c r="A700" t="s">
        <v>451</v>
      </c>
      <c r="B700" t="s">
        <v>2179</v>
      </c>
      <c r="C700" t="s">
        <v>1708</v>
      </c>
      <c r="E700">
        <v>5034</v>
      </c>
      <c r="F700" t="s">
        <v>2048</v>
      </c>
      <c r="G700" t="s">
        <v>2049</v>
      </c>
      <c r="H700" t="s">
        <v>965</v>
      </c>
      <c r="I700">
        <v>77535</v>
      </c>
      <c r="J700" t="s">
        <v>2050</v>
      </c>
      <c r="K700">
        <v>9364022672</v>
      </c>
      <c r="M700">
        <v>3500</v>
      </c>
      <c r="N700">
        <v>3500</v>
      </c>
      <c r="O700">
        <v>12</v>
      </c>
      <c r="P700">
        <v>35</v>
      </c>
      <c r="Q700">
        <v>23</v>
      </c>
    </row>
    <row r="701" spans="1:17" x14ac:dyDescent="0.3">
      <c r="A701">
        <v>12</v>
      </c>
      <c r="B701" t="s">
        <v>2180</v>
      </c>
      <c r="C701" t="s">
        <v>1708</v>
      </c>
      <c r="E701">
        <v>5100</v>
      </c>
      <c r="F701" t="s">
        <v>689</v>
      </c>
      <c r="G701" t="s">
        <v>1188</v>
      </c>
      <c r="H701" t="s">
        <v>965</v>
      </c>
      <c r="I701">
        <v>77469</v>
      </c>
      <c r="J701" t="s">
        <v>1189</v>
      </c>
      <c r="K701">
        <v>7133056434</v>
      </c>
      <c r="M701">
        <v>650</v>
      </c>
      <c r="N701">
        <v>650</v>
      </c>
      <c r="O701">
        <v>5</v>
      </c>
      <c r="P701">
        <v>40</v>
      </c>
      <c r="Q701">
        <v>6</v>
      </c>
    </row>
    <row r="702" spans="1:17" x14ac:dyDescent="0.3">
      <c r="A702" t="s">
        <v>279</v>
      </c>
      <c r="B702" t="s">
        <v>2181</v>
      </c>
      <c r="C702" t="s">
        <v>1708</v>
      </c>
      <c r="E702">
        <v>5181</v>
      </c>
      <c r="F702" t="s">
        <v>2182</v>
      </c>
      <c r="G702" t="s">
        <v>2183</v>
      </c>
      <c r="H702" t="s">
        <v>965</v>
      </c>
      <c r="I702">
        <v>77459</v>
      </c>
      <c r="J702" t="s">
        <v>2184</v>
      </c>
      <c r="K702">
        <v>8324933196</v>
      </c>
      <c r="M702">
        <v>24000</v>
      </c>
      <c r="N702">
        <v>24000</v>
      </c>
      <c r="O702">
        <v>33</v>
      </c>
      <c r="P702">
        <v>172</v>
      </c>
      <c r="Q702">
        <v>42</v>
      </c>
    </row>
    <row r="703" spans="1:17" x14ac:dyDescent="0.3">
      <c r="A703">
        <v>13</v>
      </c>
      <c r="B703" t="s">
        <v>2185</v>
      </c>
      <c r="C703" t="s">
        <v>1708</v>
      </c>
      <c r="E703">
        <v>5248</v>
      </c>
      <c r="F703" t="s">
        <v>693</v>
      </c>
      <c r="G703" t="s">
        <v>2172</v>
      </c>
      <c r="H703" t="s">
        <v>965</v>
      </c>
      <c r="I703">
        <v>77479</v>
      </c>
      <c r="J703" t="s">
        <v>2173</v>
      </c>
      <c r="K703">
        <v>7132407121</v>
      </c>
      <c r="M703">
        <v>1250</v>
      </c>
      <c r="N703">
        <v>1250</v>
      </c>
      <c r="O703">
        <v>10</v>
      </c>
      <c r="P703">
        <v>102</v>
      </c>
      <c r="Q703">
        <v>18</v>
      </c>
    </row>
    <row r="704" spans="1:17" x14ac:dyDescent="0.3">
      <c r="A704" t="s">
        <v>281</v>
      </c>
      <c r="B704" t="s">
        <v>274</v>
      </c>
      <c r="C704" t="s">
        <v>1708</v>
      </c>
      <c r="E704">
        <v>5162</v>
      </c>
      <c r="F704" t="s">
        <v>644</v>
      </c>
      <c r="G704" t="s">
        <v>968</v>
      </c>
      <c r="H704" t="s">
        <v>965</v>
      </c>
      <c r="I704">
        <v>77477</v>
      </c>
      <c r="J704" t="s">
        <v>969</v>
      </c>
      <c r="K704" t="s">
        <v>970</v>
      </c>
      <c r="M704">
        <v>2600</v>
      </c>
      <c r="N704">
        <v>4000</v>
      </c>
      <c r="O704">
        <v>4</v>
      </c>
      <c r="P704">
        <v>90</v>
      </c>
      <c r="Q704">
        <v>15</v>
      </c>
    </row>
    <row r="705" spans="1:17" x14ac:dyDescent="0.3">
      <c r="A705">
        <v>14</v>
      </c>
      <c r="B705" t="s">
        <v>2186</v>
      </c>
      <c r="C705" t="s">
        <v>1708</v>
      </c>
      <c r="E705">
        <v>5235</v>
      </c>
      <c r="F705" t="s">
        <v>1961</v>
      </c>
      <c r="G705" t="s">
        <v>1962</v>
      </c>
      <c r="H705" t="s">
        <v>965</v>
      </c>
      <c r="I705">
        <v>77583</v>
      </c>
      <c r="J705" t="s">
        <v>1963</v>
      </c>
      <c r="K705">
        <v>7542323883</v>
      </c>
      <c r="M705">
        <v>4500</v>
      </c>
      <c r="N705">
        <v>4500</v>
      </c>
      <c r="O705">
        <v>14</v>
      </c>
      <c r="P705">
        <v>71</v>
      </c>
      <c r="Q705">
        <v>11</v>
      </c>
    </row>
    <row r="706" spans="1:17" x14ac:dyDescent="0.3">
      <c r="A706" t="s">
        <v>284</v>
      </c>
      <c r="B706" t="s">
        <v>1035</v>
      </c>
      <c r="C706" t="s">
        <v>1708</v>
      </c>
      <c r="E706">
        <v>5034</v>
      </c>
      <c r="F706" t="s">
        <v>2048</v>
      </c>
      <c r="G706" t="s">
        <v>2049</v>
      </c>
      <c r="H706" t="s">
        <v>965</v>
      </c>
      <c r="I706">
        <v>77535</v>
      </c>
      <c r="J706" t="s">
        <v>2050</v>
      </c>
      <c r="K706">
        <v>9364022672</v>
      </c>
      <c r="M706">
        <v>7250</v>
      </c>
      <c r="N706">
        <v>7500</v>
      </c>
      <c r="O706">
        <v>12</v>
      </c>
      <c r="P706">
        <v>81</v>
      </c>
      <c r="Q706">
        <v>18</v>
      </c>
    </row>
    <row r="707" spans="1:17" x14ac:dyDescent="0.3">
      <c r="A707">
        <v>15</v>
      </c>
      <c r="B707" t="s">
        <v>2187</v>
      </c>
      <c r="C707" t="s">
        <v>1708</v>
      </c>
      <c r="E707">
        <v>5013</v>
      </c>
      <c r="F707" t="s">
        <v>2188</v>
      </c>
      <c r="G707" t="s">
        <v>2189</v>
      </c>
      <c r="H707" t="s">
        <v>965</v>
      </c>
      <c r="I707">
        <v>77583</v>
      </c>
      <c r="J707" t="s">
        <v>2190</v>
      </c>
      <c r="K707">
        <v>8326387185</v>
      </c>
      <c r="M707">
        <v>550</v>
      </c>
      <c r="N707">
        <v>550</v>
      </c>
      <c r="O707">
        <v>3</v>
      </c>
      <c r="P707">
        <v>43</v>
      </c>
      <c r="Q707">
        <v>11</v>
      </c>
    </row>
    <row r="708" spans="1:17" x14ac:dyDescent="0.3">
      <c r="A708" t="s">
        <v>286</v>
      </c>
      <c r="B708" t="s">
        <v>276</v>
      </c>
      <c r="C708" t="s">
        <v>1708</v>
      </c>
      <c r="E708">
        <v>5162</v>
      </c>
      <c r="F708" t="s">
        <v>644</v>
      </c>
      <c r="G708" t="s">
        <v>968</v>
      </c>
      <c r="H708" t="s">
        <v>965</v>
      </c>
      <c r="I708">
        <v>77477</v>
      </c>
      <c r="J708" t="s">
        <v>969</v>
      </c>
      <c r="K708" t="s">
        <v>970</v>
      </c>
      <c r="M708">
        <v>4300</v>
      </c>
      <c r="N708">
        <v>5000</v>
      </c>
      <c r="O708">
        <v>21</v>
      </c>
      <c r="P708">
        <v>34</v>
      </c>
      <c r="Q708">
        <v>24</v>
      </c>
    </row>
    <row r="709" spans="1:17" x14ac:dyDescent="0.3">
      <c r="A709">
        <v>16</v>
      </c>
      <c r="B709" t="s">
        <v>2191</v>
      </c>
      <c r="C709" t="s">
        <v>1708</v>
      </c>
      <c r="E709">
        <v>5130</v>
      </c>
      <c r="F709" t="s">
        <v>2192</v>
      </c>
      <c r="G709" t="s">
        <v>2193</v>
      </c>
      <c r="H709" t="s">
        <v>965</v>
      </c>
      <c r="I709">
        <v>78665</v>
      </c>
      <c r="J709" t="s">
        <v>2194</v>
      </c>
      <c r="K709">
        <v>5126633696</v>
      </c>
      <c r="M709">
        <v>1500</v>
      </c>
      <c r="N709">
        <v>1500</v>
      </c>
      <c r="O709">
        <v>17</v>
      </c>
      <c r="P709">
        <v>66</v>
      </c>
      <c r="Q709">
        <v>43</v>
      </c>
    </row>
    <row r="710" spans="1:17" x14ac:dyDescent="0.3">
      <c r="A710" t="s">
        <v>457</v>
      </c>
      <c r="B710" t="s">
        <v>2195</v>
      </c>
      <c r="C710" t="s">
        <v>1708</v>
      </c>
      <c r="E710">
        <v>5218</v>
      </c>
      <c r="F710" t="s">
        <v>2150</v>
      </c>
      <c r="G710" t="s">
        <v>2151</v>
      </c>
      <c r="H710" t="s">
        <v>965</v>
      </c>
      <c r="I710">
        <v>77544</v>
      </c>
      <c r="J710" t="s">
        <v>2152</v>
      </c>
      <c r="K710">
        <v>2819894818</v>
      </c>
      <c r="M710">
        <v>4800</v>
      </c>
      <c r="N710">
        <v>4800</v>
      </c>
      <c r="O710">
        <v>33</v>
      </c>
      <c r="P710">
        <v>72</v>
      </c>
      <c r="Q710">
        <v>49</v>
      </c>
    </row>
    <row r="711" spans="1:17" x14ac:dyDescent="0.3">
      <c r="A711">
        <v>17</v>
      </c>
      <c r="B711" t="s">
        <v>1601</v>
      </c>
      <c r="C711" t="s">
        <v>1708</v>
      </c>
      <c r="E711">
        <v>5230</v>
      </c>
      <c r="F711" t="s">
        <v>2196</v>
      </c>
      <c r="G711" t="s">
        <v>2197</v>
      </c>
      <c r="H711" t="s">
        <v>965</v>
      </c>
      <c r="I711">
        <v>77015</v>
      </c>
      <c r="J711" t="s">
        <v>2198</v>
      </c>
      <c r="K711">
        <v>7137752970</v>
      </c>
      <c r="M711">
        <v>950</v>
      </c>
      <c r="N711">
        <v>975</v>
      </c>
      <c r="O711">
        <v>7</v>
      </c>
      <c r="P711">
        <v>44</v>
      </c>
      <c r="Q711">
        <v>21</v>
      </c>
    </row>
    <row r="712" spans="1:17" x14ac:dyDescent="0.3">
      <c r="A712" t="s">
        <v>288</v>
      </c>
      <c r="B712" t="s">
        <v>278</v>
      </c>
      <c r="C712" t="s">
        <v>1708</v>
      </c>
      <c r="E712">
        <v>5162</v>
      </c>
      <c r="F712" t="s">
        <v>644</v>
      </c>
      <c r="G712" t="s">
        <v>968</v>
      </c>
      <c r="H712" t="s">
        <v>965</v>
      </c>
      <c r="I712">
        <v>77477</v>
      </c>
      <c r="J712" t="s">
        <v>969</v>
      </c>
      <c r="K712" t="s">
        <v>970</v>
      </c>
      <c r="M712">
        <v>1050</v>
      </c>
      <c r="N712">
        <v>13000</v>
      </c>
      <c r="O712">
        <v>2</v>
      </c>
      <c r="P712">
        <v>17</v>
      </c>
      <c r="Q712">
        <v>2</v>
      </c>
    </row>
    <row r="713" spans="1:17" x14ac:dyDescent="0.3">
      <c r="A713">
        <v>18</v>
      </c>
      <c r="B713" t="s">
        <v>2199</v>
      </c>
      <c r="C713" t="s">
        <v>1708</v>
      </c>
      <c r="E713">
        <v>5100</v>
      </c>
      <c r="F713" t="s">
        <v>689</v>
      </c>
      <c r="G713" t="s">
        <v>1188</v>
      </c>
      <c r="H713" t="s">
        <v>965</v>
      </c>
      <c r="I713">
        <v>77469</v>
      </c>
      <c r="J713" t="s">
        <v>1189</v>
      </c>
      <c r="K713">
        <v>7133056434</v>
      </c>
      <c r="M713">
        <v>3200</v>
      </c>
      <c r="N713">
        <v>3200</v>
      </c>
      <c r="O713">
        <v>15</v>
      </c>
      <c r="P713">
        <v>76</v>
      </c>
      <c r="Q713">
        <v>15</v>
      </c>
    </row>
    <row r="714" spans="1:17" x14ac:dyDescent="0.3">
      <c r="A714" t="s">
        <v>290</v>
      </c>
      <c r="B714" t="s">
        <v>2200</v>
      </c>
      <c r="C714" t="s">
        <v>1708</v>
      </c>
      <c r="E714">
        <v>5244</v>
      </c>
      <c r="F714" t="s">
        <v>2201</v>
      </c>
      <c r="G714" t="s">
        <v>2202</v>
      </c>
      <c r="H714" t="s">
        <v>965</v>
      </c>
      <c r="I714">
        <v>77293</v>
      </c>
      <c r="J714" t="s">
        <v>2203</v>
      </c>
      <c r="K714">
        <v>3465597069</v>
      </c>
      <c r="M714">
        <v>40000</v>
      </c>
      <c r="N714">
        <v>40000</v>
      </c>
      <c r="O714">
        <v>45</v>
      </c>
      <c r="P714">
        <v>274</v>
      </c>
      <c r="Q714">
        <v>66</v>
      </c>
    </row>
    <row r="715" spans="1:17" x14ac:dyDescent="0.3">
      <c r="A715">
        <v>19</v>
      </c>
      <c r="B715" t="s">
        <v>2204</v>
      </c>
      <c r="C715" t="s">
        <v>1708</v>
      </c>
      <c r="E715">
        <v>5154</v>
      </c>
      <c r="F715" t="s">
        <v>690</v>
      </c>
      <c r="G715" t="s">
        <v>2081</v>
      </c>
      <c r="H715" t="s">
        <v>965</v>
      </c>
      <c r="I715">
        <v>77026</v>
      </c>
      <c r="J715" t="s">
        <v>2082</v>
      </c>
      <c r="K715">
        <v>7135487587</v>
      </c>
      <c r="M715">
        <v>500</v>
      </c>
      <c r="N715">
        <v>500</v>
      </c>
      <c r="O715">
        <v>1</v>
      </c>
      <c r="P715">
        <v>27</v>
      </c>
      <c r="Q715">
        <v>3</v>
      </c>
    </row>
    <row r="716" spans="1:17" x14ac:dyDescent="0.3">
      <c r="A716" t="s">
        <v>370</v>
      </c>
      <c r="B716" t="s">
        <v>2205</v>
      </c>
      <c r="C716" t="s">
        <v>1708</v>
      </c>
      <c r="E716">
        <v>5170</v>
      </c>
      <c r="F716" t="s">
        <v>661</v>
      </c>
      <c r="G716" t="s">
        <v>2206</v>
      </c>
      <c r="H716" t="s">
        <v>965</v>
      </c>
      <c r="I716">
        <v>78626</v>
      </c>
      <c r="J716" t="s">
        <v>2207</v>
      </c>
      <c r="K716">
        <v>2817748923</v>
      </c>
      <c r="M716">
        <v>2250</v>
      </c>
      <c r="N716">
        <v>2250</v>
      </c>
      <c r="O716">
        <v>6</v>
      </c>
      <c r="P716">
        <v>47</v>
      </c>
      <c r="Q716">
        <v>21</v>
      </c>
    </row>
    <row r="717" spans="1:17" x14ac:dyDescent="0.3">
      <c r="A717" t="s">
        <v>292</v>
      </c>
      <c r="B717" t="s">
        <v>289</v>
      </c>
      <c r="C717" t="s">
        <v>1708</v>
      </c>
      <c r="E717">
        <v>5162</v>
      </c>
      <c r="F717" t="s">
        <v>644</v>
      </c>
      <c r="G717" t="s">
        <v>968</v>
      </c>
      <c r="H717" t="s">
        <v>965</v>
      </c>
      <c r="I717">
        <v>77477</v>
      </c>
      <c r="J717" t="s">
        <v>969</v>
      </c>
      <c r="K717" t="s">
        <v>970</v>
      </c>
      <c r="M717">
        <v>15455</v>
      </c>
      <c r="N717">
        <v>15955</v>
      </c>
      <c r="O717">
        <v>37</v>
      </c>
      <c r="P717">
        <v>54</v>
      </c>
      <c r="Q717">
        <v>14</v>
      </c>
    </row>
    <row r="718" spans="1:17" x14ac:dyDescent="0.3">
      <c r="A718">
        <v>21</v>
      </c>
      <c r="B718" t="s">
        <v>1489</v>
      </c>
      <c r="C718" t="s">
        <v>1708</v>
      </c>
      <c r="F718" t="s">
        <v>649</v>
      </c>
      <c r="M718">
        <v>0</v>
      </c>
      <c r="N718">
        <v>0</v>
      </c>
      <c r="O718">
        <v>0</v>
      </c>
      <c r="P718">
        <v>14</v>
      </c>
      <c r="Q718">
        <v>9</v>
      </c>
    </row>
    <row r="719" spans="1:17" x14ac:dyDescent="0.3">
      <c r="A719" t="s">
        <v>462</v>
      </c>
      <c r="B719" t="s">
        <v>280</v>
      </c>
      <c r="C719" t="s">
        <v>1708</v>
      </c>
      <c r="E719">
        <v>5162</v>
      </c>
      <c r="F719" t="s">
        <v>644</v>
      </c>
      <c r="G719" t="s">
        <v>968</v>
      </c>
      <c r="H719" t="s">
        <v>965</v>
      </c>
      <c r="I719">
        <v>77477</v>
      </c>
      <c r="J719" t="s">
        <v>969</v>
      </c>
      <c r="K719" t="s">
        <v>970</v>
      </c>
      <c r="M719">
        <v>1205</v>
      </c>
      <c r="N719">
        <v>13000</v>
      </c>
      <c r="O719">
        <v>2</v>
      </c>
      <c r="P719">
        <v>12</v>
      </c>
      <c r="Q719">
        <v>2</v>
      </c>
    </row>
    <row r="720" spans="1:17" x14ac:dyDescent="0.3">
      <c r="A720">
        <v>22</v>
      </c>
      <c r="B720" t="s">
        <v>2208</v>
      </c>
      <c r="C720" t="s">
        <v>1708</v>
      </c>
      <c r="E720">
        <v>5022</v>
      </c>
      <c r="F720" t="s">
        <v>1441</v>
      </c>
      <c r="G720" t="s">
        <v>1442</v>
      </c>
      <c r="H720" t="s">
        <v>965</v>
      </c>
      <c r="I720">
        <v>77082</v>
      </c>
      <c r="J720" t="s">
        <v>1443</v>
      </c>
      <c r="K720">
        <v>2818025025</v>
      </c>
      <c r="M720">
        <v>3100</v>
      </c>
      <c r="N720">
        <v>3200</v>
      </c>
      <c r="O720">
        <v>42</v>
      </c>
      <c r="P720">
        <v>76</v>
      </c>
      <c r="Q720">
        <v>27</v>
      </c>
    </row>
    <row r="721" spans="1:17" x14ac:dyDescent="0.3">
      <c r="A721">
        <v>23</v>
      </c>
      <c r="B721" t="s">
        <v>2209</v>
      </c>
      <c r="C721" t="s">
        <v>1708</v>
      </c>
      <c r="E721">
        <v>5047</v>
      </c>
      <c r="F721" t="s">
        <v>700</v>
      </c>
      <c r="G721" t="s">
        <v>2210</v>
      </c>
      <c r="H721" t="s">
        <v>965</v>
      </c>
      <c r="I721">
        <v>77584</v>
      </c>
      <c r="J721" t="s">
        <v>2211</v>
      </c>
      <c r="K721">
        <v>8326489134</v>
      </c>
      <c r="M721">
        <v>500</v>
      </c>
      <c r="N721">
        <v>500</v>
      </c>
      <c r="O721">
        <v>1</v>
      </c>
      <c r="P721">
        <v>20</v>
      </c>
      <c r="Q721">
        <v>3</v>
      </c>
    </row>
    <row r="722" spans="1:17" x14ac:dyDescent="0.3">
      <c r="A722">
        <v>24</v>
      </c>
      <c r="B722" t="s">
        <v>2212</v>
      </c>
      <c r="C722" t="s">
        <v>1708</v>
      </c>
      <c r="E722">
        <v>5206</v>
      </c>
      <c r="F722" t="s">
        <v>972</v>
      </c>
      <c r="G722" t="s">
        <v>973</v>
      </c>
      <c r="H722" t="s">
        <v>965</v>
      </c>
      <c r="I722">
        <v>77355</v>
      </c>
      <c r="J722" t="s">
        <v>974</v>
      </c>
      <c r="K722" t="s">
        <v>975</v>
      </c>
      <c r="M722">
        <v>675</v>
      </c>
      <c r="N722">
        <v>675</v>
      </c>
      <c r="O722">
        <v>8</v>
      </c>
      <c r="P722">
        <v>38</v>
      </c>
      <c r="Q722">
        <v>28</v>
      </c>
    </row>
    <row r="723" spans="1:17" x14ac:dyDescent="0.3">
      <c r="A723">
        <v>25</v>
      </c>
      <c r="B723" t="s">
        <v>2213</v>
      </c>
      <c r="C723" t="s">
        <v>1708</v>
      </c>
      <c r="E723">
        <v>5258</v>
      </c>
      <c r="F723" t="s">
        <v>1770</v>
      </c>
      <c r="G723" t="s">
        <v>1771</v>
      </c>
      <c r="H723" t="s">
        <v>965</v>
      </c>
      <c r="I723">
        <v>77514</v>
      </c>
      <c r="J723" t="s">
        <v>1772</v>
      </c>
      <c r="K723">
        <v>7132532625</v>
      </c>
      <c r="M723">
        <v>2000</v>
      </c>
      <c r="N723">
        <v>2000</v>
      </c>
      <c r="O723">
        <v>11</v>
      </c>
      <c r="P723">
        <v>55</v>
      </c>
      <c r="Q723">
        <v>19</v>
      </c>
    </row>
    <row r="724" spans="1:17" x14ac:dyDescent="0.3">
      <c r="A724">
        <v>26</v>
      </c>
      <c r="B724" t="s">
        <v>2214</v>
      </c>
      <c r="C724" t="s">
        <v>1708</v>
      </c>
      <c r="E724">
        <v>5246</v>
      </c>
      <c r="F724" t="s">
        <v>2215</v>
      </c>
      <c r="G724" t="s">
        <v>2216</v>
      </c>
      <c r="H724" t="s">
        <v>965</v>
      </c>
      <c r="I724">
        <v>77083</v>
      </c>
      <c r="J724" t="s">
        <v>2217</v>
      </c>
      <c r="K724">
        <v>8324079656</v>
      </c>
      <c r="M724">
        <v>1650</v>
      </c>
      <c r="N724">
        <v>1650</v>
      </c>
      <c r="O724">
        <v>24</v>
      </c>
      <c r="P724">
        <v>50</v>
      </c>
      <c r="Q724">
        <v>26</v>
      </c>
    </row>
    <row r="725" spans="1:17" x14ac:dyDescent="0.3">
      <c r="A725">
        <v>28</v>
      </c>
      <c r="B725" t="s">
        <v>2218</v>
      </c>
      <c r="C725" t="s">
        <v>1708</v>
      </c>
      <c r="E725">
        <v>5258</v>
      </c>
      <c r="F725" t="s">
        <v>1770</v>
      </c>
      <c r="G725" t="s">
        <v>1771</v>
      </c>
      <c r="H725" t="s">
        <v>965</v>
      </c>
      <c r="I725">
        <v>77514</v>
      </c>
      <c r="J725" t="s">
        <v>1772</v>
      </c>
      <c r="K725">
        <v>7132532625</v>
      </c>
      <c r="M725">
        <v>2000</v>
      </c>
      <c r="N725">
        <v>2000</v>
      </c>
      <c r="O725">
        <v>16</v>
      </c>
      <c r="P725">
        <v>112</v>
      </c>
      <c r="Q725">
        <v>36</v>
      </c>
    </row>
    <row r="726" spans="1:17" x14ac:dyDescent="0.3">
      <c r="A726">
        <v>29</v>
      </c>
      <c r="B726" t="s">
        <v>2219</v>
      </c>
      <c r="C726" t="s">
        <v>1708</v>
      </c>
      <c r="E726">
        <v>5258</v>
      </c>
      <c r="F726" t="s">
        <v>1770</v>
      </c>
      <c r="G726" t="s">
        <v>1771</v>
      </c>
      <c r="H726" t="s">
        <v>965</v>
      </c>
      <c r="I726">
        <v>77514</v>
      </c>
      <c r="J726" t="s">
        <v>1772</v>
      </c>
      <c r="K726">
        <v>7132532625</v>
      </c>
      <c r="M726">
        <v>2000</v>
      </c>
      <c r="N726">
        <v>2000</v>
      </c>
      <c r="O726">
        <v>13</v>
      </c>
      <c r="P726">
        <v>41</v>
      </c>
      <c r="Q726">
        <v>19</v>
      </c>
    </row>
    <row r="727" spans="1:17" x14ac:dyDescent="0.3">
      <c r="A727">
        <v>30</v>
      </c>
      <c r="B727" t="s">
        <v>742</v>
      </c>
      <c r="C727" t="s">
        <v>1708</v>
      </c>
      <c r="F727" t="s">
        <v>649</v>
      </c>
      <c r="M727">
        <v>0</v>
      </c>
      <c r="N727">
        <v>0</v>
      </c>
      <c r="O727">
        <v>0</v>
      </c>
      <c r="P727">
        <v>17</v>
      </c>
      <c r="Q727">
        <v>1</v>
      </c>
    </row>
    <row r="728" spans="1:17" x14ac:dyDescent="0.3">
      <c r="A728" t="s">
        <v>926</v>
      </c>
      <c r="B728" t="s">
        <v>2220</v>
      </c>
      <c r="C728" t="s">
        <v>1708</v>
      </c>
      <c r="E728">
        <v>5033</v>
      </c>
      <c r="F728" t="s">
        <v>1387</v>
      </c>
      <c r="G728" t="s">
        <v>1388</v>
      </c>
      <c r="H728" t="s">
        <v>965</v>
      </c>
      <c r="I728">
        <v>77080</v>
      </c>
      <c r="J728" t="s">
        <v>1389</v>
      </c>
      <c r="K728">
        <v>5127871010</v>
      </c>
      <c r="M728">
        <v>5750</v>
      </c>
      <c r="N728">
        <v>7000</v>
      </c>
      <c r="O728">
        <v>18</v>
      </c>
      <c r="P728">
        <v>91</v>
      </c>
      <c r="Q728">
        <v>24</v>
      </c>
    </row>
    <row r="729" spans="1:17" x14ac:dyDescent="0.3">
      <c r="A729">
        <v>32</v>
      </c>
      <c r="B729" t="s">
        <v>2221</v>
      </c>
      <c r="C729" t="s">
        <v>1708</v>
      </c>
      <c r="E729">
        <v>5234</v>
      </c>
      <c r="F729" t="s">
        <v>1227</v>
      </c>
      <c r="G729" t="s">
        <v>1228</v>
      </c>
      <c r="H729" t="s">
        <v>965</v>
      </c>
      <c r="I729">
        <v>77459</v>
      </c>
      <c r="J729" t="s">
        <v>2222</v>
      </c>
      <c r="K729">
        <v>2812029040</v>
      </c>
      <c r="M729">
        <v>3300</v>
      </c>
      <c r="N729">
        <v>3350</v>
      </c>
      <c r="O729">
        <v>10</v>
      </c>
      <c r="P729">
        <v>71</v>
      </c>
      <c r="Q729">
        <v>26</v>
      </c>
    </row>
    <row r="730" spans="1:17" x14ac:dyDescent="0.3">
      <c r="A730" t="s">
        <v>310</v>
      </c>
      <c r="B730" t="s">
        <v>282</v>
      </c>
      <c r="C730" t="s">
        <v>1708</v>
      </c>
      <c r="E730">
        <v>5162</v>
      </c>
      <c r="F730" t="s">
        <v>644</v>
      </c>
      <c r="G730" t="s">
        <v>968</v>
      </c>
      <c r="H730" t="s">
        <v>965</v>
      </c>
      <c r="I730">
        <v>77477</v>
      </c>
      <c r="J730" t="s">
        <v>969</v>
      </c>
      <c r="K730" t="s">
        <v>970</v>
      </c>
      <c r="M730">
        <v>3700</v>
      </c>
      <c r="N730">
        <v>15000</v>
      </c>
      <c r="O730">
        <v>10</v>
      </c>
      <c r="P730">
        <v>56</v>
      </c>
      <c r="Q730">
        <v>7</v>
      </c>
    </row>
    <row r="731" spans="1:17" x14ac:dyDescent="0.3">
      <c r="A731">
        <v>33</v>
      </c>
      <c r="B731" t="s">
        <v>2223</v>
      </c>
      <c r="C731" t="s">
        <v>1708</v>
      </c>
      <c r="E731">
        <v>5210</v>
      </c>
      <c r="F731" t="s">
        <v>2224</v>
      </c>
      <c r="G731" t="s">
        <v>2225</v>
      </c>
      <c r="H731" t="s">
        <v>965</v>
      </c>
      <c r="I731">
        <v>77479</v>
      </c>
      <c r="J731" t="s">
        <v>2226</v>
      </c>
      <c r="K731" t="s">
        <v>2227</v>
      </c>
      <c r="M731">
        <v>500</v>
      </c>
      <c r="N731">
        <v>500</v>
      </c>
      <c r="O731">
        <v>1</v>
      </c>
      <c r="P731">
        <v>19</v>
      </c>
      <c r="Q731">
        <v>4</v>
      </c>
    </row>
    <row r="732" spans="1:17" x14ac:dyDescent="0.3">
      <c r="A732" t="s">
        <v>312</v>
      </c>
      <c r="B732" t="s">
        <v>1108</v>
      </c>
      <c r="C732" t="s">
        <v>1708</v>
      </c>
      <c r="E732">
        <v>5191</v>
      </c>
      <c r="F732" t="s">
        <v>2154</v>
      </c>
      <c r="G732" t="s">
        <v>2155</v>
      </c>
      <c r="H732" t="s">
        <v>965</v>
      </c>
      <c r="I732">
        <v>77581</v>
      </c>
      <c r="J732" t="s">
        <v>2156</v>
      </c>
      <c r="K732" t="s">
        <v>2157</v>
      </c>
      <c r="M732">
        <v>12000</v>
      </c>
      <c r="N732">
        <v>12000</v>
      </c>
      <c r="O732">
        <v>11</v>
      </c>
      <c r="P732">
        <v>57</v>
      </c>
      <c r="Q732">
        <v>24</v>
      </c>
    </row>
    <row r="733" spans="1:17" x14ac:dyDescent="0.3">
      <c r="A733">
        <v>34</v>
      </c>
      <c r="B733" t="s">
        <v>2228</v>
      </c>
      <c r="C733" t="s">
        <v>1708</v>
      </c>
      <c r="E733">
        <v>5270</v>
      </c>
      <c r="F733" t="s">
        <v>2229</v>
      </c>
      <c r="G733" t="s">
        <v>2230</v>
      </c>
      <c r="H733" t="s">
        <v>965</v>
      </c>
      <c r="I733">
        <v>76134</v>
      </c>
      <c r="J733" t="s">
        <v>2231</v>
      </c>
      <c r="K733">
        <v>8179665248</v>
      </c>
      <c r="M733">
        <v>2055</v>
      </c>
      <c r="N733">
        <v>2055</v>
      </c>
      <c r="O733">
        <v>10</v>
      </c>
      <c r="P733">
        <v>30</v>
      </c>
      <c r="Q733">
        <v>19</v>
      </c>
    </row>
    <row r="734" spans="1:17" x14ac:dyDescent="0.3">
      <c r="A734">
        <v>35</v>
      </c>
      <c r="B734" t="s">
        <v>2232</v>
      </c>
      <c r="C734" t="s">
        <v>1708</v>
      </c>
      <c r="E734">
        <v>5155</v>
      </c>
      <c r="F734" t="s">
        <v>2233</v>
      </c>
      <c r="G734" t="s">
        <v>2234</v>
      </c>
      <c r="H734" t="s">
        <v>965</v>
      </c>
      <c r="I734">
        <v>77493</v>
      </c>
      <c r="J734" t="s">
        <v>2235</v>
      </c>
      <c r="K734" t="s">
        <v>2236</v>
      </c>
      <c r="M734">
        <v>500</v>
      </c>
      <c r="N734">
        <v>500</v>
      </c>
      <c r="O734">
        <v>1</v>
      </c>
      <c r="P734">
        <v>56</v>
      </c>
      <c r="Q734">
        <v>8</v>
      </c>
    </row>
    <row r="735" spans="1:17" x14ac:dyDescent="0.3">
      <c r="A735">
        <v>36</v>
      </c>
      <c r="B735" t="s">
        <v>2237</v>
      </c>
      <c r="C735" t="s">
        <v>1708</v>
      </c>
      <c r="E735">
        <v>5258</v>
      </c>
      <c r="F735" t="s">
        <v>1770</v>
      </c>
      <c r="G735" t="s">
        <v>1771</v>
      </c>
      <c r="H735" t="s">
        <v>965</v>
      </c>
      <c r="I735">
        <v>77514</v>
      </c>
      <c r="J735" t="s">
        <v>1772</v>
      </c>
      <c r="K735">
        <v>7132532625</v>
      </c>
      <c r="M735">
        <v>4100</v>
      </c>
      <c r="N735">
        <v>4100</v>
      </c>
      <c r="O735">
        <v>19</v>
      </c>
      <c r="P735">
        <v>56</v>
      </c>
      <c r="Q735">
        <v>15</v>
      </c>
    </row>
    <row r="736" spans="1:17" x14ac:dyDescent="0.3">
      <c r="A736" t="s">
        <v>469</v>
      </c>
      <c r="B736" t="s">
        <v>285</v>
      </c>
      <c r="C736" t="s">
        <v>1708</v>
      </c>
      <c r="E736">
        <v>5162</v>
      </c>
      <c r="F736" t="s">
        <v>644</v>
      </c>
      <c r="G736" t="s">
        <v>968</v>
      </c>
      <c r="H736" t="s">
        <v>965</v>
      </c>
      <c r="I736">
        <v>77477</v>
      </c>
      <c r="J736" t="s">
        <v>969</v>
      </c>
      <c r="K736" t="s">
        <v>970</v>
      </c>
      <c r="M736">
        <v>9500</v>
      </c>
      <c r="N736">
        <v>10000</v>
      </c>
      <c r="O736">
        <v>19</v>
      </c>
      <c r="P736">
        <v>162</v>
      </c>
      <c r="Q736">
        <v>19</v>
      </c>
    </row>
    <row r="737" spans="1:17" x14ac:dyDescent="0.3">
      <c r="A737" t="s">
        <v>402</v>
      </c>
      <c r="B737" t="s">
        <v>2238</v>
      </c>
      <c r="C737" t="s">
        <v>1708</v>
      </c>
      <c r="E737">
        <v>5069</v>
      </c>
      <c r="F737" t="s">
        <v>1555</v>
      </c>
      <c r="G737" t="s">
        <v>1556</v>
      </c>
      <c r="H737" t="s">
        <v>965</v>
      </c>
      <c r="I737">
        <v>77336</v>
      </c>
      <c r="J737" t="s">
        <v>1557</v>
      </c>
      <c r="K737" t="s">
        <v>1558</v>
      </c>
      <c r="M737">
        <v>7500</v>
      </c>
      <c r="N737">
        <v>7500</v>
      </c>
      <c r="O737">
        <v>20</v>
      </c>
      <c r="P737">
        <v>145</v>
      </c>
      <c r="Q737">
        <v>16</v>
      </c>
    </row>
    <row r="738" spans="1:17" x14ac:dyDescent="0.3">
      <c r="A738" t="s">
        <v>422</v>
      </c>
      <c r="B738" t="s">
        <v>2239</v>
      </c>
      <c r="C738" t="s">
        <v>1708</v>
      </c>
      <c r="E738">
        <v>5130</v>
      </c>
      <c r="F738" t="s">
        <v>2192</v>
      </c>
      <c r="G738" t="s">
        <v>2193</v>
      </c>
      <c r="H738" t="s">
        <v>965</v>
      </c>
      <c r="I738">
        <v>78665</v>
      </c>
      <c r="J738" t="s">
        <v>2194</v>
      </c>
      <c r="K738">
        <v>5126633696</v>
      </c>
      <c r="M738">
        <v>9750</v>
      </c>
      <c r="N738">
        <v>9750</v>
      </c>
      <c r="O738">
        <v>13</v>
      </c>
      <c r="P738">
        <v>66</v>
      </c>
      <c r="Q738">
        <v>26</v>
      </c>
    </row>
    <row r="739" spans="1:17" x14ac:dyDescent="0.3">
      <c r="A739" t="s">
        <v>2240</v>
      </c>
      <c r="B739" t="s">
        <v>2241</v>
      </c>
      <c r="C739" t="s">
        <v>1708</v>
      </c>
      <c r="E739">
        <v>5106</v>
      </c>
      <c r="F739" t="s">
        <v>1757</v>
      </c>
      <c r="G739" t="s">
        <v>1758</v>
      </c>
      <c r="H739" t="s">
        <v>965</v>
      </c>
      <c r="I739">
        <v>77021</v>
      </c>
      <c r="J739" t="s">
        <v>1759</v>
      </c>
      <c r="K739" t="s">
        <v>1760</v>
      </c>
      <c r="M739">
        <v>8250</v>
      </c>
      <c r="N739">
        <v>8250</v>
      </c>
      <c r="O739">
        <v>20</v>
      </c>
      <c r="P739">
        <v>125</v>
      </c>
      <c r="Q739">
        <v>42</v>
      </c>
    </row>
    <row r="740" spans="1:17" x14ac:dyDescent="0.3">
      <c r="A740" t="s">
        <v>2242</v>
      </c>
      <c r="B740" t="s">
        <v>2239</v>
      </c>
      <c r="C740" t="s">
        <v>1708</v>
      </c>
      <c r="E740">
        <v>5121</v>
      </c>
      <c r="F740" t="s">
        <v>1478</v>
      </c>
      <c r="G740" t="s">
        <v>1479</v>
      </c>
      <c r="H740" t="s">
        <v>965</v>
      </c>
      <c r="I740">
        <v>77354</v>
      </c>
      <c r="J740" t="s">
        <v>1480</v>
      </c>
      <c r="K740">
        <v>3462807335</v>
      </c>
      <c r="M740">
        <v>9750</v>
      </c>
      <c r="N740">
        <v>9750</v>
      </c>
      <c r="O740">
        <v>14</v>
      </c>
      <c r="P740">
        <v>34</v>
      </c>
      <c r="Q740">
        <v>27</v>
      </c>
    </row>
    <row r="741" spans="1:17" x14ac:dyDescent="0.3">
      <c r="A741" t="s">
        <v>471</v>
      </c>
      <c r="B741" t="s">
        <v>2220</v>
      </c>
      <c r="C741" t="s">
        <v>1708</v>
      </c>
      <c r="E741">
        <v>5033</v>
      </c>
      <c r="F741" t="s">
        <v>1387</v>
      </c>
      <c r="G741" t="s">
        <v>1388</v>
      </c>
      <c r="H741" t="s">
        <v>965</v>
      </c>
      <c r="I741">
        <v>77080</v>
      </c>
      <c r="J741" t="s">
        <v>1389</v>
      </c>
      <c r="K741">
        <v>5127871010</v>
      </c>
      <c r="M741">
        <v>6000</v>
      </c>
      <c r="N741">
        <v>6000</v>
      </c>
      <c r="O741">
        <v>16</v>
      </c>
      <c r="P741">
        <v>64</v>
      </c>
      <c r="Q741">
        <v>22</v>
      </c>
    </row>
    <row r="742" spans="1:17" x14ac:dyDescent="0.3">
      <c r="A742">
        <v>42</v>
      </c>
      <c r="B742" t="s">
        <v>2243</v>
      </c>
      <c r="C742" t="s">
        <v>1708</v>
      </c>
      <c r="E742">
        <v>5248</v>
      </c>
      <c r="F742" t="s">
        <v>693</v>
      </c>
      <c r="G742" t="s">
        <v>2172</v>
      </c>
      <c r="H742" t="s">
        <v>965</v>
      </c>
      <c r="I742">
        <v>77479</v>
      </c>
      <c r="J742" t="s">
        <v>2173</v>
      </c>
      <c r="K742">
        <v>7132407121</v>
      </c>
      <c r="M742">
        <v>850</v>
      </c>
      <c r="N742">
        <v>850</v>
      </c>
      <c r="O742">
        <v>12</v>
      </c>
      <c r="P742">
        <v>41</v>
      </c>
      <c r="Q742">
        <v>14</v>
      </c>
    </row>
    <row r="743" spans="1:17" x14ac:dyDescent="0.3">
      <c r="A743" t="s">
        <v>583</v>
      </c>
      <c r="B743" t="s">
        <v>1755</v>
      </c>
      <c r="C743" t="s">
        <v>1708</v>
      </c>
      <c r="E743">
        <v>5162</v>
      </c>
      <c r="F743" t="s">
        <v>644</v>
      </c>
      <c r="G743" t="s">
        <v>968</v>
      </c>
      <c r="H743" t="s">
        <v>965</v>
      </c>
      <c r="I743">
        <v>77477</v>
      </c>
      <c r="J743" t="s">
        <v>969</v>
      </c>
      <c r="K743" t="s">
        <v>970</v>
      </c>
      <c r="M743">
        <v>5250</v>
      </c>
      <c r="N743">
        <v>13000</v>
      </c>
      <c r="O743">
        <v>6</v>
      </c>
      <c r="P743">
        <v>29</v>
      </c>
      <c r="Q743">
        <v>7</v>
      </c>
    </row>
    <row r="744" spans="1:17" x14ac:dyDescent="0.3">
      <c r="A744">
        <v>43</v>
      </c>
      <c r="B744" t="s">
        <v>743</v>
      </c>
      <c r="C744" t="s">
        <v>1708</v>
      </c>
      <c r="F744" t="s">
        <v>649</v>
      </c>
      <c r="M744">
        <v>0</v>
      </c>
      <c r="N744">
        <v>0</v>
      </c>
      <c r="O744">
        <v>0</v>
      </c>
      <c r="P744">
        <v>23</v>
      </c>
      <c r="Q744">
        <v>0</v>
      </c>
    </row>
    <row r="745" spans="1:17" x14ac:dyDescent="0.3">
      <c r="A745">
        <v>44</v>
      </c>
      <c r="B745" t="s">
        <v>2244</v>
      </c>
      <c r="C745" t="s">
        <v>1708</v>
      </c>
      <c r="E745">
        <v>5154</v>
      </c>
      <c r="F745" t="s">
        <v>690</v>
      </c>
      <c r="G745" t="s">
        <v>2081</v>
      </c>
      <c r="H745" t="s">
        <v>965</v>
      </c>
      <c r="I745">
        <v>77026</v>
      </c>
      <c r="J745" t="s">
        <v>2082</v>
      </c>
      <c r="K745">
        <v>7135487587</v>
      </c>
      <c r="M745">
        <v>2000</v>
      </c>
      <c r="N745">
        <v>2000</v>
      </c>
      <c r="O745">
        <v>5</v>
      </c>
      <c r="P745">
        <v>52</v>
      </c>
      <c r="Q745">
        <v>13</v>
      </c>
    </row>
    <row r="746" spans="1:17" x14ac:dyDescent="0.3">
      <c r="A746">
        <v>45</v>
      </c>
      <c r="B746" t="s">
        <v>2245</v>
      </c>
      <c r="C746" t="s">
        <v>1708</v>
      </c>
      <c r="E746">
        <v>5241</v>
      </c>
      <c r="F746" t="s">
        <v>702</v>
      </c>
      <c r="G746" t="s">
        <v>1132</v>
      </c>
      <c r="H746" t="s">
        <v>965</v>
      </c>
      <c r="I746">
        <v>77407</v>
      </c>
      <c r="J746" t="s">
        <v>1133</v>
      </c>
      <c r="K746">
        <v>8324644119</v>
      </c>
      <c r="M746">
        <v>525</v>
      </c>
      <c r="N746">
        <v>525</v>
      </c>
      <c r="O746">
        <v>2</v>
      </c>
      <c r="P746">
        <v>33</v>
      </c>
      <c r="Q746">
        <v>8</v>
      </c>
    </row>
    <row r="747" spans="1:17" x14ac:dyDescent="0.3">
      <c r="A747">
        <v>46</v>
      </c>
      <c r="B747" t="s">
        <v>2246</v>
      </c>
      <c r="C747" t="s">
        <v>1708</v>
      </c>
      <c r="E747">
        <v>5170</v>
      </c>
      <c r="F747" t="s">
        <v>661</v>
      </c>
      <c r="G747" t="s">
        <v>2206</v>
      </c>
      <c r="H747" t="s">
        <v>965</v>
      </c>
      <c r="I747">
        <v>78626</v>
      </c>
      <c r="J747" t="s">
        <v>2207</v>
      </c>
      <c r="K747">
        <v>2817748923</v>
      </c>
      <c r="M747">
        <v>500</v>
      </c>
      <c r="N747">
        <v>500</v>
      </c>
      <c r="O747">
        <v>1</v>
      </c>
      <c r="P747">
        <v>16</v>
      </c>
      <c r="Q747">
        <v>6</v>
      </c>
    </row>
    <row r="748" spans="1:17" x14ac:dyDescent="0.3">
      <c r="A748" t="s">
        <v>475</v>
      </c>
      <c r="B748" t="s">
        <v>2247</v>
      </c>
      <c r="C748" t="s">
        <v>1708</v>
      </c>
      <c r="E748">
        <v>5024</v>
      </c>
      <c r="F748" t="s">
        <v>704</v>
      </c>
      <c r="G748" t="s">
        <v>2142</v>
      </c>
      <c r="H748" t="s">
        <v>965</v>
      </c>
      <c r="I748">
        <v>77479</v>
      </c>
      <c r="J748" t="s">
        <v>2143</v>
      </c>
      <c r="K748" t="s">
        <v>2144</v>
      </c>
      <c r="M748">
        <v>5850</v>
      </c>
      <c r="N748">
        <v>5850</v>
      </c>
      <c r="O748">
        <v>27</v>
      </c>
      <c r="P748">
        <v>156</v>
      </c>
      <c r="Q748">
        <v>31</v>
      </c>
    </row>
    <row r="749" spans="1:17" x14ac:dyDescent="0.3">
      <c r="A749">
        <v>47</v>
      </c>
      <c r="B749" t="s">
        <v>2248</v>
      </c>
      <c r="C749" t="s">
        <v>1708</v>
      </c>
      <c r="E749">
        <v>5279</v>
      </c>
      <c r="F749" t="s">
        <v>2249</v>
      </c>
      <c r="G749" t="s">
        <v>2250</v>
      </c>
      <c r="H749" t="s">
        <v>965</v>
      </c>
      <c r="I749">
        <v>77505</v>
      </c>
      <c r="J749" t="s">
        <v>2251</v>
      </c>
      <c r="K749">
        <v>2816368416</v>
      </c>
      <c r="M749">
        <v>500</v>
      </c>
      <c r="N749">
        <v>500</v>
      </c>
      <c r="O749">
        <v>1</v>
      </c>
      <c r="P749">
        <v>18</v>
      </c>
      <c r="Q749">
        <v>5</v>
      </c>
    </row>
    <row r="750" spans="1:17" x14ac:dyDescent="0.3">
      <c r="A750" t="s">
        <v>412</v>
      </c>
      <c r="B750" t="s">
        <v>1774</v>
      </c>
      <c r="C750" t="s">
        <v>1708</v>
      </c>
      <c r="E750">
        <v>5269</v>
      </c>
      <c r="F750" t="s">
        <v>2252</v>
      </c>
      <c r="G750" t="s">
        <v>2253</v>
      </c>
      <c r="H750" t="s">
        <v>965</v>
      </c>
      <c r="I750">
        <v>77536</v>
      </c>
      <c r="J750" t="s">
        <v>2254</v>
      </c>
      <c r="K750">
        <v>2817015171</v>
      </c>
      <c r="L750">
        <v>2812363799</v>
      </c>
      <c r="M750">
        <v>10000</v>
      </c>
      <c r="N750">
        <v>10000</v>
      </c>
      <c r="O750">
        <v>31</v>
      </c>
      <c r="P750">
        <v>66</v>
      </c>
      <c r="Q750">
        <v>21</v>
      </c>
    </row>
    <row r="751" spans="1:17" x14ac:dyDescent="0.3">
      <c r="A751">
        <v>48</v>
      </c>
      <c r="B751" t="s">
        <v>2255</v>
      </c>
      <c r="C751" t="s">
        <v>1708</v>
      </c>
      <c r="E751">
        <v>5279</v>
      </c>
      <c r="F751" t="s">
        <v>2249</v>
      </c>
      <c r="G751" t="s">
        <v>2250</v>
      </c>
      <c r="H751" t="s">
        <v>965</v>
      </c>
      <c r="I751">
        <v>77505</v>
      </c>
      <c r="J751" t="s">
        <v>2251</v>
      </c>
      <c r="K751">
        <v>2816368416</v>
      </c>
      <c r="M751">
        <v>500</v>
      </c>
      <c r="N751">
        <v>500</v>
      </c>
      <c r="O751">
        <v>1</v>
      </c>
      <c r="P751">
        <v>15</v>
      </c>
      <c r="Q751">
        <v>4</v>
      </c>
    </row>
    <row r="752" spans="1:17" x14ac:dyDescent="0.3">
      <c r="A752">
        <v>49</v>
      </c>
      <c r="B752" t="s">
        <v>1783</v>
      </c>
      <c r="C752" t="s">
        <v>1708</v>
      </c>
      <c r="E752">
        <v>5049</v>
      </c>
      <c r="F752" t="s">
        <v>2256</v>
      </c>
      <c r="G752" t="s">
        <v>2257</v>
      </c>
      <c r="H752" t="s">
        <v>965</v>
      </c>
      <c r="I752">
        <v>77477</v>
      </c>
      <c r="J752" t="s">
        <v>2258</v>
      </c>
      <c r="K752">
        <v>2812087171</v>
      </c>
      <c r="M752">
        <v>2000</v>
      </c>
      <c r="N752">
        <v>2000</v>
      </c>
      <c r="O752">
        <v>20</v>
      </c>
      <c r="P752">
        <v>22</v>
      </c>
      <c r="Q752">
        <v>9</v>
      </c>
    </row>
    <row r="753" spans="1:17" x14ac:dyDescent="0.3">
      <c r="A753">
        <v>50</v>
      </c>
      <c r="B753" t="s">
        <v>2259</v>
      </c>
      <c r="C753" t="s">
        <v>1708</v>
      </c>
      <c r="E753">
        <v>5241</v>
      </c>
      <c r="F753" t="s">
        <v>702</v>
      </c>
      <c r="G753" t="s">
        <v>1132</v>
      </c>
      <c r="H753" t="s">
        <v>965</v>
      </c>
      <c r="I753">
        <v>77407</v>
      </c>
      <c r="J753" t="s">
        <v>1133</v>
      </c>
      <c r="K753">
        <v>8324644119</v>
      </c>
      <c r="M753">
        <v>500</v>
      </c>
      <c r="N753">
        <v>500</v>
      </c>
      <c r="O753">
        <v>1</v>
      </c>
      <c r="P753">
        <v>14</v>
      </c>
      <c r="Q753">
        <v>2</v>
      </c>
    </row>
    <row r="754" spans="1:17" x14ac:dyDescent="0.3">
      <c r="A754">
        <v>51</v>
      </c>
      <c r="B754" t="s">
        <v>2260</v>
      </c>
      <c r="C754" t="s">
        <v>1708</v>
      </c>
      <c r="F754" t="s">
        <v>649</v>
      </c>
      <c r="M754">
        <v>0</v>
      </c>
      <c r="N754">
        <v>0</v>
      </c>
      <c r="O754">
        <v>0</v>
      </c>
      <c r="P754">
        <v>21</v>
      </c>
      <c r="Q754">
        <v>4</v>
      </c>
    </row>
    <row r="755" spans="1:17" x14ac:dyDescent="0.3">
      <c r="A755" t="s">
        <v>477</v>
      </c>
      <c r="B755" t="s">
        <v>2261</v>
      </c>
      <c r="C755" t="s">
        <v>1708</v>
      </c>
      <c r="E755">
        <v>5162</v>
      </c>
      <c r="F755" t="s">
        <v>644</v>
      </c>
      <c r="G755" t="s">
        <v>968</v>
      </c>
      <c r="H755" t="s">
        <v>965</v>
      </c>
      <c r="I755">
        <v>77477</v>
      </c>
      <c r="J755" t="s">
        <v>969</v>
      </c>
      <c r="K755" t="s">
        <v>970</v>
      </c>
      <c r="M755">
        <v>2500</v>
      </c>
      <c r="N755">
        <v>7500</v>
      </c>
      <c r="O755">
        <v>21</v>
      </c>
      <c r="P755">
        <v>60</v>
      </c>
      <c r="Q755">
        <v>21</v>
      </c>
    </row>
    <row r="756" spans="1:17" x14ac:dyDescent="0.3">
      <c r="A756">
        <v>52</v>
      </c>
      <c r="B756" t="s">
        <v>2262</v>
      </c>
      <c r="C756" t="s">
        <v>1708</v>
      </c>
      <c r="E756">
        <v>5015</v>
      </c>
      <c r="F756" t="s">
        <v>1331</v>
      </c>
      <c r="G756" t="s">
        <v>1332</v>
      </c>
      <c r="H756" t="s">
        <v>965</v>
      </c>
      <c r="I756">
        <v>77479</v>
      </c>
      <c r="J756" t="s">
        <v>1333</v>
      </c>
      <c r="K756">
        <v>7137251858</v>
      </c>
      <c r="M756">
        <v>1250</v>
      </c>
      <c r="N756">
        <v>1250</v>
      </c>
      <c r="O756">
        <v>14</v>
      </c>
      <c r="P756">
        <v>50</v>
      </c>
      <c r="Q756">
        <v>14</v>
      </c>
    </row>
    <row r="757" spans="1:17" x14ac:dyDescent="0.3">
      <c r="A757">
        <v>53</v>
      </c>
      <c r="B757" t="s">
        <v>2263</v>
      </c>
      <c r="C757" t="s">
        <v>1708</v>
      </c>
      <c r="E757">
        <v>5279</v>
      </c>
      <c r="F757" t="s">
        <v>2249</v>
      </c>
      <c r="G757" t="s">
        <v>2250</v>
      </c>
      <c r="H757" t="s">
        <v>965</v>
      </c>
      <c r="I757">
        <v>77505</v>
      </c>
      <c r="J757" t="s">
        <v>2251</v>
      </c>
      <c r="K757">
        <v>2816368416</v>
      </c>
      <c r="M757">
        <v>700</v>
      </c>
      <c r="N757">
        <v>700</v>
      </c>
      <c r="O757">
        <v>8</v>
      </c>
      <c r="P757">
        <v>60</v>
      </c>
      <c r="Q757">
        <v>23</v>
      </c>
    </row>
    <row r="758" spans="1:17" x14ac:dyDescent="0.3">
      <c r="A758">
        <v>54</v>
      </c>
      <c r="B758" t="s">
        <v>2264</v>
      </c>
      <c r="C758" t="s">
        <v>1708</v>
      </c>
      <c r="E758">
        <v>5033</v>
      </c>
      <c r="F758" t="s">
        <v>1387</v>
      </c>
      <c r="G758" t="s">
        <v>1388</v>
      </c>
      <c r="H758" t="s">
        <v>965</v>
      </c>
      <c r="I758">
        <v>77080</v>
      </c>
      <c r="J758" t="s">
        <v>1389</v>
      </c>
      <c r="K758">
        <v>5127871010</v>
      </c>
      <c r="M758">
        <v>1500</v>
      </c>
      <c r="N758">
        <v>1500</v>
      </c>
      <c r="O758">
        <v>11</v>
      </c>
      <c r="P758">
        <v>32</v>
      </c>
      <c r="Q758">
        <v>15</v>
      </c>
    </row>
    <row r="759" spans="1:17" x14ac:dyDescent="0.3">
      <c r="A759" t="s">
        <v>929</v>
      </c>
      <c r="B759" t="s">
        <v>2265</v>
      </c>
      <c r="C759" t="s">
        <v>1708</v>
      </c>
      <c r="E759">
        <v>5244</v>
      </c>
      <c r="F759" t="s">
        <v>2201</v>
      </c>
      <c r="G759" t="s">
        <v>2202</v>
      </c>
      <c r="H759" t="s">
        <v>965</v>
      </c>
      <c r="I759">
        <v>77293</v>
      </c>
      <c r="J759" t="s">
        <v>2203</v>
      </c>
      <c r="K759">
        <v>3465597069</v>
      </c>
      <c r="M759">
        <v>21000</v>
      </c>
      <c r="N759">
        <v>21000</v>
      </c>
      <c r="O759">
        <v>56</v>
      </c>
      <c r="P759">
        <v>189</v>
      </c>
      <c r="Q759">
        <v>42</v>
      </c>
    </row>
    <row r="760" spans="1:17" x14ac:dyDescent="0.3">
      <c r="A760">
        <v>55</v>
      </c>
      <c r="B760" t="s">
        <v>2266</v>
      </c>
      <c r="C760" t="s">
        <v>1708</v>
      </c>
      <c r="E760">
        <v>5066</v>
      </c>
      <c r="F760" t="s">
        <v>1672</v>
      </c>
      <c r="G760" t="s">
        <v>1673</v>
      </c>
      <c r="H760" t="s">
        <v>965</v>
      </c>
      <c r="I760">
        <v>77515</v>
      </c>
      <c r="J760" t="s">
        <v>1674</v>
      </c>
      <c r="K760">
        <v>9796127045</v>
      </c>
      <c r="M760">
        <v>1200</v>
      </c>
      <c r="N760">
        <v>1200</v>
      </c>
      <c r="O760">
        <v>8</v>
      </c>
      <c r="P760">
        <v>34</v>
      </c>
      <c r="Q760">
        <v>11</v>
      </c>
    </row>
    <row r="761" spans="1:17" x14ac:dyDescent="0.3">
      <c r="A761" t="s">
        <v>930</v>
      </c>
      <c r="B761" t="s">
        <v>2267</v>
      </c>
      <c r="C761" t="s">
        <v>1708</v>
      </c>
      <c r="E761">
        <v>5153</v>
      </c>
      <c r="F761" t="s">
        <v>645</v>
      </c>
      <c r="G761" t="s">
        <v>2268</v>
      </c>
      <c r="H761" t="s">
        <v>2269</v>
      </c>
      <c r="I761" t="s">
        <v>2270</v>
      </c>
      <c r="J761" t="s">
        <v>2271</v>
      </c>
      <c r="K761">
        <v>7765000046</v>
      </c>
      <c r="M761">
        <v>14000</v>
      </c>
      <c r="N761">
        <v>14000</v>
      </c>
      <c r="O761">
        <v>7</v>
      </c>
      <c r="P761">
        <v>62</v>
      </c>
      <c r="Q761">
        <v>12</v>
      </c>
    </row>
    <row r="762" spans="1:17" x14ac:dyDescent="0.3">
      <c r="A762">
        <v>56</v>
      </c>
      <c r="B762" t="s">
        <v>2272</v>
      </c>
      <c r="C762" t="s">
        <v>1708</v>
      </c>
      <c r="E762">
        <v>5135</v>
      </c>
      <c r="F762" t="s">
        <v>2159</v>
      </c>
      <c r="G762" t="s">
        <v>2160</v>
      </c>
      <c r="H762" t="s">
        <v>965</v>
      </c>
      <c r="I762">
        <v>77083</v>
      </c>
      <c r="J762" t="s">
        <v>2161</v>
      </c>
      <c r="K762">
        <v>8326467733</v>
      </c>
      <c r="M762">
        <v>4350</v>
      </c>
      <c r="N762">
        <v>4550</v>
      </c>
      <c r="O762">
        <v>45</v>
      </c>
      <c r="P762">
        <v>99</v>
      </c>
      <c r="Q762">
        <v>43</v>
      </c>
    </row>
    <row r="763" spans="1:17" x14ac:dyDescent="0.3">
      <c r="A763" t="s">
        <v>479</v>
      </c>
      <c r="B763" t="s">
        <v>2273</v>
      </c>
      <c r="C763" t="s">
        <v>1708</v>
      </c>
      <c r="E763">
        <v>5106</v>
      </c>
      <c r="F763" t="s">
        <v>1757</v>
      </c>
      <c r="G763" t="s">
        <v>1758</v>
      </c>
      <c r="H763" t="s">
        <v>965</v>
      </c>
      <c r="I763">
        <v>77021</v>
      </c>
      <c r="J763" t="s">
        <v>1759</v>
      </c>
      <c r="K763" t="s">
        <v>1760</v>
      </c>
      <c r="M763">
        <v>30500</v>
      </c>
      <c r="N763">
        <v>30500</v>
      </c>
      <c r="O763">
        <v>31</v>
      </c>
      <c r="P763">
        <v>122</v>
      </c>
      <c r="Q763">
        <v>36</v>
      </c>
    </row>
    <row r="764" spans="1:17" x14ac:dyDescent="0.3">
      <c r="A764">
        <v>57</v>
      </c>
      <c r="B764" t="s">
        <v>2274</v>
      </c>
      <c r="C764" t="s">
        <v>1708</v>
      </c>
      <c r="E764">
        <v>5170</v>
      </c>
      <c r="F764" t="s">
        <v>661</v>
      </c>
      <c r="G764" t="s">
        <v>2206</v>
      </c>
      <c r="H764" t="s">
        <v>965</v>
      </c>
      <c r="I764">
        <v>78626</v>
      </c>
      <c r="J764" t="s">
        <v>2207</v>
      </c>
      <c r="K764">
        <v>2817748923</v>
      </c>
      <c r="M764">
        <v>1050</v>
      </c>
      <c r="N764">
        <v>1050</v>
      </c>
      <c r="O764">
        <v>13</v>
      </c>
      <c r="P764">
        <v>45</v>
      </c>
      <c r="Q764">
        <v>11</v>
      </c>
    </row>
    <row r="765" spans="1:17" x14ac:dyDescent="0.3">
      <c r="A765" t="s">
        <v>323</v>
      </c>
      <c r="B765" t="s">
        <v>1143</v>
      </c>
      <c r="C765" t="s">
        <v>1708</v>
      </c>
      <c r="E765">
        <v>5174</v>
      </c>
      <c r="F765" t="s">
        <v>643</v>
      </c>
      <c r="G765" t="s">
        <v>2275</v>
      </c>
      <c r="H765" t="s">
        <v>965</v>
      </c>
      <c r="I765">
        <v>77036</v>
      </c>
      <c r="J765" t="s">
        <v>2276</v>
      </c>
      <c r="K765">
        <v>3238646733</v>
      </c>
      <c r="M765">
        <v>2400</v>
      </c>
      <c r="N765">
        <v>2400</v>
      </c>
      <c r="O765">
        <v>8</v>
      </c>
      <c r="P765">
        <v>28</v>
      </c>
      <c r="Q765">
        <v>11</v>
      </c>
    </row>
    <row r="766" spans="1:17" x14ac:dyDescent="0.3">
      <c r="A766">
        <v>58</v>
      </c>
      <c r="B766" t="s">
        <v>2277</v>
      </c>
      <c r="C766" t="s">
        <v>1708</v>
      </c>
      <c r="E766">
        <v>5206</v>
      </c>
      <c r="F766" t="s">
        <v>972</v>
      </c>
      <c r="G766" t="s">
        <v>973</v>
      </c>
      <c r="H766" t="s">
        <v>965</v>
      </c>
      <c r="I766">
        <v>77355</v>
      </c>
      <c r="J766" t="s">
        <v>974</v>
      </c>
      <c r="K766" t="s">
        <v>975</v>
      </c>
      <c r="M766">
        <v>5750</v>
      </c>
      <c r="N766">
        <v>5750</v>
      </c>
      <c r="O766">
        <v>40</v>
      </c>
      <c r="P766">
        <v>89</v>
      </c>
      <c r="Q766">
        <v>49</v>
      </c>
    </row>
    <row r="767" spans="1:17" x14ac:dyDescent="0.3">
      <c r="A767" t="s">
        <v>420</v>
      </c>
      <c r="B767" t="s">
        <v>2278</v>
      </c>
      <c r="C767" t="s">
        <v>1708</v>
      </c>
      <c r="E767">
        <v>5153</v>
      </c>
      <c r="F767" t="s">
        <v>645</v>
      </c>
      <c r="G767" t="s">
        <v>2268</v>
      </c>
      <c r="H767" t="s">
        <v>2269</v>
      </c>
      <c r="I767" t="s">
        <v>2270</v>
      </c>
      <c r="J767" t="s">
        <v>2271</v>
      </c>
      <c r="K767">
        <v>7765000046</v>
      </c>
      <c r="M767">
        <v>22000</v>
      </c>
      <c r="N767">
        <v>44000</v>
      </c>
      <c r="O767">
        <v>16</v>
      </c>
      <c r="P767">
        <v>135</v>
      </c>
      <c r="Q767">
        <v>32</v>
      </c>
    </row>
    <row r="768" spans="1:17" x14ac:dyDescent="0.3">
      <c r="A768">
        <v>59</v>
      </c>
      <c r="B768" t="s">
        <v>2277</v>
      </c>
      <c r="C768" t="s">
        <v>1708</v>
      </c>
      <c r="E768">
        <v>5206</v>
      </c>
      <c r="F768" t="s">
        <v>972</v>
      </c>
      <c r="G768" t="s">
        <v>973</v>
      </c>
      <c r="H768" t="s">
        <v>965</v>
      </c>
      <c r="I768">
        <v>77355</v>
      </c>
      <c r="J768" t="s">
        <v>974</v>
      </c>
      <c r="K768" t="s">
        <v>975</v>
      </c>
      <c r="M768">
        <v>5500</v>
      </c>
      <c r="N768">
        <v>5500</v>
      </c>
      <c r="O768">
        <v>31</v>
      </c>
      <c r="P768">
        <v>64</v>
      </c>
      <c r="Q768">
        <v>48</v>
      </c>
    </row>
    <row r="769" spans="1:17" x14ac:dyDescent="0.3">
      <c r="A769">
        <v>60</v>
      </c>
      <c r="B769" t="s">
        <v>2279</v>
      </c>
      <c r="C769" t="s">
        <v>1708</v>
      </c>
      <c r="E769">
        <v>5155</v>
      </c>
      <c r="F769" t="s">
        <v>2233</v>
      </c>
      <c r="G769" t="s">
        <v>2234</v>
      </c>
      <c r="H769" t="s">
        <v>965</v>
      </c>
      <c r="I769">
        <v>77493</v>
      </c>
      <c r="J769" t="s">
        <v>2235</v>
      </c>
      <c r="K769" t="s">
        <v>2236</v>
      </c>
      <c r="M769">
        <v>1050</v>
      </c>
      <c r="N769">
        <v>1150</v>
      </c>
      <c r="O769">
        <v>6</v>
      </c>
      <c r="P769">
        <v>37</v>
      </c>
      <c r="Q769">
        <v>8</v>
      </c>
    </row>
    <row r="770" spans="1:17" x14ac:dyDescent="0.3">
      <c r="A770">
        <v>61</v>
      </c>
      <c r="B770" t="s">
        <v>2280</v>
      </c>
      <c r="C770" t="s">
        <v>1708</v>
      </c>
      <c r="E770">
        <v>5248</v>
      </c>
      <c r="F770" t="s">
        <v>693</v>
      </c>
      <c r="G770" t="s">
        <v>2172</v>
      </c>
      <c r="H770" t="s">
        <v>965</v>
      </c>
      <c r="I770">
        <v>77479</v>
      </c>
      <c r="J770" t="s">
        <v>2173</v>
      </c>
      <c r="K770">
        <v>7132407121</v>
      </c>
      <c r="M770">
        <v>1650</v>
      </c>
      <c r="N770">
        <v>1650</v>
      </c>
      <c r="O770">
        <v>27</v>
      </c>
      <c r="P770">
        <v>54</v>
      </c>
      <c r="Q770">
        <v>26</v>
      </c>
    </row>
    <row r="771" spans="1:17" x14ac:dyDescent="0.3">
      <c r="A771" t="s">
        <v>481</v>
      </c>
      <c r="B771" t="s">
        <v>2281</v>
      </c>
      <c r="C771" t="s">
        <v>1708</v>
      </c>
      <c r="E771">
        <v>5125</v>
      </c>
      <c r="F771" t="s">
        <v>1645</v>
      </c>
      <c r="G771" t="s">
        <v>1646</v>
      </c>
      <c r="H771" t="s">
        <v>965</v>
      </c>
      <c r="I771">
        <v>77471</v>
      </c>
      <c r="J771" t="s">
        <v>1647</v>
      </c>
      <c r="K771" t="s">
        <v>1648</v>
      </c>
      <c r="M771">
        <v>6000</v>
      </c>
      <c r="N771">
        <v>6000</v>
      </c>
      <c r="O771">
        <v>29</v>
      </c>
      <c r="P771">
        <v>113</v>
      </c>
      <c r="Q771">
        <v>41</v>
      </c>
    </row>
    <row r="772" spans="1:17" x14ac:dyDescent="0.3">
      <c r="A772">
        <v>62</v>
      </c>
      <c r="B772" t="s">
        <v>2282</v>
      </c>
      <c r="C772" t="s">
        <v>1708</v>
      </c>
      <c r="E772">
        <v>5191</v>
      </c>
      <c r="F772" t="s">
        <v>2154</v>
      </c>
      <c r="G772" t="s">
        <v>2155</v>
      </c>
      <c r="H772" t="s">
        <v>965</v>
      </c>
      <c r="I772">
        <v>77581</v>
      </c>
      <c r="J772" t="s">
        <v>2156</v>
      </c>
      <c r="K772" t="s">
        <v>2157</v>
      </c>
      <c r="M772">
        <v>3200</v>
      </c>
      <c r="N772">
        <v>3200</v>
      </c>
      <c r="O772">
        <v>28</v>
      </c>
      <c r="P772">
        <v>113</v>
      </c>
      <c r="Q772">
        <v>47</v>
      </c>
    </row>
    <row r="773" spans="1:17" x14ac:dyDescent="0.3">
      <c r="A773" t="s">
        <v>324</v>
      </c>
      <c r="B773" t="s">
        <v>307</v>
      </c>
      <c r="C773" t="s">
        <v>1708</v>
      </c>
      <c r="E773">
        <v>5162</v>
      </c>
      <c r="F773" t="s">
        <v>644</v>
      </c>
      <c r="G773" t="s">
        <v>968</v>
      </c>
      <c r="H773" t="s">
        <v>965</v>
      </c>
      <c r="I773">
        <v>77477</v>
      </c>
      <c r="J773" t="s">
        <v>969</v>
      </c>
      <c r="K773" t="s">
        <v>970</v>
      </c>
      <c r="M773">
        <v>2600</v>
      </c>
      <c r="N773">
        <v>10000</v>
      </c>
      <c r="O773">
        <v>25</v>
      </c>
      <c r="P773">
        <v>32</v>
      </c>
      <c r="Q773">
        <v>7</v>
      </c>
    </row>
    <row r="774" spans="1:17" x14ac:dyDescent="0.3">
      <c r="A774">
        <v>63</v>
      </c>
      <c r="B774" t="s">
        <v>2283</v>
      </c>
      <c r="C774" t="s">
        <v>1708</v>
      </c>
      <c r="E774">
        <v>5155</v>
      </c>
      <c r="F774" t="s">
        <v>2233</v>
      </c>
      <c r="G774" t="s">
        <v>2234</v>
      </c>
      <c r="H774" t="s">
        <v>965</v>
      </c>
      <c r="I774">
        <v>77493</v>
      </c>
      <c r="J774" t="s">
        <v>2235</v>
      </c>
      <c r="K774" t="s">
        <v>2236</v>
      </c>
      <c r="M774">
        <v>800</v>
      </c>
      <c r="N774">
        <v>800</v>
      </c>
      <c r="O774">
        <v>8</v>
      </c>
      <c r="P774">
        <v>40</v>
      </c>
      <c r="Q774">
        <v>17</v>
      </c>
    </row>
    <row r="775" spans="1:17" x14ac:dyDescent="0.3">
      <c r="A775" t="s">
        <v>937</v>
      </c>
      <c r="B775" t="s">
        <v>1838</v>
      </c>
      <c r="C775" t="s">
        <v>1708</v>
      </c>
      <c r="E775">
        <v>5170</v>
      </c>
      <c r="F775" t="s">
        <v>661</v>
      </c>
      <c r="G775" t="s">
        <v>2206</v>
      </c>
      <c r="H775" t="s">
        <v>965</v>
      </c>
      <c r="I775">
        <v>78626</v>
      </c>
      <c r="J775" t="s">
        <v>2207</v>
      </c>
      <c r="K775">
        <v>2817748923</v>
      </c>
      <c r="M775">
        <v>1050</v>
      </c>
      <c r="N775">
        <v>1055</v>
      </c>
      <c r="O775">
        <v>3</v>
      </c>
      <c r="P775">
        <v>16</v>
      </c>
      <c r="Q775">
        <v>3</v>
      </c>
    </row>
    <row r="776" spans="1:17" x14ac:dyDescent="0.3">
      <c r="A776">
        <v>64</v>
      </c>
      <c r="B776" t="s">
        <v>2284</v>
      </c>
      <c r="C776" t="s">
        <v>1708</v>
      </c>
      <c r="E776">
        <v>5030</v>
      </c>
      <c r="F776" t="s">
        <v>2285</v>
      </c>
      <c r="G776" t="s">
        <v>2286</v>
      </c>
      <c r="H776" t="s">
        <v>965</v>
      </c>
      <c r="I776">
        <v>77479</v>
      </c>
      <c r="J776" t="s">
        <v>2287</v>
      </c>
      <c r="K776">
        <v>2816862881</v>
      </c>
      <c r="M776">
        <v>500</v>
      </c>
      <c r="N776">
        <v>500</v>
      </c>
      <c r="O776">
        <v>1</v>
      </c>
      <c r="P776">
        <v>41</v>
      </c>
      <c r="Q776">
        <v>12</v>
      </c>
    </row>
    <row r="777" spans="1:17" x14ac:dyDescent="0.3">
      <c r="A777" t="s">
        <v>938</v>
      </c>
      <c r="B777" t="s">
        <v>2288</v>
      </c>
      <c r="C777" t="s">
        <v>1708</v>
      </c>
      <c r="E777">
        <v>5243</v>
      </c>
      <c r="F777" t="s">
        <v>1118</v>
      </c>
      <c r="G777" t="s">
        <v>1119</v>
      </c>
      <c r="H777" t="s">
        <v>965</v>
      </c>
      <c r="I777">
        <v>77469</v>
      </c>
      <c r="J777" t="s">
        <v>1120</v>
      </c>
      <c r="K777" t="s">
        <v>1121</v>
      </c>
      <c r="M777">
        <v>30000</v>
      </c>
      <c r="N777">
        <v>30000</v>
      </c>
      <c r="O777">
        <v>29</v>
      </c>
      <c r="P777">
        <v>132</v>
      </c>
      <c r="Q777">
        <v>32</v>
      </c>
    </row>
    <row r="778" spans="1:17" x14ac:dyDescent="0.3">
      <c r="A778">
        <v>65</v>
      </c>
      <c r="B778" t="s">
        <v>2289</v>
      </c>
      <c r="C778" t="s">
        <v>1708</v>
      </c>
      <c r="E778">
        <v>5066</v>
      </c>
      <c r="F778" t="s">
        <v>1672</v>
      </c>
      <c r="G778" t="s">
        <v>1673</v>
      </c>
      <c r="H778" t="s">
        <v>965</v>
      </c>
      <c r="I778">
        <v>77515</v>
      </c>
      <c r="J778" t="s">
        <v>1674</v>
      </c>
      <c r="K778">
        <v>9796127045</v>
      </c>
      <c r="M778">
        <v>825</v>
      </c>
      <c r="N778">
        <v>825</v>
      </c>
      <c r="O778">
        <v>10</v>
      </c>
      <c r="P778">
        <v>25</v>
      </c>
      <c r="Q778">
        <v>9</v>
      </c>
    </row>
    <row r="779" spans="1:17" x14ac:dyDescent="0.3">
      <c r="A779">
        <v>66</v>
      </c>
      <c r="B779" t="s">
        <v>2290</v>
      </c>
      <c r="C779" t="s">
        <v>1708</v>
      </c>
      <c r="E779">
        <v>5033</v>
      </c>
      <c r="F779" t="s">
        <v>1387</v>
      </c>
      <c r="G779" t="s">
        <v>1388</v>
      </c>
      <c r="H779" t="s">
        <v>965</v>
      </c>
      <c r="I779">
        <v>77080</v>
      </c>
      <c r="J779" t="s">
        <v>1389</v>
      </c>
      <c r="K779">
        <v>5127871010</v>
      </c>
      <c r="M779">
        <v>1400</v>
      </c>
      <c r="N779">
        <v>1450</v>
      </c>
      <c r="O779">
        <v>21</v>
      </c>
      <c r="P779">
        <v>24</v>
      </c>
      <c r="Q779">
        <v>17</v>
      </c>
    </row>
    <row r="780" spans="1:17" x14ac:dyDescent="0.3">
      <c r="A780" t="s">
        <v>483</v>
      </c>
      <c r="B780" t="s">
        <v>295</v>
      </c>
      <c r="C780" t="s">
        <v>1708</v>
      </c>
      <c r="E780">
        <v>5149</v>
      </c>
      <c r="F780" t="s">
        <v>662</v>
      </c>
      <c r="G780" t="s">
        <v>2168</v>
      </c>
      <c r="H780" t="s">
        <v>965</v>
      </c>
      <c r="I780">
        <v>77477</v>
      </c>
      <c r="J780" t="s">
        <v>2169</v>
      </c>
      <c r="M780">
        <v>29500</v>
      </c>
      <c r="N780">
        <v>38000</v>
      </c>
      <c r="O780">
        <v>43</v>
      </c>
      <c r="P780">
        <v>152</v>
      </c>
      <c r="Q780">
        <v>26</v>
      </c>
    </row>
    <row r="781" spans="1:17" x14ac:dyDescent="0.3">
      <c r="A781">
        <v>67</v>
      </c>
      <c r="B781" t="s">
        <v>2291</v>
      </c>
      <c r="C781" t="s">
        <v>1708</v>
      </c>
      <c r="E781">
        <v>5206</v>
      </c>
      <c r="F781" t="s">
        <v>972</v>
      </c>
      <c r="G781" t="s">
        <v>973</v>
      </c>
      <c r="H781" t="s">
        <v>965</v>
      </c>
      <c r="I781">
        <v>77355</v>
      </c>
      <c r="J781" t="s">
        <v>974</v>
      </c>
      <c r="K781" t="s">
        <v>975</v>
      </c>
      <c r="M781">
        <v>1600</v>
      </c>
      <c r="N781">
        <v>1600</v>
      </c>
      <c r="O781">
        <v>25</v>
      </c>
      <c r="P781">
        <v>47</v>
      </c>
      <c r="Q781">
        <v>25</v>
      </c>
    </row>
    <row r="782" spans="1:17" x14ac:dyDescent="0.3">
      <c r="A782" t="s">
        <v>326</v>
      </c>
      <c r="B782" t="s">
        <v>303</v>
      </c>
      <c r="C782" t="s">
        <v>1708</v>
      </c>
      <c r="E782">
        <v>5162</v>
      </c>
      <c r="F782" t="s">
        <v>644</v>
      </c>
      <c r="G782" t="s">
        <v>968</v>
      </c>
      <c r="H782" t="s">
        <v>965</v>
      </c>
      <c r="I782">
        <v>77477</v>
      </c>
      <c r="J782" t="s">
        <v>969</v>
      </c>
      <c r="K782" t="s">
        <v>970</v>
      </c>
      <c r="M782">
        <v>4900</v>
      </c>
      <c r="N782">
        <v>19000</v>
      </c>
      <c r="O782">
        <v>16</v>
      </c>
      <c r="P782">
        <v>44</v>
      </c>
      <c r="Q782">
        <v>15</v>
      </c>
    </row>
    <row r="783" spans="1:17" x14ac:dyDescent="0.3">
      <c r="A783">
        <v>68</v>
      </c>
      <c r="B783" t="s">
        <v>745</v>
      </c>
      <c r="C783" t="s">
        <v>1708</v>
      </c>
      <c r="F783" t="s">
        <v>649</v>
      </c>
      <c r="M783">
        <v>0</v>
      </c>
      <c r="N783">
        <v>0</v>
      </c>
      <c r="O783">
        <v>0</v>
      </c>
      <c r="P783">
        <v>21</v>
      </c>
      <c r="Q783">
        <v>1</v>
      </c>
    </row>
    <row r="784" spans="1:17" x14ac:dyDescent="0.3">
      <c r="A784">
        <v>69</v>
      </c>
      <c r="B784" t="s">
        <v>2292</v>
      </c>
      <c r="C784" t="s">
        <v>1708</v>
      </c>
      <c r="E784">
        <v>5269</v>
      </c>
      <c r="F784" t="s">
        <v>2252</v>
      </c>
      <c r="G784" t="s">
        <v>2253</v>
      </c>
      <c r="H784" t="s">
        <v>965</v>
      </c>
      <c r="I784">
        <v>77536</v>
      </c>
      <c r="J784" t="s">
        <v>2254</v>
      </c>
      <c r="K784">
        <v>2817015171</v>
      </c>
      <c r="L784">
        <v>2812363799</v>
      </c>
      <c r="M784">
        <v>5025</v>
      </c>
      <c r="N784">
        <v>5025</v>
      </c>
      <c r="O784">
        <v>14</v>
      </c>
      <c r="P784">
        <v>42</v>
      </c>
      <c r="Q784">
        <v>11</v>
      </c>
    </row>
    <row r="785" spans="1:17" x14ac:dyDescent="0.3">
      <c r="A785">
        <v>70</v>
      </c>
      <c r="B785" t="s">
        <v>2293</v>
      </c>
      <c r="C785" t="s">
        <v>1708</v>
      </c>
      <c r="E785">
        <v>5282</v>
      </c>
      <c r="F785" t="s">
        <v>1831</v>
      </c>
      <c r="G785" t="s">
        <v>1832</v>
      </c>
      <c r="H785" t="s">
        <v>965</v>
      </c>
      <c r="I785">
        <v>77083</v>
      </c>
      <c r="J785" t="s">
        <v>1833</v>
      </c>
      <c r="K785">
        <v>2817251129</v>
      </c>
      <c r="M785">
        <v>550</v>
      </c>
      <c r="N785">
        <v>550</v>
      </c>
      <c r="O785">
        <v>3</v>
      </c>
      <c r="P785">
        <v>70</v>
      </c>
      <c r="Q785">
        <v>17</v>
      </c>
    </row>
    <row r="786" spans="1:17" x14ac:dyDescent="0.3">
      <c r="A786">
        <v>71</v>
      </c>
      <c r="B786" t="s">
        <v>2294</v>
      </c>
      <c r="C786" t="s">
        <v>1708</v>
      </c>
      <c r="E786">
        <v>5066</v>
      </c>
      <c r="F786" t="s">
        <v>1672</v>
      </c>
      <c r="G786" t="s">
        <v>1673</v>
      </c>
      <c r="H786" t="s">
        <v>965</v>
      </c>
      <c r="I786">
        <v>77515</v>
      </c>
      <c r="J786" t="s">
        <v>1674</v>
      </c>
      <c r="K786">
        <v>9796127045</v>
      </c>
      <c r="M786">
        <v>2000</v>
      </c>
      <c r="N786">
        <v>2000</v>
      </c>
      <c r="O786">
        <v>19</v>
      </c>
      <c r="P786">
        <v>51</v>
      </c>
      <c r="Q786">
        <v>12</v>
      </c>
    </row>
    <row r="787" spans="1:17" x14ac:dyDescent="0.3">
      <c r="A787" t="s">
        <v>487</v>
      </c>
      <c r="B787" t="s">
        <v>2295</v>
      </c>
      <c r="C787" t="s">
        <v>1708</v>
      </c>
      <c r="E787">
        <v>5066</v>
      </c>
      <c r="F787" t="s">
        <v>1672</v>
      </c>
      <c r="G787" t="s">
        <v>1673</v>
      </c>
      <c r="H787" t="s">
        <v>965</v>
      </c>
      <c r="I787">
        <v>77515</v>
      </c>
      <c r="J787" t="s">
        <v>1674</v>
      </c>
      <c r="K787">
        <v>9796127045</v>
      </c>
      <c r="M787">
        <v>63000</v>
      </c>
      <c r="N787">
        <v>63000</v>
      </c>
      <c r="O787">
        <v>19</v>
      </c>
      <c r="P787">
        <v>123</v>
      </c>
      <c r="Q787">
        <v>52</v>
      </c>
    </row>
    <row r="788" spans="1:17" x14ac:dyDescent="0.3">
      <c r="A788">
        <v>72</v>
      </c>
      <c r="B788" t="s">
        <v>2296</v>
      </c>
      <c r="C788" t="s">
        <v>1708</v>
      </c>
      <c r="E788">
        <v>5049</v>
      </c>
      <c r="F788" t="s">
        <v>2256</v>
      </c>
      <c r="G788" t="s">
        <v>2257</v>
      </c>
      <c r="H788" t="s">
        <v>965</v>
      </c>
      <c r="I788">
        <v>77477</v>
      </c>
      <c r="J788" t="s">
        <v>2258</v>
      </c>
      <c r="K788">
        <v>2812087171</v>
      </c>
      <c r="M788">
        <v>1050</v>
      </c>
      <c r="N788">
        <v>1500</v>
      </c>
      <c r="O788">
        <v>5</v>
      </c>
      <c r="P788">
        <v>35</v>
      </c>
      <c r="Q788">
        <v>9</v>
      </c>
    </row>
    <row r="789" spans="1:17" x14ac:dyDescent="0.3">
      <c r="A789">
        <v>73</v>
      </c>
      <c r="B789" t="s">
        <v>2297</v>
      </c>
      <c r="C789" t="s">
        <v>1708</v>
      </c>
      <c r="E789">
        <v>5279</v>
      </c>
      <c r="F789" t="s">
        <v>2249</v>
      </c>
      <c r="G789" t="s">
        <v>2250</v>
      </c>
      <c r="H789" t="s">
        <v>965</v>
      </c>
      <c r="I789">
        <v>77505</v>
      </c>
      <c r="J789" t="s">
        <v>2251</v>
      </c>
      <c r="K789">
        <v>2816368416</v>
      </c>
      <c r="M789">
        <v>950</v>
      </c>
      <c r="N789">
        <v>950</v>
      </c>
      <c r="O789">
        <v>15</v>
      </c>
      <c r="P789">
        <v>43</v>
      </c>
      <c r="Q789">
        <v>22</v>
      </c>
    </row>
    <row r="790" spans="1:17" x14ac:dyDescent="0.3">
      <c r="A790">
        <v>74</v>
      </c>
      <c r="B790" t="s">
        <v>2298</v>
      </c>
      <c r="C790" t="s">
        <v>1708</v>
      </c>
      <c r="E790">
        <v>5155</v>
      </c>
      <c r="F790" t="s">
        <v>2233</v>
      </c>
      <c r="G790" t="s">
        <v>2234</v>
      </c>
      <c r="H790" t="s">
        <v>965</v>
      </c>
      <c r="I790">
        <v>77493</v>
      </c>
      <c r="J790" t="s">
        <v>2235</v>
      </c>
      <c r="K790" t="s">
        <v>2236</v>
      </c>
      <c r="M790">
        <v>1350</v>
      </c>
      <c r="N790">
        <v>1500</v>
      </c>
      <c r="O790">
        <v>19</v>
      </c>
      <c r="P790">
        <v>32</v>
      </c>
      <c r="Q790">
        <v>19</v>
      </c>
    </row>
    <row r="791" spans="1:17" x14ac:dyDescent="0.3">
      <c r="A791">
        <v>75</v>
      </c>
      <c r="B791" t="s">
        <v>2299</v>
      </c>
      <c r="C791" t="s">
        <v>1708</v>
      </c>
      <c r="E791">
        <v>5155</v>
      </c>
      <c r="F791" t="s">
        <v>2233</v>
      </c>
      <c r="G791" t="s">
        <v>2234</v>
      </c>
      <c r="H791" t="s">
        <v>965</v>
      </c>
      <c r="I791">
        <v>77493</v>
      </c>
      <c r="J791" t="s">
        <v>2235</v>
      </c>
      <c r="K791" t="s">
        <v>2236</v>
      </c>
      <c r="M791">
        <v>6500</v>
      </c>
      <c r="N791">
        <v>6500</v>
      </c>
      <c r="O791">
        <v>32</v>
      </c>
      <c r="P791">
        <v>108</v>
      </c>
      <c r="Q791">
        <v>59</v>
      </c>
    </row>
    <row r="792" spans="1:17" x14ac:dyDescent="0.3">
      <c r="A792" t="s">
        <v>942</v>
      </c>
      <c r="B792" t="s">
        <v>1880</v>
      </c>
      <c r="C792" t="s">
        <v>1708</v>
      </c>
      <c r="E792">
        <v>5244</v>
      </c>
      <c r="F792" t="s">
        <v>2201</v>
      </c>
      <c r="G792" t="s">
        <v>2202</v>
      </c>
      <c r="H792" t="s">
        <v>965</v>
      </c>
      <c r="I792">
        <v>77293</v>
      </c>
      <c r="J792" t="s">
        <v>2203</v>
      </c>
      <c r="K792">
        <v>3465597069</v>
      </c>
      <c r="M792">
        <v>15500</v>
      </c>
      <c r="N792">
        <v>15500</v>
      </c>
      <c r="O792">
        <v>24</v>
      </c>
      <c r="P792">
        <v>90</v>
      </c>
      <c r="Q792">
        <v>18</v>
      </c>
    </row>
    <row r="793" spans="1:17" x14ac:dyDescent="0.3">
      <c r="A793">
        <v>76</v>
      </c>
      <c r="B793" t="s">
        <v>2300</v>
      </c>
      <c r="C793" t="s">
        <v>1708</v>
      </c>
      <c r="E793">
        <v>5056</v>
      </c>
      <c r="F793" t="s">
        <v>697</v>
      </c>
      <c r="G793" t="s">
        <v>1090</v>
      </c>
      <c r="H793" t="s">
        <v>965</v>
      </c>
      <c r="I793">
        <v>77449</v>
      </c>
      <c r="J793" t="s">
        <v>1091</v>
      </c>
      <c r="K793" t="s">
        <v>1092</v>
      </c>
      <c r="M793">
        <v>500</v>
      </c>
      <c r="N793">
        <v>500</v>
      </c>
      <c r="O793">
        <v>1</v>
      </c>
      <c r="P793">
        <v>43</v>
      </c>
      <c r="Q793">
        <v>7</v>
      </c>
    </row>
    <row r="794" spans="1:17" x14ac:dyDescent="0.3">
      <c r="A794" t="s">
        <v>473</v>
      </c>
      <c r="B794" t="s">
        <v>1190</v>
      </c>
      <c r="C794" t="s">
        <v>1708</v>
      </c>
      <c r="E794">
        <v>5200</v>
      </c>
      <c r="F794" t="s">
        <v>2301</v>
      </c>
      <c r="G794" t="s">
        <v>2302</v>
      </c>
      <c r="H794" t="s">
        <v>965</v>
      </c>
      <c r="I794">
        <v>77077</v>
      </c>
      <c r="J794" t="s">
        <v>2303</v>
      </c>
      <c r="K794">
        <v>8328532487</v>
      </c>
      <c r="M794">
        <v>20000</v>
      </c>
      <c r="N794">
        <v>20000</v>
      </c>
      <c r="O794">
        <v>20</v>
      </c>
      <c r="P794">
        <v>119</v>
      </c>
      <c r="Q794">
        <v>29</v>
      </c>
    </row>
    <row r="795" spans="1:17" x14ac:dyDescent="0.3">
      <c r="A795">
        <v>77</v>
      </c>
      <c r="B795" t="s">
        <v>2304</v>
      </c>
      <c r="C795" t="s">
        <v>1708</v>
      </c>
      <c r="E795">
        <v>5066</v>
      </c>
      <c r="F795" t="s">
        <v>1672</v>
      </c>
      <c r="G795" t="s">
        <v>1673</v>
      </c>
      <c r="H795" t="s">
        <v>965</v>
      </c>
      <c r="I795">
        <v>77515</v>
      </c>
      <c r="J795" t="s">
        <v>1674</v>
      </c>
      <c r="K795">
        <v>9796127045</v>
      </c>
      <c r="M795">
        <v>3000</v>
      </c>
      <c r="N795">
        <v>3000</v>
      </c>
      <c r="O795">
        <v>16</v>
      </c>
      <c r="P795">
        <v>53</v>
      </c>
      <c r="Q795">
        <v>17</v>
      </c>
    </row>
    <row r="796" spans="1:17" x14ac:dyDescent="0.3">
      <c r="A796" t="s">
        <v>330</v>
      </c>
      <c r="B796" t="s">
        <v>305</v>
      </c>
      <c r="C796" t="s">
        <v>1708</v>
      </c>
      <c r="E796">
        <v>5162</v>
      </c>
      <c r="F796" t="s">
        <v>644</v>
      </c>
      <c r="G796" t="s">
        <v>968</v>
      </c>
      <c r="H796" t="s">
        <v>965</v>
      </c>
      <c r="I796">
        <v>77477</v>
      </c>
      <c r="J796" t="s">
        <v>969</v>
      </c>
      <c r="K796" t="s">
        <v>970</v>
      </c>
      <c r="M796">
        <v>2355</v>
      </c>
      <c r="N796">
        <v>28000</v>
      </c>
      <c r="O796">
        <v>4</v>
      </c>
      <c r="P796">
        <v>15</v>
      </c>
      <c r="Q796">
        <v>4</v>
      </c>
    </row>
    <row r="797" spans="1:17" x14ac:dyDescent="0.3">
      <c r="A797">
        <v>78</v>
      </c>
      <c r="B797" t="s">
        <v>2305</v>
      </c>
      <c r="C797" t="s">
        <v>1708</v>
      </c>
      <c r="E797">
        <v>5049</v>
      </c>
      <c r="F797" t="s">
        <v>2256</v>
      </c>
      <c r="G797" t="s">
        <v>2257</v>
      </c>
      <c r="H797" t="s">
        <v>965</v>
      </c>
      <c r="I797">
        <v>77477</v>
      </c>
      <c r="J797" t="s">
        <v>2258</v>
      </c>
      <c r="K797">
        <v>2812087171</v>
      </c>
      <c r="M797">
        <v>2000</v>
      </c>
      <c r="N797">
        <v>2000</v>
      </c>
      <c r="O797">
        <v>19</v>
      </c>
      <c r="P797">
        <v>39</v>
      </c>
      <c r="Q797">
        <v>23</v>
      </c>
    </row>
    <row r="798" spans="1:17" x14ac:dyDescent="0.3">
      <c r="A798">
        <v>79</v>
      </c>
      <c r="B798" t="s">
        <v>2306</v>
      </c>
      <c r="C798" t="s">
        <v>1708</v>
      </c>
      <c r="E798">
        <v>5049</v>
      </c>
      <c r="F798" t="s">
        <v>2256</v>
      </c>
      <c r="G798" t="s">
        <v>2257</v>
      </c>
      <c r="H798" t="s">
        <v>965</v>
      </c>
      <c r="I798">
        <v>77477</v>
      </c>
      <c r="J798" t="s">
        <v>2258</v>
      </c>
      <c r="K798">
        <v>2812087171</v>
      </c>
      <c r="M798">
        <v>2200</v>
      </c>
      <c r="N798">
        <v>2200</v>
      </c>
      <c r="O798">
        <v>15</v>
      </c>
      <c r="P798">
        <v>34</v>
      </c>
      <c r="Q798">
        <v>22</v>
      </c>
    </row>
    <row r="799" spans="1:17" x14ac:dyDescent="0.3">
      <c r="A799">
        <v>80</v>
      </c>
      <c r="B799" t="s">
        <v>2307</v>
      </c>
      <c r="C799" t="s">
        <v>1708</v>
      </c>
      <c r="E799">
        <v>5198</v>
      </c>
      <c r="F799" t="s">
        <v>1957</v>
      </c>
      <c r="G799" t="s">
        <v>1958</v>
      </c>
      <c r="H799" t="s">
        <v>965</v>
      </c>
      <c r="I799">
        <v>77379</v>
      </c>
      <c r="J799" t="s">
        <v>1959</v>
      </c>
      <c r="K799">
        <v>2817556242</v>
      </c>
      <c r="L799">
        <v>2817556242</v>
      </c>
      <c r="M799">
        <v>1550</v>
      </c>
      <c r="N799">
        <v>1550</v>
      </c>
      <c r="O799">
        <v>21</v>
      </c>
      <c r="P799">
        <v>61</v>
      </c>
      <c r="Q799">
        <v>43</v>
      </c>
    </row>
    <row r="800" spans="1:17" x14ac:dyDescent="0.3">
      <c r="A800">
        <v>81</v>
      </c>
      <c r="B800" t="s">
        <v>2308</v>
      </c>
      <c r="C800" t="s">
        <v>1708</v>
      </c>
      <c r="E800">
        <v>5249</v>
      </c>
      <c r="F800" t="s">
        <v>663</v>
      </c>
      <c r="G800" t="s">
        <v>2309</v>
      </c>
      <c r="H800" t="s">
        <v>965</v>
      </c>
      <c r="I800">
        <v>77081</v>
      </c>
      <c r="J800" t="s">
        <v>2310</v>
      </c>
      <c r="K800" t="s">
        <v>2311</v>
      </c>
      <c r="M800">
        <v>1000</v>
      </c>
      <c r="N800">
        <v>1000</v>
      </c>
      <c r="O800">
        <v>11</v>
      </c>
      <c r="P800">
        <v>48</v>
      </c>
      <c r="Q800">
        <v>17</v>
      </c>
    </row>
    <row r="801" spans="1:17" x14ac:dyDescent="0.3">
      <c r="A801" t="s">
        <v>489</v>
      </c>
      <c r="B801" t="s">
        <v>2312</v>
      </c>
      <c r="C801" t="s">
        <v>1708</v>
      </c>
      <c r="E801">
        <v>5185</v>
      </c>
      <c r="F801" t="s">
        <v>2313</v>
      </c>
      <c r="G801" t="s">
        <v>2314</v>
      </c>
      <c r="H801" t="s">
        <v>965</v>
      </c>
      <c r="I801">
        <v>77041</v>
      </c>
      <c r="J801" t="s">
        <v>2315</v>
      </c>
      <c r="K801" t="s">
        <v>2316</v>
      </c>
      <c r="M801">
        <v>25000</v>
      </c>
      <c r="N801">
        <v>25000</v>
      </c>
      <c r="O801">
        <v>17</v>
      </c>
      <c r="P801">
        <v>143</v>
      </c>
      <c r="Q801">
        <v>49</v>
      </c>
    </row>
    <row r="802" spans="1:17" x14ac:dyDescent="0.3">
      <c r="A802" t="s">
        <v>436</v>
      </c>
      <c r="B802" t="s">
        <v>309</v>
      </c>
      <c r="C802" t="s">
        <v>1708</v>
      </c>
      <c r="E802">
        <v>5162</v>
      </c>
      <c r="F802" t="s">
        <v>644</v>
      </c>
      <c r="G802" t="s">
        <v>968</v>
      </c>
      <c r="H802" t="s">
        <v>965</v>
      </c>
      <c r="I802">
        <v>77477</v>
      </c>
      <c r="J802" t="s">
        <v>969</v>
      </c>
      <c r="K802" t="s">
        <v>970</v>
      </c>
      <c r="M802">
        <v>3355</v>
      </c>
      <c r="N802">
        <v>19500</v>
      </c>
      <c r="O802">
        <v>9</v>
      </c>
      <c r="P802">
        <v>11</v>
      </c>
      <c r="Q802">
        <v>5</v>
      </c>
    </row>
    <row r="803" spans="1:17" x14ac:dyDescent="0.3">
      <c r="A803">
        <v>83</v>
      </c>
      <c r="B803" t="s">
        <v>2317</v>
      </c>
      <c r="C803" t="s">
        <v>1708</v>
      </c>
      <c r="E803">
        <v>5223</v>
      </c>
      <c r="F803" t="s">
        <v>659</v>
      </c>
      <c r="G803" t="s">
        <v>2318</v>
      </c>
      <c r="H803" t="s">
        <v>965</v>
      </c>
      <c r="I803">
        <v>77304</v>
      </c>
      <c r="J803" t="s">
        <v>2319</v>
      </c>
      <c r="K803">
        <v>9363333523</v>
      </c>
      <c r="M803">
        <v>1400</v>
      </c>
      <c r="N803">
        <v>1400</v>
      </c>
      <c r="O803">
        <v>7</v>
      </c>
      <c r="P803">
        <v>31</v>
      </c>
      <c r="Q803">
        <v>17</v>
      </c>
    </row>
    <row r="804" spans="1:17" x14ac:dyDescent="0.3">
      <c r="A804">
        <v>84</v>
      </c>
      <c r="B804" t="s">
        <v>746</v>
      </c>
      <c r="C804" t="s">
        <v>1708</v>
      </c>
      <c r="F804" t="s">
        <v>649</v>
      </c>
      <c r="M804">
        <v>0</v>
      </c>
      <c r="N804">
        <v>0</v>
      </c>
      <c r="O804">
        <v>0</v>
      </c>
      <c r="P804">
        <v>13</v>
      </c>
      <c r="Q804">
        <v>2</v>
      </c>
    </row>
    <row r="805" spans="1:17" x14ac:dyDescent="0.3">
      <c r="A805">
        <v>85</v>
      </c>
      <c r="B805" t="s">
        <v>2320</v>
      </c>
      <c r="C805" t="s">
        <v>1708</v>
      </c>
      <c r="E805">
        <v>5248</v>
      </c>
      <c r="F805" t="s">
        <v>693</v>
      </c>
      <c r="G805" t="s">
        <v>2172</v>
      </c>
      <c r="H805" t="s">
        <v>965</v>
      </c>
      <c r="I805">
        <v>77479</v>
      </c>
      <c r="J805" t="s">
        <v>2173</v>
      </c>
      <c r="K805">
        <v>7132407121</v>
      </c>
      <c r="M805">
        <v>1300</v>
      </c>
      <c r="N805">
        <v>1300</v>
      </c>
      <c r="O805">
        <v>16</v>
      </c>
      <c r="P805">
        <v>107</v>
      </c>
      <c r="Q805">
        <v>18</v>
      </c>
    </row>
    <row r="806" spans="1:17" x14ac:dyDescent="0.3">
      <c r="A806">
        <v>86</v>
      </c>
      <c r="B806" t="s">
        <v>2321</v>
      </c>
      <c r="C806" t="s">
        <v>1708</v>
      </c>
      <c r="E806">
        <v>5132</v>
      </c>
      <c r="F806" t="s">
        <v>2322</v>
      </c>
      <c r="G806" t="s">
        <v>2323</v>
      </c>
      <c r="H806" t="s">
        <v>965</v>
      </c>
      <c r="I806" t="s">
        <v>2324</v>
      </c>
      <c r="J806" t="s">
        <v>2325</v>
      </c>
      <c r="K806">
        <v>8328847930</v>
      </c>
      <c r="M806">
        <v>4700</v>
      </c>
      <c r="N806">
        <v>4700</v>
      </c>
      <c r="O806">
        <v>57</v>
      </c>
      <c r="P806">
        <v>91</v>
      </c>
      <c r="Q806">
        <v>52</v>
      </c>
    </row>
    <row r="807" spans="1:17" x14ac:dyDescent="0.3">
      <c r="A807" t="s">
        <v>491</v>
      </c>
      <c r="B807" t="s">
        <v>1143</v>
      </c>
      <c r="C807" t="s">
        <v>1708</v>
      </c>
      <c r="E807">
        <v>5056</v>
      </c>
      <c r="F807" t="s">
        <v>697</v>
      </c>
      <c r="G807" t="s">
        <v>1090</v>
      </c>
      <c r="H807" t="s">
        <v>965</v>
      </c>
      <c r="I807">
        <v>77449</v>
      </c>
      <c r="J807" t="s">
        <v>1091</v>
      </c>
      <c r="K807" t="s">
        <v>1092</v>
      </c>
      <c r="M807">
        <v>2200</v>
      </c>
      <c r="N807">
        <v>2200</v>
      </c>
      <c r="O807">
        <v>7</v>
      </c>
      <c r="P807">
        <v>19</v>
      </c>
      <c r="Q807">
        <v>8</v>
      </c>
    </row>
    <row r="808" spans="1:17" x14ac:dyDescent="0.3">
      <c r="A808">
        <v>87</v>
      </c>
      <c r="B808" t="s">
        <v>314</v>
      </c>
      <c r="C808" t="s">
        <v>1708</v>
      </c>
      <c r="E808">
        <v>5162</v>
      </c>
      <c r="F808" t="s">
        <v>644</v>
      </c>
      <c r="G808" t="s">
        <v>968</v>
      </c>
      <c r="H808" t="s">
        <v>965</v>
      </c>
      <c r="I808">
        <v>77477</v>
      </c>
      <c r="J808" t="s">
        <v>969</v>
      </c>
      <c r="K808" t="s">
        <v>970</v>
      </c>
      <c r="M808">
        <v>2700</v>
      </c>
      <c r="N808">
        <v>6500</v>
      </c>
      <c r="O808">
        <v>10</v>
      </c>
      <c r="P808">
        <v>20</v>
      </c>
      <c r="Q808">
        <v>15</v>
      </c>
    </row>
    <row r="809" spans="1:17" x14ac:dyDescent="0.3">
      <c r="A809">
        <v>88</v>
      </c>
      <c r="B809" t="s">
        <v>1093</v>
      </c>
      <c r="C809" t="s">
        <v>1708</v>
      </c>
      <c r="E809">
        <v>5114</v>
      </c>
      <c r="F809" t="s">
        <v>660</v>
      </c>
      <c r="G809" t="s">
        <v>2326</v>
      </c>
      <c r="H809" t="s">
        <v>965</v>
      </c>
      <c r="I809">
        <v>77511</v>
      </c>
      <c r="J809" t="s">
        <v>2327</v>
      </c>
      <c r="K809" t="s">
        <v>2328</v>
      </c>
      <c r="M809">
        <v>525</v>
      </c>
      <c r="N809">
        <v>525</v>
      </c>
      <c r="O809">
        <v>3</v>
      </c>
      <c r="P809">
        <v>38</v>
      </c>
      <c r="Q809">
        <v>11</v>
      </c>
    </row>
    <row r="810" spans="1:17" x14ac:dyDescent="0.3">
      <c r="A810">
        <v>89</v>
      </c>
      <c r="B810" t="s">
        <v>1093</v>
      </c>
      <c r="C810" t="s">
        <v>1708</v>
      </c>
      <c r="E810">
        <v>5114</v>
      </c>
      <c r="F810" t="s">
        <v>660</v>
      </c>
      <c r="G810" t="s">
        <v>2326</v>
      </c>
      <c r="H810" t="s">
        <v>965</v>
      </c>
      <c r="I810">
        <v>77511</v>
      </c>
      <c r="J810" t="s">
        <v>2327</v>
      </c>
      <c r="K810" t="s">
        <v>2328</v>
      </c>
      <c r="M810">
        <v>500</v>
      </c>
      <c r="N810">
        <v>525</v>
      </c>
      <c r="O810">
        <v>2</v>
      </c>
      <c r="P810">
        <v>27</v>
      </c>
      <c r="Q810">
        <v>10</v>
      </c>
    </row>
    <row r="811" spans="1:17" x14ac:dyDescent="0.3">
      <c r="A811">
        <v>90</v>
      </c>
      <c r="B811" t="s">
        <v>1093</v>
      </c>
      <c r="C811" t="s">
        <v>1708</v>
      </c>
      <c r="E811">
        <v>5114</v>
      </c>
      <c r="F811" t="s">
        <v>660</v>
      </c>
      <c r="G811" t="s">
        <v>2326</v>
      </c>
      <c r="H811" t="s">
        <v>965</v>
      </c>
      <c r="I811">
        <v>77511</v>
      </c>
      <c r="J811" t="s">
        <v>2327</v>
      </c>
      <c r="K811" t="s">
        <v>2328</v>
      </c>
      <c r="M811">
        <v>500</v>
      </c>
      <c r="N811">
        <v>525</v>
      </c>
      <c r="O811">
        <v>2</v>
      </c>
      <c r="P811">
        <v>40</v>
      </c>
      <c r="Q811">
        <v>8</v>
      </c>
    </row>
    <row r="812" spans="1:17" x14ac:dyDescent="0.3">
      <c r="A812">
        <v>91</v>
      </c>
      <c r="B812" t="s">
        <v>2329</v>
      </c>
      <c r="C812" t="s">
        <v>1708</v>
      </c>
      <c r="E812">
        <v>5279</v>
      </c>
      <c r="F812" t="s">
        <v>2249</v>
      </c>
      <c r="G812" t="s">
        <v>2250</v>
      </c>
      <c r="H812" t="s">
        <v>965</v>
      </c>
      <c r="I812">
        <v>77505</v>
      </c>
      <c r="J812" t="s">
        <v>2251</v>
      </c>
      <c r="K812">
        <v>2816368416</v>
      </c>
      <c r="M812">
        <v>675</v>
      </c>
      <c r="N812">
        <v>675</v>
      </c>
      <c r="O812">
        <v>8</v>
      </c>
      <c r="P812">
        <v>44</v>
      </c>
      <c r="Q812">
        <v>28</v>
      </c>
    </row>
    <row r="813" spans="1:17" x14ac:dyDescent="0.3">
      <c r="A813" t="s">
        <v>493</v>
      </c>
      <c r="B813" t="s">
        <v>2330</v>
      </c>
      <c r="C813" t="s">
        <v>1708</v>
      </c>
      <c r="E813">
        <v>5066</v>
      </c>
      <c r="F813" t="s">
        <v>1672</v>
      </c>
      <c r="G813" t="s">
        <v>1673</v>
      </c>
      <c r="H813" t="s">
        <v>965</v>
      </c>
      <c r="I813">
        <v>77515</v>
      </c>
      <c r="J813" t="s">
        <v>1674</v>
      </c>
      <c r="K813">
        <v>9796127045</v>
      </c>
      <c r="M813">
        <v>3300</v>
      </c>
      <c r="N813">
        <v>3300</v>
      </c>
      <c r="O813">
        <v>7</v>
      </c>
      <c r="P813">
        <v>106</v>
      </c>
      <c r="Q813">
        <v>17</v>
      </c>
    </row>
    <row r="814" spans="1:17" x14ac:dyDescent="0.3">
      <c r="A814">
        <v>92</v>
      </c>
      <c r="B814" t="s">
        <v>2321</v>
      </c>
      <c r="C814" t="s">
        <v>1708</v>
      </c>
      <c r="E814">
        <v>5132</v>
      </c>
      <c r="F814" t="s">
        <v>2322</v>
      </c>
      <c r="G814" t="s">
        <v>2323</v>
      </c>
      <c r="H814" t="s">
        <v>965</v>
      </c>
      <c r="I814" t="s">
        <v>2324</v>
      </c>
      <c r="J814" t="s">
        <v>2325</v>
      </c>
      <c r="K814">
        <v>8328847930</v>
      </c>
      <c r="M814">
        <v>4100</v>
      </c>
      <c r="N814">
        <v>4100</v>
      </c>
      <c r="O814">
        <v>47</v>
      </c>
      <c r="P814">
        <v>76</v>
      </c>
      <c r="Q814">
        <v>55</v>
      </c>
    </row>
    <row r="815" spans="1:17" x14ac:dyDescent="0.3">
      <c r="A815">
        <v>93</v>
      </c>
      <c r="B815" t="s">
        <v>2331</v>
      </c>
      <c r="C815" t="s">
        <v>1708</v>
      </c>
      <c r="E815">
        <v>5049</v>
      </c>
      <c r="F815" t="s">
        <v>2256</v>
      </c>
      <c r="G815" t="s">
        <v>2257</v>
      </c>
      <c r="H815" t="s">
        <v>965</v>
      </c>
      <c r="I815">
        <v>77477</v>
      </c>
      <c r="J815" t="s">
        <v>2258</v>
      </c>
      <c r="K815">
        <v>2812087171</v>
      </c>
      <c r="M815">
        <v>550</v>
      </c>
      <c r="N815">
        <v>550</v>
      </c>
      <c r="O815">
        <v>3</v>
      </c>
      <c r="P815">
        <v>30</v>
      </c>
      <c r="Q815">
        <v>10</v>
      </c>
    </row>
    <row r="816" spans="1:17" x14ac:dyDescent="0.3">
      <c r="A816">
        <v>94</v>
      </c>
      <c r="B816" t="s">
        <v>2332</v>
      </c>
      <c r="C816" t="s">
        <v>1708</v>
      </c>
      <c r="E816">
        <v>5058</v>
      </c>
      <c r="F816" t="s">
        <v>1634</v>
      </c>
      <c r="G816" t="s">
        <v>1635</v>
      </c>
      <c r="H816" t="s">
        <v>965</v>
      </c>
      <c r="I816">
        <v>77489</v>
      </c>
      <c r="J816" t="s">
        <v>1636</v>
      </c>
      <c r="K816">
        <v>2817822623</v>
      </c>
      <c r="M816">
        <v>3000</v>
      </c>
      <c r="N816">
        <v>3000</v>
      </c>
      <c r="O816">
        <v>28</v>
      </c>
      <c r="P816">
        <v>49</v>
      </c>
      <c r="Q816">
        <v>26</v>
      </c>
    </row>
    <row r="817" spans="1:17" x14ac:dyDescent="0.3">
      <c r="A817">
        <v>95</v>
      </c>
      <c r="B817" t="s">
        <v>2333</v>
      </c>
      <c r="C817" t="s">
        <v>1708</v>
      </c>
      <c r="E817">
        <v>5269</v>
      </c>
      <c r="F817" t="s">
        <v>2252</v>
      </c>
      <c r="G817" t="s">
        <v>2253</v>
      </c>
      <c r="H817" t="s">
        <v>965</v>
      </c>
      <c r="I817">
        <v>77536</v>
      </c>
      <c r="J817" t="s">
        <v>2254</v>
      </c>
      <c r="K817">
        <v>2817015171</v>
      </c>
      <c r="L817">
        <v>2812363799</v>
      </c>
      <c r="M817">
        <v>4175</v>
      </c>
      <c r="N817">
        <v>4175</v>
      </c>
      <c r="O817">
        <v>32</v>
      </c>
      <c r="P817">
        <v>48</v>
      </c>
      <c r="Q817">
        <v>29</v>
      </c>
    </row>
    <row r="818" spans="1:17" x14ac:dyDescent="0.3">
      <c r="A818">
        <v>96</v>
      </c>
      <c r="B818" t="s">
        <v>2334</v>
      </c>
      <c r="C818" t="s">
        <v>1708</v>
      </c>
      <c r="E818">
        <v>5197</v>
      </c>
      <c r="F818" t="s">
        <v>2335</v>
      </c>
      <c r="G818" t="s">
        <v>2336</v>
      </c>
      <c r="H818" t="s">
        <v>965</v>
      </c>
      <c r="I818">
        <v>77583</v>
      </c>
      <c r="J818" t="s">
        <v>2337</v>
      </c>
      <c r="K818">
        <v>9797091048</v>
      </c>
      <c r="M818">
        <v>725</v>
      </c>
      <c r="N818">
        <v>800</v>
      </c>
      <c r="O818">
        <v>9</v>
      </c>
      <c r="P818">
        <v>46</v>
      </c>
      <c r="Q818">
        <v>20</v>
      </c>
    </row>
    <row r="819" spans="1:17" x14ac:dyDescent="0.3">
      <c r="A819" t="s">
        <v>495</v>
      </c>
      <c r="B819" t="s">
        <v>2338</v>
      </c>
      <c r="C819" t="s">
        <v>1708</v>
      </c>
      <c r="E819">
        <v>5294</v>
      </c>
      <c r="F819" t="s">
        <v>2339</v>
      </c>
      <c r="G819" t="s">
        <v>2340</v>
      </c>
      <c r="H819" t="s">
        <v>965</v>
      </c>
      <c r="I819">
        <v>77082</v>
      </c>
      <c r="J819" t="s">
        <v>2341</v>
      </c>
      <c r="K819">
        <v>7135400367</v>
      </c>
      <c r="M819">
        <v>650</v>
      </c>
      <c r="N819">
        <v>650</v>
      </c>
      <c r="O819">
        <v>7</v>
      </c>
      <c r="P819">
        <v>50</v>
      </c>
      <c r="Q819">
        <v>15</v>
      </c>
    </row>
    <row r="820" spans="1:17" x14ac:dyDescent="0.3">
      <c r="A820">
        <v>97</v>
      </c>
      <c r="B820" t="s">
        <v>2342</v>
      </c>
      <c r="C820" t="s">
        <v>1708</v>
      </c>
      <c r="E820">
        <v>5279</v>
      </c>
      <c r="F820" t="s">
        <v>2249</v>
      </c>
      <c r="G820" t="s">
        <v>2250</v>
      </c>
      <c r="H820" t="s">
        <v>965</v>
      </c>
      <c r="I820">
        <v>77505</v>
      </c>
      <c r="J820" t="s">
        <v>2251</v>
      </c>
      <c r="K820">
        <v>2816368416</v>
      </c>
      <c r="M820">
        <v>675</v>
      </c>
      <c r="N820">
        <v>675</v>
      </c>
      <c r="O820">
        <v>8</v>
      </c>
      <c r="P820">
        <v>33</v>
      </c>
      <c r="Q820">
        <v>28</v>
      </c>
    </row>
    <row r="821" spans="1:17" x14ac:dyDescent="0.3">
      <c r="A821">
        <v>98</v>
      </c>
      <c r="B821" t="s">
        <v>2343</v>
      </c>
      <c r="C821" t="s">
        <v>1708</v>
      </c>
      <c r="E821">
        <v>5119</v>
      </c>
      <c r="F821" t="s">
        <v>2175</v>
      </c>
      <c r="G821" t="s">
        <v>2176</v>
      </c>
      <c r="H821" t="s">
        <v>965</v>
      </c>
      <c r="I821">
        <v>77573</v>
      </c>
      <c r="J821" t="s">
        <v>2177</v>
      </c>
      <c r="K821">
        <v>7132528720</v>
      </c>
      <c r="M821">
        <v>1500</v>
      </c>
      <c r="N821">
        <v>1500</v>
      </c>
      <c r="O821">
        <v>26</v>
      </c>
      <c r="P821">
        <v>76</v>
      </c>
      <c r="Q821">
        <v>38</v>
      </c>
    </row>
    <row r="822" spans="1:17" x14ac:dyDescent="0.3">
      <c r="A822">
        <v>99</v>
      </c>
      <c r="B822" t="s">
        <v>2344</v>
      </c>
      <c r="C822" t="s">
        <v>1708</v>
      </c>
      <c r="E822">
        <v>5162</v>
      </c>
      <c r="F822" t="s">
        <v>644</v>
      </c>
      <c r="G822" t="s">
        <v>968</v>
      </c>
      <c r="H822" t="s">
        <v>965</v>
      </c>
      <c r="I822">
        <v>77477</v>
      </c>
      <c r="J822" t="s">
        <v>969</v>
      </c>
      <c r="K822" t="s">
        <v>970</v>
      </c>
      <c r="M822">
        <v>4500</v>
      </c>
      <c r="N822">
        <v>15000</v>
      </c>
      <c r="O822">
        <v>11</v>
      </c>
      <c r="P822">
        <v>42</v>
      </c>
      <c r="Q822">
        <v>14</v>
      </c>
    </row>
    <row r="823" spans="1:17" x14ac:dyDescent="0.3">
      <c r="A823">
        <v>100</v>
      </c>
      <c r="B823" t="s">
        <v>2345</v>
      </c>
      <c r="C823" t="s">
        <v>1708</v>
      </c>
      <c r="E823">
        <v>5194</v>
      </c>
      <c r="F823" t="s">
        <v>2346</v>
      </c>
      <c r="G823" t="s">
        <v>2347</v>
      </c>
      <c r="H823" t="s">
        <v>965</v>
      </c>
      <c r="I823">
        <v>77598</v>
      </c>
      <c r="J823" t="s">
        <v>2348</v>
      </c>
      <c r="K823">
        <v>2818445423</v>
      </c>
      <c r="M823">
        <v>1200</v>
      </c>
      <c r="N823">
        <v>1200</v>
      </c>
      <c r="O823">
        <v>3</v>
      </c>
      <c r="P823">
        <v>16</v>
      </c>
      <c r="Q823">
        <v>9</v>
      </c>
    </row>
    <row r="824" spans="1:17" x14ac:dyDescent="0.3">
      <c r="A824" t="s">
        <v>340</v>
      </c>
      <c r="B824" t="s">
        <v>1022</v>
      </c>
      <c r="C824" t="s">
        <v>1708</v>
      </c>
      <c r="E824">
        <v>5153</v>
      </c>
      <c r="F824" t="s">
        <v>645</v>
      </c>
      <c r="G824" t="s">
        <v>2268</v>
      </c>
      <c r="H824" t="s">
        <v>2269</v>
      </c>
      <c r="I824" t="s">
        <v>2270</v>
      </c>
      <c r="J824" t="s">
        <v>2271</v>
      </c>
      <c r="K824">
        <v>7765000046</v>
      </c>
      <c r="M824">
        <v>2100</v>
      </c>
      <c r="N824">
        <v>15500</v>
      </c>
      <c r="O824">
        <v>2</v>
      </c>
      <c r="P824">
        <v>35</v>
      </c>
      <c r="Q824">
        <v>6</v>
      </c>
    </row>
    <row r="825" spans="1:17" x14ac:dyDescent="0.3">
      <c r="A825">
        <v>101</v>
      </c>
      <c r="B825" t="s">
        <v>2349</v>
      </c>
      <c r="C825" t="s">
        <v>1708</v>
      </c>
      <c r="E825">
        <v>5175</v>
      </c>
      <c r="F825" t="s">
        <v>2146</v>
      </c>
      <c r="G825" t="s">
        <v>2147</v>
      </c>
      <c r="H825" t="s">
        <v>965</v>
      </c>
      <c r="I825">
        <v>75956</v>
      </c>
      <c r="J825" t="s">
        <v>2148</v>
      </c>
      <c r="K825">
        <v>4093842254</v>
      </c>
      <c r="L825">
        <v>4093823362</v>
      </c>
      <c r="M825">
        <v>1000</v>
      </c>
      <c r="N825">
        <v>1000</v>
      </c>
      <c r="O825">
        <v>15</v>
      </c>
      <c r="P825">
        <v>23</v>
      </c>
      <c r="Q825">
        <v>20</v>
      </c>
    </row>
    <row r="826" spans="1:17" x14ac:dyDescent="0.3">
      <c r="A826" t="s">
        <v>497</v>
      </c>
      <c r="B826" t="s">
        <v>2174</v>
      </c>
      <c r="C826" t="s">
        <v>1708</v>
      </c>
      <c r="E826">
        <v>5066</v>
      </c>
      <c r="F826" t="s">
        <v>1672</v>
      </c>
      <c r="G826" t="s">
        <v>1673</v>
      </c>
      <c r="H826" t="s">
        <v>965</v>
      </c>
      <c r="I826">
        <v>77515</v>
      </c>
      <c r="J826" t="s">
        <v>1674</v>
      </c>
      <c r="K826">
        <v>9796127045</v>
      </c>
      <c r="M826">
        <v>3100</v>
      </c>
      <c r="N826">
        <v>3100</v>
      </c>
      <c r="O826">
        <v>13</v>
      </c>
      <c r="P826">
        <v>25</v>
      </c>
      <c r="Q826">
        <v>18</v>
      </c>
    </row>
    <row r="827" spans="1:17" x14ac:dyDescent="0.3">
      <c r="A827">
        <v>102</v>
      </c>
      <c r="B827" t="s">
        <v>2350</v>
      </c>
      <c r="C827" t="s">
        <v>1708</v>
      </c>
      <c r="E827">
        <v>5066</v>
      </c>
      <c r="F827" t="s">
        <v>1672</v>
      </c>
      <c r="G827" t="s">
        <v>1673</v>
      </c>
      <c r="H827" t="s">
        <v>965</v>
      </c>
      <c r="I827">
        <v>77515</v>
      </c>
      <c r="J827" t="s">
        <v>1674</v>
      </c>
      <c r="K827">
        <v>9796127045</v>
      </c>
      <c r="M827">
        <v>825</v>
      </c>
      <c r="N827">
        <v>825</v>
      </c>
      <c r="O827">
        <v>12</v>
      </c>
      <c r="P827">
        <v>62</v>
      </c>
      <c r="Q827">
        <v>12</v>
      </c>
    </row>
    <row r="828" spans="1:17" x14ac:dyDescent="0.3">
      <c r="A828">
        <v>103</v>
      </c>
      <c r="B828" t="s">
        <v>2351</v>
      </c>
      <c r="C828" t="s">
        <v>1708</v>
      </c>
      <c r="E828">
        <v>5175</v>
      </c>
      <c r="F828" t="s">
        <v>2146</v>
      </c>
      <c r="G828" t="s">
        <v>2147</v>
      </c>
      <c r="H828" t="s">
        <v>965</v>
      </c>
      <c r="I828">
        <v>75956</v>
      </c>
      <c r="J828" t="s">
        <v>2148</v>
      </c>
      <c r="K828">
        <v>4093842254</v>
      </c>
      <c r="L828">
        <v>4093823362</v>
      </c>
      <c r="M828">
        <v>1550</v>
      </c>
      <c r="N828">
        <v>1550</v>
      </c>
      <c r="O828">
        <v>13</v>
      </c>
      <c r="P828">
        <v>14</v>
      </c>
      <c r="Q828">
        <v>14</v>
      </c>
    </row>
    <row r="829" spans="1:17" x14ac:dyDescent="0.3">
      <c r="A829">
        <v>104</v>
      </c>
      <c r="B829" t="s">
        <v>2352</v>
      </c>
      <c r="C829" t="s">
        <v>1708</v>
      </c>
      <c r="E829">
        <v>5206</v>
      </c>
      <c r="F829" t="s">
        <v>972</v>
      </c>
      <c r="G829" t="s">
        <v>973</v>
      </c>
      <c r="H829" t="s">
        <v>965</v>
      </c>
      <c r="I829">
        <v>77355</v>
      </c>
      <c r="J829" t="s">
        <v>974</v>
      </c>
      <c r="K829" t="s">
        <v>975</v>
      </c>
      <c r="M829">
        <v>3600</v>
      </c>
      <c r="N829">
        <v>3600</v>
      </c>
      <c r="O829">
        <v>23</v>
      </c>
      <c r="P829">
        <v>43</v>
      </c>
      <c r="Q829">
        <v>17</v>
      </c>
    </row>
    <row r="830" spans="1:17" x14ac:dyDescent="0.3">
      <c r="A830">
        <v>105</v>
      </c>
      <c r="B830" t="s">
        <v>2353</v>
      </c>
      <c r="C830" t="s">
        <v>1708</v>
      </c>
      <c r="E830">
        <v>5223</v>
      </c>
      <c r="F830" t="s">
        <v>659</v>
      </c>
      <c r="G830" t="s">
        <v>2318</v>
      </c>
      <c r="H830" t="s">
        <v>965</v>
      </c>
      <c r="I830">
        <v>77304</v>
      </c>
      <c r="J830" t="s">
        <v>2319</v>
      </c>
      <c r="K830">
        <v>9363333523</v>
      </c>
      <c r="M830">
        <v>2400</v>
      </c>
      <c r="N830">
        <v>2400</v>
      </c>
      <c r="O830">
        <v>32</v>
      </c>
      <c r="P830">
        <v>65</v>
      </c>
      <c r="Q830">
        <v>25</v>
      </c>
    </row>
    <row r="831" spans="1:17" x14ac:dyDescent="0.3">
      <c r="A831" t="s">
        <v>1944</v>
      </c>
      <c r="B831" t="s">
        <v>2354</v>
      </c>
      <c r="C831" t="s">
        <v>1708</v>
      </c>
      <c r="E831">
        <v>5149</v>
      </c>
      <c r="F831" t="s">
        <v>662</v>
      </c>
      <c r="G831" t="s">
        <v>2168</v>
      </c>
      <c r="H831" t="s">
        <v>965</v>
      </c>
      <c r="I831">
        <v>77477</v>
      </c>
      <c r="J831" t="s">
        <v>2169</v>
      </c>
      <c r="M831">
        <v>13300</v>
      </c>
      <c r="N831">
        <v>45000</v>
      </c>
      <c r="O831">
        <v>10</v>
      </c>
      <c r="P831">
        <v>93</v>
      </c>
      <c r="Q831">
        <v>23</v>
      </c>
    </row>
    <row r="832" spans="1:17" x14ac:dyDescent="0.3">
      <c r="A832">
        <v>106</v>
      </c>
      <c r="B832" t="s">
        <v>2355</v>
      </c>
      <c r="C832" t="s">
        <v>1708</v>
      </c>
      <c r="E832">
        <v>5284</v>
      </c>
      <c r="F832" t="s">
        <v>2356</v>
      </c>
      <c r="G832" t="s">
        <v>2357</v>
      </c>
      <c r="H832" t="s">
        <v>965</v>
      </c>
      <c r="I832">
        <v>77429</v>
      </c>
      <c r="J832" t="s">
        <v>2358</v>
      </c>
      <c r="K832" t="s">
        <v>2359</v>
      </c>
      <c r="M832">
        <v>1050</v>
      </c>
      <c r="N832">
        <v>1050</v>
      </c>
      <c r="O832">
        <v>12</v>
      </c>
      <c r="P832">
        <v>15</v>
      </c>
      <c r="Q832">
        <v>16</v>
      </c>
    </row>
    <row r="833" spans="1:17" x14ac:dyDescent="0.3">
      <c r="A833" t="s">
        <v>499</v>
      </c>
      <c r="B833" t="s">
        <v>2360</v>
      </c>
      <c r="C833" t="s">
        <v>1708</v>
      </c>
      <c r="E833">
        <v>5274</v>
      </c>
      <c r="F833" t="s">
        <v>2361</v>
      </c>
      <c r="G833" t="s">
        <v>2362</v>
      </c>
      <c r="H833" t="s">
        <v>965</v>
      </c>
      <c r="I833">
        <v>77084</v>
      </c>
      <c r="J833" t="s">
        <v>2363</v>
      </c>
      <c r="K833">
        <v>8325575922</v>
      </c>
      <c r="L833">
        <v>8325575922</v>
      </c>
      <c r="M833">
        <v>38000</v>
      </c>
      <c r="N833">
        <v>38000</v>
      </c>
      <c r="O833">
        <v>24</v>
      </c>
      <c r="P833">
        <v>126</v>
      </c>
      <c r="Q833">
        <v>31</v>
      </c>
    </row>
    <row r="834" spans="1:17" x14ac:dyDescent="0.3">
      <c r="A834">
        <v>107</v>
      </c>
      <c r="B834" t="s">
        <v>2364</v>
      </c>
      <c r="C834" t="s">
        <v>1708</v>
      </c>
      <c r="E834">
        <v>5033</v>
      </c>
      <c r="F834" t="s">
        <v>1387</v>
      </c>
      <c r="G834" t="s">
        <v>1388</v>
      </c>
      <c r="H834" t="s">
        <v>965</v>
      </c>
      <c r="I834">
        <v>77080</v>
      </c>
      <c r="J834" t="s">
        <v>1389</v>
      </c>
      <c r="K834">
        <v>5127871010</v>
      </c>
      <c r="M834">
        <v>2000</v>
      </c>
      <c r="N834">
        <v>2000</v>
      </c>
      <c r="O834">
        <v>15</v>
      </c>
      <c r="P834">
        <v>23</v>
      </c>
      <c r="Q834">
        <v>12</v>
      </c>
    </row>
    <row r="835" spans="1:17" x14ac:dyDescent="0.3">
      <c r="A835" t="s">
        <v>342</v>
      </c>
      <c r="B835" t="s">
        <v>2365</v>
      </c>
      <c r="C835" t="s">
        <v>1708</v>
      </c>
      <c r="E835">
        <v>5164</v>
      </c>
      <c r="F835" t="s">
        <v>2366</v>
      </c>
      <c r="G835" t="s">
        <v>2367</v>
      </c>
      <c r="H835" t="s">
        <v>965</v>
      </c>
      <c r="I835">
        <v>77578</v>
      </c>
      <c r="J835" t="s">
        <v>2368</v>
      </c>
      <c r="K835">
        <v>2814152545</v>
      </c>
      <c r="M835">
        <v>78000</v>
      </c>
      <c r="N835">
        <v>78000</v>
      </c>
      <c r="O835">
        <v>42</v>
      </c>
      <c r="P835">
        <v>297</v>
      </c>
      <c r="Q835">
        <v>55</v>
      </c>
    </row>
    <row r="836" spans="1:17" x14ac:dyDescent="0.3">
      <c r="A836">
        <v>108</v>
      </c>
      <c r="B836" t="s">
        <v>2369</v>
      </c>
      <c r="C836" t="s">
        <v>1708</v>
      </c>
      <c r="E836">
        <v>5269</v>
      </c>
      <c r="F836" t="s">
        <v>2252</v>
      </c>
      <c r="G836" t="s">
        <v>2253</v>
      </c>
      <c r="H836" t="s">
        <v>965</v>
      </c>
      <c r="I836">
        <v>77536</v>
      </c>
      <c r="J836" t="s">
        <v>2254</v>
      </c>
      <c r="K836">
        <v>2817015171</v>
      </c>
      <c r="L836">
        <v>2812363799</v>
      </c>
      <c r="M836">
        <v>4150</v>
      </c>
      <c r="N836">
        <v>4275</v>
      </c>
      <c r="O836">
        <v>25</v>
      </c>
      <c r="P836">
        <v>69</v>
      </c>
      <c r="Q836">
        <v>22</v>
      </c>
    </row>
    <row r="837" spans="1:17" x14ac:dyDescent="0.3">
      <c r="A837" t="s">
        <v>766</v>
      </c>
      <c r="B837" t="s">
        <v>2370</v>
      </c>
      <c r="C837" t="s">
        <v>1708</v>
      </c>
      <c r="E837">
        <v>5274</v>
      </c>
      <c r="F837" t="s">
        <v>2361</v>
      </c>
      <c r="G837" t="s">
        <v>2362</v>
      </c>
      <c r="H837" t="s">
        <v>965</v>
      </c>
      <c r="I837">
        <v>77084</v>
      </c>
      <c r="J837" t="s">
        <v>2363</v>
      </c>
      <c r="K837">
        <v>8325575922</v>
      </c>
      <c r="L837">
        <v>8325575922</v>
      </c>
      <c r="M837">
        <v>43500</v>
      </c>
      <c r="N837">
        <v>43500</v>
      </c>
      <c r="O837">
        <v>39</v>
      </c>
      <c r="P837">
        <v>183</v>
      </c>
      <c r="Q837">
        <v>38</v>
      </c>
    </row>
    <row r="838" spans="1:17" x14ac:dyDescent="0.3">
      <c r="A838">
        <v>109</v>
      </c>
      <c r="B838" t="s">
        <v>2371</v>
      </c>
      <c r="C838" t="s">
        <v>1708</v>
      </c>
      <c r="E838">
        <v>5175</v>
      </c>
      <c r="F838" t="s">
        <v>2146</v>
      </c>
      <c r="G838" t="s">
        <v>2147</v>
      </c>
      <c r="H838" t="s">
        <v>965</v>
      </c>
      <c r="I838">
        <v>75956</v>
      </c>
      <c r="J838" t="s">
        <v>2148</v>
      </c>
      <c r="K838">
        <v>4093842254</v>
      </c>
      <c r="L838">
        <v>4093823362</v>
      </c>
      <c r="M838">
        <v>3500</v>
      </c>
      <c r="N838">
        <v>3500</v>
      </c>
      <c r="O838">
        <v>31</v>
      </c>
      <c r="P838">
        <v>40</v>
      </c>
      <c r="Q838">
        <v>22</v>
      </c>
    </row>
    <row r="839" spans="1:17" x14ac:dyDescent="0.3">
      <c r="A839">
        <v>110</v>
      </c>
      <c r="B839" t="s">
        <v>2372</v>
      </c>
      <c r="C839" t="s">
        <v>1708</v>
      </c>
      <c r="E839">
        <v>5133</v>
      </c>
      <c r="F839" t="s">
        <v>1391</v>
      </c>
      <c r="G839" t="s">
        <v>1392</v>
      </c>
      <c r="H839" t="s">
        <v>965</v>
      </c>
      <c r="I839">
        <v>77581</v>
      </c>
      <c r="J839" t="s">
        <v>1393</v>
      </c>
      <c r="K839">
        <v>8326215422</v>
      </c>
      <c r="M839">
        <v>1250</v>
      </c>
      <c r="N839">
        <v>1250</v>
      </c>
      <c r="O839">
        <v>11</v>
      </c>
      <c r="P839">
        <v>24</v>
      </c>
      <c r="Q839">
        <v>25</v>
      </c>
    </row>
    <row r="840" spans="1:17" x14ac:dyDescent="0.3">
      <c r="A840">
        <v>111</v>
      </c>
      <c r="B840" t="s">
        <v>2373</v>
      </c>
      <c r="C840" t="s">
        <v>1708</v>
      </c>
      <c r="E840">
        <v>5031</v>
      </c>
      <c r="F840" t="s">
        <v>1045</v>
      </c>
      <c r="G840" t="s">
        <v>1046</v>
      </c>
      <c r="H840" t="s">
        <v>965</v>
      </c>
      <c r="I840">
        <v>77478</v>
      </c>
      <c r="J840" t="s">
        <v>1047</v>
      </c>
      <c r="K840">
        <v>7132023905</v>
      </c>
      <c r="M840">
        <v>3500</v>
      </c>
      <c r="N840">
        <v>3500</v>
      </c>
      <c r="O840">
        <v>37</v>
      </c>
      <c r="P840">
        <v>74</v>
      </c>
      <c r="Q840">
        <v>50</v>
      </c>
    </row>
    <row r="841" spans="1:17" x14ac:dyDescent="0.3">
      <c r="A841">
        <v>112</v>
      </c>
      <c r="B841" t="s">
        <v>2374</v>
      </c>
      <c r="C841" t="s">
        <v>1708</v>
      </c>
      <c r="E841">
        <v>5175</v>
      </c>
      <c r="F841" t="s">
        <v>2146</v>
      </c>
      <c r="G841" t="s">
        <v>2147</v>
      </c>
      <c r="H841" t="s">
        <v>965</v>
      </c>
      <c r="I841">
        <v>75956</v>
      </c>
      <c r="J841" t="s">
        <v>2148</v>
      </c>
      <c r="K841">
        <v>4093842254</v>
      </c>
      <c r="L841">
        <v>4093823362</v>
      </c>
      <c r="M841">
        <v>1500</v>
      </c>
      <c r="N841">
        <v>1500</v>
      </c>
      <c r="O841">
        <v>17</v>
      </c>
      <c r="P841">
        <v>40</v>
      </c>
      <c r="Q841">
        <v>11</v>
      </c>
    </row>
    <row r="842" spans="1:17" x14ac:dyDescent="0.3">
      <c r="A842">
        <v>113</v>
      </c>
      <c r="B842" t="s">
        <v>2375</v>
      </c>
      <c r="C842" t="s">
        <v>1708</v>
      </c>
      <c r="E842">
        <v>5129</v>
      </c>
      <c r="F842" t="s">
        <v>2376</v>
      </c>
      <c r="G842" t="s">
        <v>2377</v>
      </c>
      <c r="H842" t="s">
        <v>965</v>
      </c>
      <c r="I842">
        <v>77573</v>
      </c>
      <c r="J842" t="s">
        <v>2378</v>
      </c>
      <c r="K842" t="s">
        <v>2379</v>
      </c>
      <c r="M842">
        <v>3100</v>
      </c>
      <c r="N842">
        <v>3300</v>
      </c>
      <c r="O842">
        <v>22</v>
      </c>
      <c r="P842">
        <v>43</v>
      </c>
      <c r="Q842">
        <v>21</v>
      </c>
    </row>
    <row r="843" spans="1:17" x14ac:dyDescent="0.3">
      <c r="A843">
        <v>114</v>
      </c>
      <c r="B843" t="s">
        <v>2380</v>
      </c>
      <c r="C843" t="s">
        <v>1708</v>
      </c>
      <c r="E843">
        <v>5115</v>
      </c>
      <c r="F843" t="s">
        <v>2381</v>
      </c>
      <c r="G843" t="s">
        <v>2382</v>
      </c>
      <c r="H843" t="s">
        <v>965</v>
      </c>
      <c r="I843">
        <v>77506</v>
      </c>
      <c r="J843" t="s">
        <v>2383</v>
      </c>
      <c r="K843">
        <v>7132942080</v>
      </c>
      <c r="M843">
        <v>5000</v>
      </c>
      <c r="N843">
        <v>5000</v>
      </c>
      <c r="O843">
        <v>32</v>
      </c>
      <c r="P843">
        <v>69</v>
      </c>
      <c r="Q843">
        <v>35</v>
      </c>
    </row>
    <row r="844" spans="1:17" x14ac:dyDescent="0.3">
      <c r="A844">
        <v>115</v>
      </c>
      <c r="B844" t="s">
        <v>2384</v>
      </c>
      <c r="C844" t="s">
        <v>1708</v>
      </c>
      <c r="E844">
        <v>5206</v>
      </c>
      <c r="F844" t="s">
        <v>972</v>
      </c>
      <c r="G844" t="s">
        <v>973</v>
      </c>
      <c r="H844" t="s">
        <v>965</v>
      </c>
      <c r="I844">
        <v>77355</v>
      </c>
      <c r="J844" t="s">
        <v>974</v>
      </c>
      <c r="K844" t="s">
        <v>975</v>
      </c>
      <c r="M844">
        <v>1100</v>
      </c>
      <c r="N844">
        <v>1100</v>
      </c>
      <c r="O844">
        <v>10</v>
      </c>
      <c r="P844">
        <v>17</v>
      </c>
      <c r="Q844">
        <v>13</v>
      </c>
    </row>
    <row r="845" spans="1:17" x14ac:dyDescent="0.3">
      <c r="A845">
        <v>116</v>
      </c>
      <c r="B845" t="s">
        <v>1785</v>
      </c>
      <c r="C845" t="s">
        <v>1708</v>
      </c>
      <c r="E845">
        <v>5175</v>
      </c>
      <c r="F845" t="s">
        <v>2146</v>
      </c>
      <c r="G845" t="s">
        <v>2147</v>
      </c>
      <c r="H845" t="s">
        <v>965</v>
      </c>
      <c r="I845">
        <v>75956</v>
      </c>
      <c r="J845" t="s">
        <v>2148</v>
      </c>
      <c r="K845">
        <v>4093842254</v>
      </c>
      <c r="L845">
        <v>4093823362</v>
      </c>
      <c r="M845">
        <v>4250</v>
      </c>
      <c r="N845">
        <v>4250</v>
      </c>
      <c r="O845">
        <v>30</v>
      </c>
      <c r="P845">
        <v>50</v>
      </c>
      <c r="Q845">
        <v>30</v>
      </c>
    </row>
    <row r="846" spans="1:17" x14ac:dyDescent="0.3">
      <c r="A846" t="s">
        <v>505</v>
      </c>
      <c r="B846" t="s">
        <v>2385</v>
      </c>
      <c r="C846" t="s">
        <v>1708</v>
      </c>
      <c r="E846">
        <v>5031</v>
      </c>
      <c r="F846" t="s">
        <v>1045</v>
      </c>
      <c r="G846" t="s">
        <v>1046</v>
      </c>
      <c r="H846" t="s">
        <v>965</v>
      </c>
      <c r="I846">
        <v>77478</v>
      </c>
      <c r="J846" t="s">
        <v>1047</v>
      </c>
      <c r="K846">
        <v>7132023905</v>
      </c>
      <c r="M846">
        <v>10000</v>
      </c>
      <c r="N846">
        <v>10000</v>
      </c>
      <c r="O846">
        <v>26</v>
      </c>
      <c r="P846">
        <v>72</v>
      </c>
      <c r="Q846">
        <v>13</v>
      </c>
    </row>
    <row r="847" spans="1:17" x14ac:dyDescent="0.3">
      <c r="A847">
        <v>117</v>
      </c>
      <c r="B847" t="s">
        <v>2386</v>
      </c>
      <c r="C847" t="s">
        <v>1708</v>
      </c>
      <c r="E847">
        <v>5197</v>
      </c>
      <c r="F847" t="s">
        <v>2335</v>
      </c>
      <c r="G847" t="s">
        <v>2336</v>
      </c>
      <c r="H847" t="s">
        <v>965</v>
      </c>
      <c r="I847">
        <v>77583</v>
      </c>
      <c r="J847" t="s">
        <v>2337</v>
      </c>
      <c r="K847">
        <v>9797091048</v>
      </c>
      <c r="M847">
        <v>575</v>
      </c>
      <c r="N847">
        <v>625</v>
      </c>
      <c r="O847">
        <v>4</v>
      </c>
      <c r="P847">
        <v>25</v>
      </c>
      <c r="Q847">
        <v>12</v>
      </c>
    </row>
    <row r="848" spans="1:17" x14ac:dyDescent="0.3">
      <c r="A848">
        <v>118</v>
      </c>
      <c r="B848" t="s">
        <v>2387</v>
      </c>
      <c r="C848" t="s">
        <v>1708</v>
      </c>
      <c r="E848">
        <v>5127</v>
      </c>
      <c r="F848" t="s">
        <v>2388</v>
      </c>
      <c r="G848" t="s">
        <v>2389</v>
      </c>
      <c r="H848" t="s">
        <v>965</v>
      </c>
      <c r="I848">
        <v>77498</v>
      </c>
      <c r="J848" t="s">
        <v>2390</v>
      </c>
      <c r="K848">
        <v>7133062169</v>
      </c>
      <c r="M848">
        <v>2100</v>
      </c>
      <c r="N848">
        <v>2100</v>
      </c>
      <c r="O848">
        <v>18</v>
      </c>
      <c r="P848">
        <v>28</v>
      </c>
      <c r="Q848">
        <v>19</v>
      </c>
    </row>
    <row r="849" spans="1:17" x14ac:dyDescent="0.3">
      <c r="A849">
        <v>119</v>
      </c>
      <c r="B849" t="s">
        <v>2391</v>
      </c>
      <c r="C849" t="s">
        <v>1708</v>
      </c>
      <c r="E849">
        <v>5114</v>
      </c>
      <c r="F849" t="s">
        <v>660</v>
      </c>
      <c r="G849" t="s">
        <v>2326</v>
      </c>
      <c r="H849" t="s">
        <v>965</v>
      </c>
      <c r="I849">
        <v>77511</v>
      </c>
      <c r="J849" t="s">
        <v>2327</v>
      </c>
      <c r="K849" t="s">
        <v>2328</v>
      </c>
      <c r="M849">
        <v>1050</v>
      </c>
      <c r="N849">
        <v>1050</v>
      </c>
      <c r="O849">
        <v>6</v>
      </c>
      <c r="P849">
        <v>24</v>
      </c>
      <c r="Q849">
        <v>8</v>
      </c>
    </row>
    <row r="850" spans="1:17" x14ac:dyDescent="0.3">
      <c r="A850">
        <v>120</v>
      </c>
      <c r="B850" t="s">
        <v>2392</v>
      </c>
      <c r="C850" t="s">
        <v>1708</v>
      </c>
      <c r="E850">
        <v>5174</v>
      </c>
      <c r="F850" t="s">
        <v>643</v>
      </c>
      <c r="G850" t="s">
        <v>2275</v>
      </c>
      <c r="H850" t="s">
        <v>965</v>
      </c>
      <c r="I850">
        <v>77036</v>
      </c>
      <c r="J850" t="s">
        <v>2276</v>
      </c>
      <c r="K850">
        <v>3238646733</v>
      </c>
      <c r="M850">
        <v>1150</v>
      </c>
      <c r="N850">
        <v>1150</v>
      </c>
      <c r="O850">
        <v>13</v>
      </c>
      <c r="P850">
        <v>29</v>
      </c>
      <c r="Q850">
        <v>11</v>
      </c>
    </row>
    <row r="851" spans="1:17" x14ac:dyDescent="0.3">
      <c r="A851">
        <v>121</v>
      </c>
      <c r="B851" t="s">
        <v>2393</v>
      </c>
      <c r="C851" t="s">
        <v>1708</v>
      </c>
      <c r="E851">
        <v>5133</v>
      </c>
      <c r="F851" t="s">
        <v>1391</v>
      </c>
      <c r="G851" t="s">
        <v>1392</v>
      </c>
      <c r="H851" t="s">
        <v>965</v>
      </c>
      <c r="I851">
        <v>77581</v>
      </c>
      <c r="J851" t="s">
        <v>1393</v>
      </c>
      <c r="K851">
        <v>8326215422</v>
      </c>
      <c r="M851">
        <v>1250</v>
      </c>
      <c r="N851">
        <v>1250</v>
      </c>
      <c r="O851">
        <v>19</v>
      </c>
      <c r="P851">
        <v>32</v>
      </c>
      <c r="Q851">
        <v>19</v>
      </c>
    </row>
    <row r="852" spans="1:17" x14ac:dyDescent="0.3">
      <c r="A852">
        <v>122</v>
      </c>
      <c r="B852" t="s">
        <v>2394</v>
      </c>
      <c r="C852" t="s">
        <v>1708</v>
      </c>
      <c r="E852">
        <v>5249</v>
      </c>
      <c r="F852" t="s">
        <v>663</v>
      </c>
      <c r="G852" t="s">
        <v>2309</v>
      </c>
      <c r="H852" t="s">
        <v>965</v>
      </c>
      <c r="I852">
        <v>77081</v>
      </c>
      <c r="J852" t="s">
        <v>2310</v>
      </c>
      <c r="K852" t="s">
        <v>2311</v>
      </c>
      <c r="M852">
        <v>1450</v>
      </c>
      <c r="N852">
        <v>1500</v>
      </c>
      <c r="O852">
        <v>20</v>
      </c>
      <c r="P852">
        <v>35</v>
      </c>
      <c r="Q852">
        <v>26</v>
      </c>
    </row>
    <row r="853" spans="1:17" x14ac:dyDescent="0.3">
      <c r="A853">
        <v>125</v>
      </c>
      <c r="B853" t="s">
        <v>741</v>
      </c>
      <c r="C853" t="s">
        <v>1708</v>
      </c>
      <c r="F853" t="s">
        <v>649</v>
      </c>
      <c r="M853">
        <v>0</v>
      </c>
      <c r="N853">
        <v>0</v>
      </c>
      <c r="O853">
        <v>0</v>
      </c>
      <c r="P853">
        <v>41</v>
      </c>
      <c r="Q853">
        <v>4</v>
      </c>
    </row>
    <row r="854" spans="1:17" x14ac:dyDescent="0.3">
      <c r="A854">
        <v>126</v>
      </c>
      <c r="B854" t="s">
        <v>2395</v>
      </c>
      <c r="C854" t="s">
        <v>1708</v>
      </c>
      <c r="E854">
        <v>5206</v>
      </c>
      <c r="F854" t="s">
        <v>972</v>
      </c>
      <c r="G854" t="s">
        <v>973</v>
      </c>
      <c r="H854" t="s">
        <v>965</v>
      </c>
      <c r="I854">
        <v>77355</v>
      </c>
      <c r="J854" t="s">
        <v>974</v>
      </c>
      <c r="K854" t="s">
        <v>975</v>
      </c>
      <c r="M854">
        <v>3100</v>
      </c>
      <c r="N854">
        <v>3100</v>
      </c>
      <c r="O854">
        <v>33</v>
      </c>
      <c r="P854">
        <v>62</v>
      </c>
      <c r="Q854">
        <v>43</v>
      </c>
    </row>
    <row r="855" spans="1:17" x14ac:dyDescent="0.3">
      <c r="A855">
        <v>127</v>
      </c>
      <c r="B855" t="s">
        <v>1226</v>
      </c>
      <c r="C855" t="s">
        <v>1708</v>
      </c>
      <c r="E855">
        <v>5184</v>
      </c>
      <c r="F855" t="s">
        <v>2396</v>
      </c>
      <c r="G855" t="s">
        <v>2397</v>
      </c>
      <c r="H855" t="s">
        <v>965</v>
      </c>
      <c r="I855">
        <v>77469</v>
      </c>
      <c r="J855" t="s">
        <v>2398</v>
      </c>
      <c r="K855">
        <v>2816339919</v>
      </c>
      <c r="L855">
        <v>2814149438</v>
      </c>
      <c r="M855">
        <v>8500</v>
      </c>
      <c r="N855">
        <v>8500</v>
      </c>
      <c r="O855">
        <v>23</v>
      </c>
      <c r="P855">
        <v>61</v>
      </c>
      <c r="Q855">
        <v>18</v>
      </c>
    </row>
    <row r="856" spans="1:17" x14ac:dyDescent="0.3">
      <c r="A856">
        <v>128</v>
      </c>
      <c r="B856" t="s">
        <v>2399</v>
      </c>
      <c r="C856" t="s">
        <v>1708</v>
      </c>
      <c r="E856">
        <v>5009</v>
      </c>
      <c r="F856" t="s">
        <v>2400</v>
      </c>
      <c r="G856" t="s">
        <v>2401</v>
      </c>
      <c r="H856" t="s">
        <v>965</v>
      </c>
      <c r="I856">
        <v>77080</v>
      </c>
      <c r="J856" t="s">
        <v>2402</v>
      </c>
      <c r="K856">
        <v>2816150398</v>
      </c>
      <c r="M856">
        <v>500</v>
      </c>
      <c r="N856">
        <v>500</v>
      </c>
      <c r="O856">
        <v>1</v>
      </c>
      <c r="P856">
        <v>39</v>
      </c>
      <c r="Q856">
        <v>6</v>
      </c>
    </row>
    <row r="857" spans="1:17" x14ac:dyDescent="0.3">
      <c r="A857">
        <v>130</v>
      </c>
      <c r="B857" t="s">
        <v>2403</v>
      </c>
      <c r="C857" t="s">
        <v>1708</v>
      </c>
      <c r="E857">
        <v>5249</v>
      </c>
      <c r="F857" t="s">
        <v>663</v>
      </c>
      <c r="G857" t="s">
        <v>2309</v>
      </c>
      <c r="H857" t="s">
        <v>965</v>
      </c>
      <c r="I857">
        <v>77081</v>
      </c>
      <c r="J857" t="s">
        <v>2310</v>
      </c>
      <c r="K857" t="s">
        <v>2311</v>
      </c>
      <c r="M857">
        <v>2000</v>
      </c>
      <c r="N857">
        <v>2000</v>
      </c>
      <c r="O857">
        <v>25</v>
      </c>
      <c r="P857">
        <v>59</v>
      </c>
      <c r="Q857">
        <v>31</v>
      </c>
    </row>
    <row r="858" spans="1:17" x14ac:dyDescent="0.3">
      <c r="A858">
        <v>131</v>
      </c>
      <c r="B858" t="s">
        <v>2404</v>
      </c>
      <c r="C858" t="s">
        <v>1708</v>
      </c>
      <c r="E858">
        <v>5170</v>
      </c>
      <c r="F858" t="s">
        <v>661</v>
      </c>
      <c r="G858" t="s">
        <v>2206</v>
      </c>
      <c r="H858" t="s">
        <v>965</v>
      </c>
      <c r="I858">
        <v>78626</v>
      </c>
      <c r="J858" t="s">
        <v>2207</v>
      </c>
      <c r="K858">
        <v>2817748923</v>
      </c>
      <c r="M858">
        <v>625</v>
      </c>
      <c r="N858">
        <v>625</v>
      </c>
      <c r="O858">
        <v>4</v>
      </c>
      <c r="P858">
        <v>39</v>
      </c>
      <c r="Q858">
        <v>16</v>
      </c>
    </row>
    <row r="859" spans="1:17" x14ac:dyDescent="0.3">
      <c r="A859">
        <v>132</v>
      </c>
      <c r="B859" t="s">
        <v>316</v>
      </c>
      <c r="C859" t="s">
        <v>1708</v>
      </c>
      <c r="E859">
        <v>5162</v>
      </c>
      <c r="F859" t="s">
        <v>644</v>
      </c>
      <c r="G859" t="s">
        <v>968</v>
      </c>
      <c r="H859" t="s">
        <v>965</v>
      </c>
      <c r="I859">
        <v>77477</v>
      </c>
      <c r="J859" t="s">
        <v>969</v>
      </c>
      <c r="K859" t="s">
        <v>970</v>
      </c>
      <c r="M859">
        <v>2100</v>
      </c>
      <c r="N859">
        <v>6500</v>
      </c>
      <c r="O859">
        <v>4</v>
      </c>
      <c r="P859">
        <v>26</v>
      </c>
      <c r="Q859">
        <v>5</v>
      </c>
    </row>
    <row r="860" spans="1:17" x14ac:dyDescent="0.3">
      <c r="A860">
        <v>134</v>
      </c>
      <c r="B860" t="s">
        <v>2405</v>
      </c>
      <c r="C860" t="s">
        <v>1708</v>
      </c>
      <c r="E860">
        <v>5139</v>
      </c>
      <c r="F860" t="s">
        <v>2091</v>
      </c>
      <c r="G860" t="s">
        <v>2092</v>
      </c>
      <c r="H860" t="s">
        <v>965</v>
      </c>
      <c r="I860">
        <v>77423</v>
      </c>
      <c r="J860" t="s">
        <v>2093</v>
      </c>
      <c r="K860">
        <v>8329499710</v>
      </c>
      <c r="M860">
        <v>2700</v>
      </c>
      <c r="N860">
        <v>2700</v>
      </c>
      <c r="O860">
        <v>12</v>
      </c>
      <c r="P860">
        <v>17</v>
      </c>
      <c r="Q860">
        <v>22</v>
      </c>
    </row>
    <row r="861" spans="1:17" x14ac:dyDescent="0.3">
      <c r="A861">
        <v>135</v>
      </c>
      <c r="B861" t="s">
        <v>509</v>
      </c>
      <c r="C861" t="s">
        <v>1708</v>
      </c>
      <c r="E861">
        <v>5169</v>
      </c>
      <c r="F861" t="s">
        <v>650</v>
      </c>
      <c r="G861" t="s">
        <v>2406</v>
      </c>
      <c r="H861" t="s">
        <v>965</v>
      </c>
      <c r="I861">
        <v>77429</v>
      </c>
      <c r="J861" t="s">
        <v>2407</v>
      </c>
      <c r="K861">
        <v>8323673402</v>
      </c>
      <c r="M861">
        <v>4000</v>
      </c>
      <c r="N861">
        <v>4500</v>
      </c>
      <c r="O861">
        <v>22</v>
      </c>
      <c r="P861">
        <v>54</v>
      </c>
      <c r="Q861">
        <v>13</v>
      </c>
    </row>
    <row r="862" spans="1:17" x14ac:dyDescent="0.3">
      <c r="A862">
        <v>136</v>
      </c>
      <c r="B862" t="s">
        <v>2408</v>
      </c>
      <c r="C862" t="s">
        <v>1708</v>
      </c>
      <c r="E862">
        <v>5176</v>
      </c>
      <c r="F862" t="s">
        <v>696</v>
      </c>
      <c r="G862" t="s">
        <v>2409</v>
      </c>
      <c r="H862" t="s">
        <v>965</v>
      </c>
      <c r="I862">
        <v>77459</v>
      </c>
      <c r="J862" t="s">
        <v>2410</v>
      </c>
      <c r="K862">
        <v>9792035411</v>
      </c>
      <c r="M862">
        <v>8375</v>
      </c>
      <c r="N862">
        <v>9125</v>
      </c>
      <c r="O862">
        <v>38</v>
      </c>
      <c r="P862">
        <v>81</v>
      </c>
      <c r="Q862">
        <v>34</v>
      </c>
    </row>
    <row r="863" spans="1:17" x14ac:dyDescent="0.3">
      <c r="A863" t="s">
        <v>514</v>
      </c>
      <c r="B863" t="s">
        <v>1324</v>
      </c>
      <c r="C863" t="s">
        <v>1708</v>
      </c>
      <c r="E863">
        <v>5284</v>
      </c>
      <c r="F863" t="s">
        <v>2356</v>
      </c>
      <c r="G863" t="s">
        <v>2357</v>
      </c>
      <c r="H863" t="s">
        <v>965</v>
      </c>
      <c r="I863">
        <v>77429</v>
      </c>
      <c r="J863" t="s">
        <v>2358</v>
      </c>
      <c r="K863" t="s">
        <v>2359</v>
      </c>
      <c r="M863">
        <v>18000</v>
      </c>
      <c r="N863">
        <v>18000</v>
      </c>
      <c r="O863">
        <v>39</v>
      </c>
      <c r="P863">
        <v>37</v>
      </c>
      <c r="Q863">
        <v>21</v>
      </c>
    </row>
    <row r="864" spans="1:17" x14ac:dyDescent="0.3">
      <c r="A864">
        <v>137</v>
      </c>
      <c r="B864" t="s">
        <v>1100</v>
      </c>
      <c r="C864" t="s">
        <v>1708</v>
      </c>
      <c r="E864">
        <v>5114</v>
      </c>
      <c r="F864" t="s">
        <v>660</v>
      </c>
      <c r="G864" t="s">
        <v>2326</v>
      </c>
      <c r="H864" t="s">
        <v>965</v>
      </c>
      <c r="I864">
        <v>77511</v>
      </c>
      <c r="J864" t="s">
        <v>2327</v>
      </c>
      <c r="K864" t="s">
        <v>2328</v>
      </c>
      <c r="M864">
        <v>1400</v>
      </c>
      <c r="N864">
        <v>1400</v>
      </c>
      <c r="O864">
        <v>16</v>
      </c>
      <c r="P864">
        <v>31</v>
      </c>
      <c r="Q864">
        <v>9</v>
      </c>
    </row>
    <row r="865" spans="1:17" x14ac:dyDescent="0.3">
      <c r="A865">
        <v>138</v>
      </c>
      <c r="B865" t="s">
        <v>1382</v>
      </c>
      <c r="C865" t="s">
        <v>1708</v>
      </c>
      <c r="E865">
        <v>5188</v>
      </c>
      <c r="F865" t="s">
        <v>2411</v>
      </c>
      <c r="G865" t="s">
        <v>2412</v>
      </c>
      <c r="H865" t="s">
        <v>965</v>
      </c>
      <c r="I865">
        <v>77354</v>
      </c>
      <c r="J865" t="s">
        <v>2413</v>
      </c>
      <c r="K865">
        <v>8327391255</v>
      </c>
      <c r="M865">
        <v>1900</v>
      </c>
      <c r="N865">
        <v>1900</v>
      </c>
      <c r="O865">
        <v>36</v>
      </c>
      <c r="P865">
        <v>72</v>
      </c>
      <c r="Q865">
        <v>26</v>
      </c>
    </row>
    <row r="866" spans="1:17" x14ac:dyDescent="0.3">
      <c r="A866">
        <v>139</v>
      </c>
      <c r="B866" t="s">
        <v>2414</v>
      </c>
      <c r="C866" t="s">
        <v>1708</v>
      </c>
      <c r="E866">
        <v>5049</v>
      </c>
      <c r="F866" t="s">
        <v>2256</v>
      </c>
      <c r="G866" t="s">
        <v>2257</v>
      </c>
      <c r="H866" t="s">
        <v>965</v>
      </c>
      <c r="I866">
        <v>77477</v>
      </c>
      <c r="J866" t="s">
        <v>2258</v>
      </c>
      <c r="K866">
        <v>2812087171</v>
      </c>
      <c r="M866">
        <v>525</v>
      </c>
      <c r="N866">
        <v>525</v>
      </c>
      <c r="O866">
        <v>2</v>
      </c>
      <c r="P866">
        <v>43</v>
      </c>
      <c r="Q866">
        <v>9</v>
      </c>
    </row>
    <row r="867" spans="1:17" x14ac:dyDescent="0.3">
      <c r="A867">
        <v>140</v>
      </c>
      <c r="B867" t="s">
        <v>2415</v>
      </c>
      <c r="C867" t="s">
        <v>1708</v>
      </c>
      <c r="E867">
        <v>5049</v>
      </c>
      <c r="F867" t="s">
        <v>2256</v>
      </c>
      <c r="G867" t="s">
        <v>2257</v>
      </c>
      <c r="H867" t="s">
        <v>965</v>
      </c>
      <c r="I867">
        <v>77477</v>
      </c>
      <c r="J867" t="s">
        <v>2258</v>
      </c>
      <c r="K867">
        <v>2812087171</v>
      </c>
      <c r="M867">
        <v>2200</v>
      </c>
      <c r="N867">
        <v>2200</v>
      </c>
      <c r="O867">
        <v>10</v>
      </c>
      <c r="P867">
        <v>76</v>
      </c>
      <c r="Q867">
        <v>34</v>
      </c>
    </row>
    <row r="868" spans="1:17" x14ac:dyDescent="0.3">
      <c r="A868">
        <v>141</v>
      </c>
      <c r="B868" t="s">
        <v>1316</v>
      </c>
      <c r="C868" t="s">
        <v>1708</v>
      </c>
      <c r="E868">
        <v>5249</v>
      </c>
      <c r="F868" t="s">
        <v>663</v>
      </c>
      <c r="G868" t="s">
        <v>2309</v>
      </c>
      <c r="H868" t="s">
        <v>965</v>
      </c>
      <c r="I868">
        <v>77081</v>
      </c>
      <c r="J868" t="s">
        <v>2310</v>
      </c>
      <c r="K868" t="s">
        <v>2311</v>
      </c>
      <c r="M868">
        <v>2700</v>
      </c>
      <c r="N868">
        <v>2700</v>
      </c>
      <c r="O868">
        <v>26</v>
      </c>
      <c r="P868">
        <v>30</v>
      </c>
      <c r="Q868">
        <v>27</v>
      </c>
    </row>
    <row r="869" spans="1:17" x14ac:dyDescent="0.3">
      <c r="A869" t="s">
        <v>516</v>
      </c>
      <c r="B869" t="s">
        <v>1340</v>
      </c>
      <c r="C869" t="s">
        <v>1708</v>
      </c>
      <c r="E869">
        <v>5284</v>
      </c>
      <c r="F869" t="s">
        <v>2356</v>
      </c>
      <c r="G869" t="s">
        <v>2357</v>
      </c>
      <c r="H869" t="s">
        <v>965</v>
      </c>
      <c r="I869">
        <v>77429</v>
      </c>
      <c r="J869" t="s">
        <v>2358</v>
      </c>
      <c r="K869" t="s">
        <v>2359</v>
      </c>
      <c r="M869">
        <v>17500</v>
      </c>
      <c r="N869">
        <v>17500</v>
      </c>
      <c r="O869">
        <v>36</v>
      </c>
      <c r="P869">
        <v>54</v>
      </c>
      <c r="Q869">
        <v>16</v>
      </c>
    </row>
    <row r="870" spans="1:17" x14ac:dyDescent="0.3">
      <c r="A870">
        <v>142</v>
      </c>
      <c r="B870" t="s">
        <v>2416</v>
      </c>
      <c r="C870" t="s">
        <v>1708</v>
      </c>
      <c r="E870">
        <v>5214</v>
      </c>
      <c r="F870" t="s">
        <v>2417</v>
      </c>
      <c r="G870" t="s">
        <v>2418</v>
      </c>
      <c r="H870" t="s">
        <v>965</v>
      </c>
      <c r="I870">
        <v>77514</v>
      </c>
      <c r="J870" t="s">
        <v>2419</v>
      </c>
      <c r="K870">
        <v>9798486337</v>
      </c>
      <c r="M870">
        <v>525</v>
      </c>
      <c r="N870">
        <v>525</v>
      </c>
      <c r="O870">
        <v>2</v>
      </c>
      <c r="P870">
        <v>22</v>
      </c>
      <c r="Q870">
        <v>6</v>
      </c>
    </row>
    <row r="871" spans="1:17" x14ac:dyDescent="0.3">
      <c r="A871">
        <v>143</v>
      </c>
      <c r="B871" t="s">
        <v>2420</v>
      </c>
      <c r="C871" t="s">
        <v>1708</v>
      </c>
      <c r="E871">
        <v>5031</v>
      </c>
      <c r="F871" t="s">
        <v>1045</v>
      </c>
      <c r="G871" t="s">
        <v>1046</v>
      </c>
      <c r="H871" t="s">
        <v>965</v>
      </c>
      <c r="I871">
        <v>77478</v>
      </c>
      <c r="J871" t="s">
        <v>1047</v>
      </c>
      <c r="K871">
        <v>7132023905</v>
      </c>
      <c r="M871">
        <v>4100</v>
      </c>
      <c r="N871">
        <v>4100</v>
      </c>
      <c r="O871">
        <v>24</v>
      </c>
      <c r="P871">
        <v>57</v>
      </c>
      <c r="Q871">
        <v>23</v>
      </c>
    </row>
    <row r="872" spans="1:17" x14ac:dyDescent="0.3">
      <c r="A872">
        <v>144</v>
      </c>
      <c r="B872" t="s">
        <v>2421</v>
      </c>
      <c r="C872" t="s">
        <v>1708</v>
      </c>
      <c r="E872">
        <v>5188</v>
      </c>
      <c r="F872" t="s">
        <v>2411</v>
      </c>
      <c r="G872" t="s">
        <v>2412</v>
      </c>
      <c r="H872" t="s">
        <v>965</v>
      </c>
      <c r="I872">
        <v>77354</v>
      </c>
      <c r="J872" t="s">
        <v>2413</v>
      </c>
      <c r="K872">
        <v>8327391255</v>
      </c>
      <c r="M872">
        <v>3100</v>
      </c>
      <c r="N872">
        <v>3100</v>
      </c>
      <c r="O872">
        <v>36</v>
      </c>
      <c r="P872">
        <v>62</v>
      </c>
      <c r="Q872">
        <v>15</v>
      </c>
    </row>
    <row r="873" spans="1:17" x14ac:dyDescent="0.3">
      <c r="A873" t="s">
        <v>2422</v>
      </c>
      <c r="B873" t="s">
        <v>311</v>
      </c>
      <c r="C873" t="s">
        <v>1708</v>
      </c>
      <c r="E873">
        <v>5162</v>
      </c>
      <c r="F873" t="s">
        <v>644</v>
      </c>
      <c r="G873" t="s">
        <v>968</v>
      </c>
      <c r="H873" t="s">
        <v>965</v>
      </c>
      <c r="I873">
        <v>77477</v>
      </c>
      <c r="J873" t="s">
        <v>969</v>
      </c>
      <c r="K873" t="s">
        <v>970</v>
      </c>
      <c r="M873">
        <v>6750</v>
      </c>
      <c r="N873">
        <v>8500</v>
      </c>
      <c r="O873">
        <v>19</v>
      </c>
      <c r="P873">
        <v>70</v>
      </c>
      <c r="Q873">
        <v>50</v>
      </c>
    </row>
    <row r="874" spans="1:17" x14ac:dyDescent="0.3">
      <c r="A874">
        <v>146</v>
      </c>
      <c r="B874" t="s">
        <v>2423</v>
      </c>
      <c r="C874" t="s">
        <v>1708</v>
      </c>
      <c r="E874">
        <v>5146</v>
      </c>
      <c r="F874" t="s">
        <v>2424</v>
      </c>
      <c r="G874" t="s">
        <v>2425</v>
      </c>
      <c r="H874" t="s">
        <v>965</v>
      </c>
      <c r="I874">
        <v>77459</v>
      </c>
      <c r="J874" t="s">
        <v>2426</v>
      </c>
      <c r="K874" t="s">
        <v>2427</v>
      </c>
      <c r="M874">
        <v>2200</v>
      </c>
      <c r="N874">
        <v>2200</v>
      </c>
      <c r="O874">
        <v>20</v>
      </c>
      <c r="P874">
        <v>72</v>
      </c>
      <c r="Q874">
        <v>25</v>
      </c>
    </row>
    <row r="875" spans="1:17" x14ac:dyDescent="0.3">
      <c r="A875" t="s">
        <v>519</v>
      </c>
      <c r="B875" t="s">
        <v>1215</v>
      </c>
      <c r="C875" t="s">
        <v>1708</v>
      </c>
      <c r="E875">
        <v>5274</v>
      </c>
      <c r="F875" t="s">
        <v>2361</v>
      </c>
      <c r="G875" t="s">
        <v>2362</v>
      </c>
      <c r="H875" t="s">
        <v>965</v>
      </c>
      <c r="I875">
        <v>77084</v>
      </c>
      <c r="J875" t="s">
        <v>2363</v>
      </c>
      <c r="K875">
        <v>8325575922</v>
      </c>
      <c r="L875">
        <v>8325575922</v>
      </c>
      <c r="M875">
        <v>18500</v>
      </c>
      <c r="N875">
        <v>18500</v>
      </c>
      <c r="O875">
        <v>23</v>
      </c>
      <c r="P875">
        <v>65</v>
      </c>
      <c r="Q875">
        <v>26</v>
      </c>
    </row>
    <row r="876" spans="1:17" x14ac:dyDescent="0.3">
      <c r="A876">
        <v>147</v>
      </c>
      <c r="B876" t="s">
        <v>2428</v>
      </c>
      <c r="C876" t="s">
        <v>1708</v>
      </c>
      <c r="E876">
        <v>5223</v>
      </c>
      <c r="F876" t="s">
        <v>659</v>
      </c>
      <c r="G876" t="s">
        <v>2318</v>
      </c>
      <c r="H876" t="s">
        <v>965</v>
      </c>
      <c r="I876">
        <v>77304</v>
      </c>
      <c r="J876" t="s">
        <v>2319</v>
      </c>
      <c r="K876">
        <v>9363333523</v>
      </c>
      <c r="M876">
        <v>4600</v>
      </c>
      <c r="N876">
        <v>4600</v>
      </c>
      <c r="O876">
        <v>48</v>
      </c>
      <c r="P876">
        <v>36</v>
      </c>
      <c r="Q876">
        <v>17</v>
      </c>
    </row>
    <row r="877" spans="1:17" x14ac:dyDescent="0.3">
      <c r="A877">
        <v>148</v>
      </c>
      <c r="B877" t="s">
        <v>2429</v>
      </c>
      <c r="C877" t="s">
        <v>1708</v>
      </c>
      <c r="E877">
        <v>5129</v>
      </c>
      <c r="F877" t="s">
        <v>2376</v>
      </c>
      <c r="G877" t="s">
        <v>2377</v>
      </c>
      <c r="H877" t="s">
        <v>965</v>
      </c>
      <c r="I877">
        <v>77573</v>
      </c>
      <c r="J877" t="s">
        <v>2378</v>
      </c>
      <c r="K877" t="s">
        <v>2379</v>
      </c>
      <c r="M877">
        <v>700</v>
      </c>
      <c r="N877">
        <v>700</v>
      </c>
      <c r="O877">
        <v>3</v>
      </c>
      <c r="P877">
        <v>16</v>
      </c>
      <c r="Q877">
        <v>4</v>
      </c>
    </row>
    <row r="878" spans="1:17" x14ac:dyDescent="0.3">
      <c r="A878">
        <v>149</v>
      </c>
      <c r="B878" t="s">
        <v>2430</v>
      </c>
      <c r="C878" t="s">
        <v>1708</v>
      </c>
      <c r="E878">
        <v>5162</v>
      </c>
      <c r="F878" t="s">
        <v>644</v>
      </c>
      <c r="G878" t="s">
        <v>968</v>
      </c>
      <c r="H878" t="s">
        <v>965</v>
      </c>
      <c r="I878">
        <v>77477</v>
      </c>
      <c r="J878" t="s">
        <v>969</v>
      </c>
      <c r="K878" t="s">
        <v>970</v>
      </c>
      <c r="M878">
        <v>2100</v>
      </c>
      <c r="N878">
        <v>3000</v>
      </c>
      <c r="O878">
        <v>7</v>
      </c>
      <c r="P878">
        <v>34</v>
      </c>
      <c r="Q878">
        <v>7</v>
      </c>
    </row>
    <row r="879" spans="1:17" x14ac:dyDescent="0.3">
      <c r="A879">
        <v>150</v>
      </c>
      <c r="B879" t="s">
        <v>744</v>
      </c>
      <c r="C879" t="s">
        <v>1708</v>
      </c>
      <c r="F879" t="s">
        <v>649</v>
      </c>
      <c r="M879">
        <v>0</v>
      </c>
      <c r="N879">
        <v>0</v>
      </c>
      <c r="O879">
        <v>0</v>
      </c>
      <c r="P879">
        <v>16</v>
      </c>
      <c r="Q879">
        <v>1</v>
      </c>
    </row>
    <row r="880" spans="1:17" x14ac:dyDescent="0.3">
      <c r="A880">
        <v>151</v>
      </c>
      <c r="B880" t="s">
        <v>2431</v>
      </c>
      <c r="C880" t="s">
        <v>1708</v>
      </c>
      <c r="E880">
        <v>5215</v>
      </c>
      <c r="F880" t="s">
        <v>2432</v>
      </c>
      <c r="G880" t="s">
        <v>2433</v>
      </c>
      <c r="H880" t="s">
        <v>965</v>
      </c>
      <c r="I880">
        <v>77053</v>
      </c>
      <c r="J880" t="s">
        <v>2434</v>
      </c>
      <c r="K880">
        <v>8328877298</v>
      </c>
      <c r="M880">
        <v>4155</v>
      </c>
      <c r="N880">
        <v>4155</v>
      </c>
      <c r="O880">
        <v>27</v>
      </c>
      <c r="P880">
        <v>86</v>
      </c>
      <c r="Q880">
        <v>32</v>
      </c>
    </row>
    <row r="881" spans="1:17" x14ac:dyDescent="0.3">
      <c r="A881">
        <v>152</v>
      </c>
      <c r="B881" t="s">
        <v>2435</v>
      </c>
      <c r="C881" t="s">
        <v>1708</v>
      </c>
      <c r="E881">
        <v>5206</v>
      </c>
      <c r="F881" t="s">
        <v>972</v>
      </c>
      <c r="G881" t="s">
        <v>973</v>
      </c>
      <c r="H881" t="s">
        <v>965</v>
      </c>
      <c r="I881">
        <v>77355</v>
      </c>
      <c r="J881" t="s">
        <v>974</v>
      </c>
      <c r="K881" t="s">
        <v>975</v>
      </c>
      <c r="M881">
        <v>4600</v>
      </c>
      <c r="N881">
        <v>4600</v>
      </c>
      <c r="O881">
        <v>26</v>
      </c>
      <c r="P881">
        <v>23</v>
      </c>
      <c r="Q881">
        <v>16</v>
      </c>
    </row>
    <row r="882" spans="1:17" x14ac:dyDescent="0.3">
      <c r="A882">
        <v>153</v>
      </c>
      <c r="B882" t="s">
        <v>2435</v>
      </c>
      <c r="C882" t="s">
        <v>1708</v>
      </c>
      <c r="E882">
        <v>5206</v>
      </c>
      <c r="F882" t="s">
        <v>972</v>
      </c>
      <c r="G882" t="s">
        <v>973</v>
      </c>
      <c r="H882" t="s">
        <v>965</v>
      </c>
      <c r="I882">
        <v>77355</v>
      </c>
      <c r="J882" t="s">
        <v>974</v>
      </c>
      <c r="K882" t="s">
        <v>975</v>
      </c>
      <c r="M882">
        <v>4200</v>
      </c>
      <c r="N882">
        <v>4200</v>
      </c>
      <c r="O882">
        <v>18</v>
      </c>
      <c r="P882">
        <v>13</v>
      </c>
      <c r="Q882">
        <v>17</v>
      </c>
    </row>
    <row r="883" spans="1:17" x14ac:dyDescent="0.3">
      <c r="A883">
        <v>154</v>
      </c>
      <c r="B883" t="s">
        <v>2436</v>
      </c>
      <c r="C883" t="s">
        <v>1708</v>
      </c>
      <c r="E883">
        <v>5170</v>
      </c>
      <c r="F883" t="s">
        <v>661</v>
      </c>
      <c r="G883" t="s">
        <v>2206</v>
      </c>
      <c r="H883" t="s">
        <v>965</v>
      </c>
      <c r="I883">
        <v>78626</v>
      </c>
      <c r="J883" t="s">
        <v>2207</v>
      </c>
      <c r="K883">
        <v>2817748923</v>
      </c>
      <c r="M883">
        <v>500</v>
      </c>
      <c r="N883">
        <v>500</v>
      </c>
      <c r="O883">
        <v>1</v>
      </c>
      <c r="P883">
        <v>17</v>
      </c>
      <c r="Q883">
        <v>4</v>
      </c>
    </row>
    <row r="884" spans="1:17" x14ac:dyDescent="0.3">
      <c r="A884">
        <v>155</v>
      </c>
      <c r="B884" t="s">
        <v>2437</v>
      </c>
      <c r="C884" t="s">
        <v>1708</v>
      </c>
      <c r="E884">
        <v>5294</v>
      </c>
      <c r="F884" t="s">
        <v>2339</v>
      </c>
      <c r="G884" t="s">
        <v>2340</v>
      </c>
      <c r="H884" t="s">
        <v>965</v>
      </c>
      <c r="I884">
        <v>77082</v>
      </c>
      <c r="J884" t="s">
        <v>2341</v>
      </c>
      <c r="K884">
        <v>7135400367</v>
      </c>
      <c r="M884">
        <v>1500</v>
      </c>
      <c r="N884">
        <v>1500</v>
      </c>
      <c r="O884">
        <v>17</v>
      </c>
      <c r="P884">
        <v>17</v>
      </c>
      <c r="Q884">
        <v>9</v>
      </c>
    </row>
    <row r="885" spans="1:17" x14ac:dyDescent="0.3">
      <c r="A885">
        <v>156</v>
      </c>
      <c r="B885" t="s">
        <v>2438</v>
      </c>
      <c r="C885" t="s">
        <v>1708</v>
      </c>
      <c r="E885">
        <v>5206</v>
      </c>
      <c r="F885" t="s">
        <v>972</v>
      </c>
      <c r="G885" t="s">
        <v>973</v>
      </c>
      <c r="H885" t="s">
        <v>965</v>
      </c>
      <c r="I885">
        <v>77355</v>
      </c>
      <c r="J885" t="s">
        <v>974</v>
      </c>
      <c r="K885" t="s">
        <v>975</v>
      </c>
      <c r="M885">
        <v>1350</v>
      </c>
      <c r="N885">
        <v>1350</v>
      </c>
      <c r="O885">
        <v>14</v>
      </c>
      <c r="P885">
        <v>27</v>
      </c>
      <c r="Q885">
        <v>12</v>
      </c>
    </row>
    <row r="886" spans="1:17" x14ac:dyDescent="0.3">
      <c r="A886" t="s">
        <v>523</v>
      </c>
      <c r="B886" t="s">
        <v>1215</v>
      </c>
      <c r="C886" t="s">
        <v>1708</v>
      </c>
      <c r="E886">
        <v>5274</v>
      </c>
      <c r="F886" t="s">
        <v>2361</v>
      </c>
      <c r="G886" t="s">
        <v>2362</v>
      </c>
      <c r="H886" t="s">
        <v>965</v>
      </c>
      <c r="I886">
        <v>77084</v>
      </c>
      <c r="J886" t="s">
        <v>2363</v>
      </c>
      <c r="K886">
        <v>8325575922</v>
      </c>
      <c r="L886">
        <v>8325575922</v>
      </c>
      <c r="M886">
        <v>19000</v>
      </c>
      <c r="N886">
        <v>19000</v>
      </c>
      <c r="O886">
        <v>16</v>
      </c>
      <c r="P886">
        <v>60</v>
      </c>
      <c r="Q886">
        <v>25</v>
      </c>
    </row>
    <row r="887" spans="1:17" x14ac:dyDescent="0.3">
      <c r="A887">
        <v>158</v>
      </c>
      <c r="B887" t="s">
        <v>2437</v>
      </c>
      <c r="C887" t="s">
        <v>1708</v>
      </c>
      <c r="E887">
        <v>5009</v>
      </c>
      <c r="F887" t="s">
        <v>2400</v>
      </c>
      <c r="G887" t="s">
        <v>2401</v>
      </c>
      <c r="H887" t="s">
        <v>965</v>
      </c>
      <c r="I887">
        <v>77080</v>
      </c>
      <c r="J887" t="s">
        <v>2402</v>
      </c>
      <c r="K887">
        <v>2816150398</v>
      </c>
      <c r="M887">
        <v>850</v>
      </c>
      <c r="N887">
        <v>850</v>
      </c>
      <c r="O887">
        <v>10</v>
      </c>
      <c r="P887">
        <v>9</v>
      </c>
      <c r="Q887">
        <v>8</v>
      </c>
    </row>
    <row r="888" spans="1:17" x14ac:dyDescent="0.3">
      <c r="A888" t="s">
        <v>808</v>
      </c>
      <c r="B888" t="s">
        <v>2439</v>
      </c>
      <c r="C888" t="s">
        <v>1708</v>
      </c>
      <c r="E888">
        <v>5175</v>
      </c>
      <c r="F888" t="s">
        <v>2146</v>
      </c>
      <c r="G888" t="s">
        <v>2147</v>
      </c>
      <c r="H888" t="s">
        <v>965</v>
      </c>
      <c r="I888">
        <v>75956</v>
      </c>
      <c r="J888" t="s">
        <v>2148</v>
      </c>
      <c r="K888">
        <v>4093842254</v>
      </c>
      <c r="L888">
        <v>4093823362</v>
      </c>
      <c r="M888">
        <v>1050</v>
      </c>
      <c r="N888">
        <v>1050</v>
      </c>
      <c r="O888">
        <v>4</v>
      </c>
      <c r="P888">
        <v>3</v>
      </c>
      <c r="Q888">
        <v>4</v>
      </c>
    </row>
    <row r="889" spans="1:17" x14ac:dyDescent="0.3">
      <c r="A889">
        <v>161</v>
      </c>
      <c r="B889" t="s">
        <v>2440</v>
      </c>
      <c r="C889" t="s">
        <v>1708</v>
      </c>
      <c r="E889">
        <v>5036</v>
      </c>
      <c r="F889" t="s">
        <v>669</v>
      </c>
      <c r="G889" t="s">
        <v>1841</v>
      </c>
      <c r="H889" t="s">
        <v>965</v>
      </c>
      <c r="I889">
        <v>77498</v>
      </c>
      <c r="J889" t="s">
        <v>1842</v>
      </c>
      <c r="K889">
        <v>8326606807</v>
      </c>
      <c r="M889">
        <v>1050</v>
      </c>
      <c r="N889">
        <v>1050</v>
      </c>
      <c r="O889">
        <v>8</v>
      </c>
      <c r="P889">
        <v>20</v>
      </c>
      <c r="Q889">
        <v>6</v>
      </c>
    </row>
    <row r="890" spans="1:17" x14ac:dyDescent="0.3">
      <c r="A890">
        <v>162</v>
      </c>
      <c r="B890" t="s">
        <v>2441</v>
      </c>
      <c r="C890" t="s">
        <v>1708</v>
      </c>
      <c r="E890">
        <v>5119</v>
      </c>
      <c r="F890" t="s">
        <v>2175</v>
      </c>
      <c r="G890" t="s">
        <v>2176</v>
      </c>
      <c r="H890" t="s">
        <v>965</v>
      </c>
      <c r="I890">
        <v>77573</v>
      </c>
      <c r="J890" t="s">
        <v>2177</v>
      </c>
      <c r="K890">
        <v>7132528720</v>
      </c>
      <c r="M890">
        <v>1200</v>
      </c>
      <c r="N890">
        <v>1200</v>
      </c>
      <c r="O890">
        <v>15</v>
      </c>
      <c r="P890">
        <v>19</v>
      </c>
      <c r="Q890">
        <v>11</v>
      </c>
    </row>
    <row r="891" spans="1:17" x14ac:dyDescent="0.3">
      <c r="A891">
        <v>163</v>
      </c>
      <c r="B891" t="s">
        <v>2442</v>
      </c>
      <c r="C891" t="s">
        <v>1708</v>
      </c>
      <c r="E891">
        <v>5232</v>
      </c>
      <c r="F891" t="s">
        <v>1429</v>
      </c>
      <c r="G891" t="s">
        <v>1430</v>
      </c>
      <c r="H891" t="s">
        <v>965</v>
      </c>
      <c r="I891">
        <v>77479</v>
      </c>
      <c r="J891" t="s">
        <v>1431</v>
      </c>
      <c r="K891">
        <v>3618343760</v>
      </c>
      <c r="M891">
        <v>925</v>
      </c>
      <c r="N891">
        <v>928</v>
      </c>
      <c r="O891">
        <v>8</v>
      </c>
      <c r="P891">
        <v>9</v>
      </c>
      <c r="Q891">
        <v>5</v>
      </c>
    </row>
    <row r="892" spans="1:17" x14ac:dyDescent="0.3">
      <c r="A892">
        <v>164</v>
      </c>
      <c r="B892" t="s">
        <v>2443</v>
      </c>
      <c r="C892" t="s">
        <v>1708</v>
      </c>
      <c r="E892">
        <v>5162</v>
      </c>
      <c r="F892" t="s">
        <v>644</v>
      </c>
      <c r="G892" t="s">
        <v>968</v>
      </c>
      <c r="H892" t="s">
        <v>965</v>
      </c>
      <c r="I892">
        <v>77477</v>
      </c>
      <c r="J892" t="s">
        <v>969</v>
      </c>
      <c r="K892" t="s">
        <v>970</v>
      </c>
      <c r="M892">
        <v>725</v>
      </c>
      <c r="N892">
        <v>2000</v>
      </c>
      <c r="O892">
        <v>2</v>
      </c>
      <c r="P892">
        <v>12</v>
      </c>
      <c r="Q892">
        <v>4</v>
      </c>
    </row>
    <row r="893" spans="1:17" x14ac:dyDescent="0.3">
      <c r="A893">
        <v>165</v>
      </c>
      <c r="B893" t="s">
        <v>2444</v>
      </c>
      <c r="C893" t="s">
        <v>1708</v>
      </c>
      <c r="E893">
        <v>5279</v>
      </c>
      <c r="F893" t="s">
        <v>2249</v>
      </c>
      <c r="G893" t="s">
        <v>2250</v>
      </c>
      <c r="H893" t="s">
        <v>965</v>
      </c>
      <c r="I893">
        <v>77505</v>
      </c>
      <c r="J893" t="s">
        <v>2251</v>
      </c>
      <c r="K893">
        <v>2816368416</v>
      </c>
      <c r="M893">
        <v>1300</v>
      </c>
      <c r="N893">
        <v>1300</v>
      </c>
      <c r="O893">
        <v>5</v>
      </c>
      <c r="P893">
        <v>23</v>
      </c>
      <c r="Q893">
        <v>8</v>
      </c>
    </row>
    <row r="894" spans="1:17" x14ac:dyDescent="0.3">
      <c r="A894">
        <v>166</v>
      </c>
      <c r="B894" t="s">
        <v>317</v>
      </c>
      <c r="C894" t="s">
        <v>1708</v>
      </c>
      <c r="E894">
        <v>5162</v>
      </c>
      <c r="F894" t="s">
        <v>644</v>
      </c>
      <c r="G894" t="s">
        <v>968</v>
      </c>
      <c r="H894" t="s">
        <v>965</v>
      </c>
      <c r="I894">
        <v>77477</v>
      </c>
      <c r="J894" t="s">
        <v>969</v>
      </c>
      <c r="K894" t="s">
        <v>970</v>
      </c>
      <c r="M894">
        <v>575</v>
      </c>
      <c r="N894">
        <v>2000</v>
      </c>
      <c r="O894">
        <v>2</v>
      </c>
      <c r="P894">
        <v>4</v>
      </c>
      <c r="Q894">
        <v>2</v>
      </c>
    </row>
    <row r="895" spans="1:17" x14ac:dyDescent="0.3">
      <c r="A895" t="s">
        <v>525</v>
      </c>
      <c r="B895" t="s">
        <v>313</v>
      </c>
      <c r="C895" t="s">
        <v>1708</v>
      </c>
      <c r="E895">
        <v>5162</v>
      </c>
      <c r="F895" t="s">
        <v>644</v>
      </c>
      <c r="G895" t="s">
        <v>968</v>
      </c>
      <c r="H895" t="s">
        <v>965</v>
      </c>
      <c r="I895">
        <v>77477</v>
      </c>
      <c r="J895" t="s">
        <v>969</v>
      </c>
      <c r="K895" t="s">
        <v>970</v>
      </c>
      <c r="M895">
        <v>3100</v>
      </c>
      <c r="N895">
        <v>14000</v>
      </c>
      <c r="O895">
        <v>24</v>
      </c>
      <c r="P895">
        <v>59</v>
      </c>
      <c r="Q895">
        <v>18</v>
      </c>
    </row>
    <row r="896" spans="1:17" x14ac:dyDescent="0.3">
      <c r="A896">
        <v>167</v>
      </c>
      <c r="B896" t="s">
        <v>460</v>
      </c>
      <c r="C896" t="s">
        <v>1708</v>
      </c>
      <c r="F896" t="s">
        <v>649</v>
      </c>
      <c r="M896">
        <v>0</v>
      </c>
      <c r="N896">
        <v>0</v>
      </c>
      <c r="O896">
        <v>0</v>
      </c>
      <c r="P896">
        <v>16</v>
      </c>
      <c r="Q896">
        <v>0</v>
      </c>
    </row>
    <row r="897" spans="1:17" x14ac:dyDescent="0.3">
      <c r="A897" t="s">
        <v>2445</v>
      </c>
      <c r="B897" t="s">
        <v>2439</v>
      </c>
      <c r="C897" t="s">
        <v>1708</v>
      </c>
      <c r="E897">
        <v>5162</v>
      </c>
      <c r="F897" t="s">
        <v>644</v>
      </c>
      <c r="G897" t="s">
        <v>968</v>
      </c>
      <c r="H897" t="s">
        <v>965</v>
      </c>
      <c r="I897">
        <v>77477</v>
      </c>
      <c r="J897" t="s">
        <v>969</v>
      </c>
      <c r="K897" t="s">
        <v>970</v>
      </c>
      <c r="M897">
        <v>1050</v>
      </c>
      <c r="N897">
        <v>2000</v>
      </c>
      <c r="O897">
        <v>3</v>
      </c>
      <c r="P897">
        <v>2</v>
      </c>
      <c r="Q897">
        <v>6</v>
      </c>
    </row>
    <row r="898" spans="1:17" x14ac:dyDescent="0.3">
      <c r="A898">
        <v>168</v>
      </c>
      <c r="B898" t="s">
        <v>509</v>
      </c>
      <c r="C898" t="s">
        <v>1708</v>
      </c>
      <c r="E898">
        <v>5162</v>
      </c>
      <c r="F898" t="s">
        <v>644</v>
      </c>
      <c r="G898" t="s">
        <v>968</v>
      </c>
      <c r="H898" t="s">
        <v>965</v>
      </c>
      <c r="I898">
        <v>77477</v>
      </c>
      <c r="J898" t="s">
        <v>969</v>
      </c>
      <c r="K898" t="s">
        <v>970</v>
      </c>
      <c r="M898">
        <v>2100</v>
      </c>
      <c r="N898">
        <v>2500</v>
      </c>
      <c r="O898">
        <v>5</v>
      </c>
      <c r="P898">
        <v>21</v>
      </c>
      <c r="Q898">
        <v>8</v>
      </c>
    </row>
    <row r="899" spans="1:17" x14ac:dyDescent="0.3">
      <c r="A899">
        <v>169</v>
      </c>
      <c r="B899" t="s">
        <v>2446</v>
      </c>
      <c r="C899" t="s">
        <v>1708</v>
      </c>
      <c r="E899">
        <v>5171</v>
      </c>
      <c r="F899" t="s">
        <v>2034</v>
      </c>
      <c r="G899" t="s">
        <v>2035</v>
      </c>
      <c r="H899" t="s">
        <v>965</v>
      </c>
      <c r="I899">
        <v>77062</v>
      </c>
      <c r="J899" t="s">
        <v>2036</v>
      </c>
      <c r="K899">
        <v>2812542727</v>
      </c>
      <c r="M899">
        <v>1000</v>
      </c>
      <c r="N899">
        <v>1000</v>
      </c>
      <c r="O899">
        <v>7</v>
      </c>
      <c r="P899">
        <v>17</v>
      </c>
      <c r="Q899">
        <v>3</v>
      </c>
    </row>
    <row r="900" spans="1:17" x14ac:dyDescent="0.3">
      <c r="A900">
        <v>170</v>
      </c>
      <c r="B900" t="s">
        <v>2447</v>
      </c>
      <c r="C900" t="s">
        <v>1708</v>
      </c>
      <c r="E900">
        <v>5066</v>
      </c>
      <c r="F900" t="s">
        <v>1672</v>
      </c>
      <c r="G900" t="s">
        <v>1673</v>
      </c>
      <c r="H900" t="s">
        <v>965</v>
      </c>
      <c r="I900">
        <v>77515</v>
      </c>
      <c r="J900" t="s">
        <v>1674</v>
      </c>
      <c r="K900">
        <v>9796127045</v>
      </c>
      <c r="M900">
        <v>525</v>
      </c>
      <c r="N900">
        <v>525</v>
      </c>
      <c r="O900">
        <v>2</v>
      </c>
      <c r="P900">
        <v>5</v>
      </c>
      <c r="Q900">
        <v>3</v>
      </c>
    </row>
    <row r="901" spans="1:17" x14ac:dyDescent="0.3">
      <c r="A901">
        <v>171</v>
      </c>
      <c r="B901" t="s">
        <v>971</v>
      </c>
      <c r="C901" t="s">
        <v>1708</v>
      </c>
      <c r="E901">
        <v>5206</v>
      </c>
      <c r="F901" t="s">
        <v>972</v>
      </c>
      <c r="G901" t="s">
        <v>973</v>
      </c>
      <c r="H901" t="s">
        <v>965</v>
      </c>
      <c r="I901">
        <v>77355</v>
      </c>
      <c r="J901" t="s">
        <v>974</v>
      </c>
      <c r="K901" t="s">
        <v>975</v>
      </c>
      <c r="M901">
        <v>2100</v>
      </c>
      <c r="N901">
        <v>2100</v>
      </c>
      <c r="O901">
        <v>20</v>
      </c>
      <c r="P901">
        <v>20</v>
      </c>
      <c r="Q901">
        <v>7</v>
      </c>
    </row>
    <row r="902" spans="1:17" x14ac:dyDescent="0.3">
      <c r="A902" t="s">
        <v>485</v>
      </c>
      <c r="B902" t="s">
        <v>1406</v>
      </c>
      <c r="C902" t="s">
        <v>1708</v>
      </c>
      <c r="E902">
        <v>5146</v>
      </c>
      <c r="F902" t="s">
        <v>2424</v>
      </c>
      <c r="G902" t="s">
        <v>2425</v>
      </c>
      <c r="H902" t="s">
        <v>965</v>
      </c>
      <c r="I902">
        <v>77459</v>
      </c>
      <c r="J902" t="s">
        <v>2426</v>
      </c>
      <c r="K902" t="s">
        <v>2427</v>
      </c>
      <c r="M902">
        <v>46600</v>
      </c>
      <c r="N902">
        <v>46600</v>
      </c>
      <c r="O902">
        <v>45</v>
      </c>
      <c r="P902">
        <v>123</v>
      </c>
      <c r="Q902">
        <v>40</v>
      </c>
    </row>
    <row r="903" spans="1:17" x14ac:dyDescent="0.3">
      <c r="A903">
        <v>172</v>
      </c>
      <c r="B903" t="s">
        <v>1191</v>
      </c>
      <c r="C903" t="s">
        <v>1708</v>
      </c>
      <c r="E903">
        <v>5170</v>
      </c>
      <c r="F903" t="s">
        <v>661</v>
      </c>
      <c r="G903" t="s">
        <v>2206</v>
      </c>
      <c r="H903" t="s">
        <v>965</v>
      </c>
      <c r="I903">
        <v>78626</v>
      </c>
      <c r="J903" t="s">
        <v>2207</v>
      </c>
      <c r="K903">
        <v>2817748923</v>
      </c>
      <c r="M903">
        <v>500</v>
      </c>
      <c r="N903">
        <v>500</v>
      </c>
      <c r="O903">
        <v>1</v>
      </c>
      <c r="P903">
        <v>7</v>
      </c>
      <c r="Q903">
        <v>2</v>
      </c>
    </row>
    <row r="904" spans="1:17" x14ac:dyDescent="0.3">
      <c r="A904" t="s">
        <v>818</v>
      </c>
      <c r="B904" t="s">
        <v>2448</v>
      </c>
      <c r="C904" t="s">
        <v>1708</v>
      </c>
      <c r="E904">
        <v>5174</v>
      </c>
      <c r="F904" t="s">
        <v>643</v>
      </c>
      <c r="G904" t="s">
        <v>2275</v>
      </c>
      <c r="H904" t="s">
        <v>965</v>
      </c>
      <c r="I904">
        <v>77036</v>
      </c>
      <c r="J904" t="s">
        <v>2276</v>
      </c>
      <c r="K904">
        <v>3238646733</v>
      </c>
      <c r="M904">
        <v>1450</v>
      </c>
      <c r="N904">
        <v>1450</v>
      </c>
      <c r="O904">
        <v>11</v>
      </c>
      <c r="P904">
        <v>21</v>
      </c>
      <c r="Q904">
        <v>8</v>
      </c>
    </row>
    <row r="905" spans="1:17" x14ac:dyDescent="0.3">
      <c r="A905">
        <v>173</v>
      </c>
      <c r="B905" t="s">
        <v>2449</v>
      </c>
      <c r="C905" t="s">
        <v>1708</v>
      </c>
      <c r="E905">
        <v>5299</v>
      </c>
      <c r="F905" t="s">
        <v>2450</v>
      </c>
      <c r="G905" t="s">
        <v>2451</v>
      </c>
      <c r="H905" t="s">
        <v>965</v>
      </c>
      <c r="I905">
        <v>77578</v>
      </c>
      <c r="J905" t="s">
        <v>2452</v>
      </c>
      <c r="K905">
        <v>8324237870</v>
      </c>
      <c r="L905">
        <v>8324237870</v>
      </c>
      <c r="M905">
        <v>525</v>
      </c>
      <c r="N905">
        <v>525</v>
      </c>
      <c r="O905">
        <v>2</v>
      </c>
      <c r="P905">
        <v>29</v>
      </c>
      <c r="Q905">
        <v>5</v>
      </c>
    </row>
    <row r="906" spans="1:17" x14ac:dyDescent="0.3">
      <c r="A906">
        <v>174</v>
      </c>
      <c r="B906" t="s">
        <v>2453</v>
      </c>
      <c r="C906" t="s">
        <v>1708</v>
      </c>
      <c r="E906">
        <v>5241</v>
      </c>
      <c r="F906" t="s">
        <v>702</v>
      </c>
      <c r="G906" t="s">
        <v>1132</v>
      </c>
      <c r="H906" t="s">
        <v>965</v>
      </c>
      <c r="I906">
        <v>77407</v>
      </c>
      <c r="J906" t="s">
        <v>1133</v>
      </c>
      <c r="K906">
        <v>8324644119</v>
      </c>
      <c r="M906">
        <v>675</v>
      </c>
      <c r="N906">
        <v>675</v>
      </c>
      <c r="O906">
        <v>8</v>
      </c>
      <c r="P906">
        <v>16</v>
      </c>
      <c r="Q906">
        <v>7</v>
      </c>
    </row>
    <row r="907" spans="1:17" x14ac:dyDescent="0.3">
      <c r="A907">
        <v>175</v>
      </c>
      <c r="B907" t="s">
        <v>2454</v>
      </c>
      <c r="C907" t="s">
        <v>1708</v>
      </c>
      <c r="E907">
        <v>5249</v>
      </c>
      <c r="F907" t="s">
        <v>663</v>
      </c>
      <c r="G907" t="s">
        <v>2309</v>
      </c>
      <c r="H907" t="s">
        <v>965</v>
      </c>
      <c r="I907">
        <v>77081</v>
      </c>
      <c r="J907" t="s">
        <v>2310</v>
      </c>
      <c r="K907" t="s">
        <v>2311</v>
      </c>
      <c r="M907">
        <v>2700</v>
      </c>
      <c r="N907">
        <v>2700</v>
      </c>
      <c r="O907">
        <v>17</v>
      </c>
      <c r="P907">
        <v>35</v>
      </c>
      <c r="Q907">
        <v>12</v>
      </c>
    </row>
    <row r="908" spans="1:17" x14ac:dyDescent="0.3">
      <c r="A908">
        <v>176</v>
      </c>
      <c r="B908" t="s">
        <v>2455</v>
      </c>
      <c r="C908" t="s">
        <v>1708</v>
      </c>
      <c r="E908">
        <v>5170</v>
      </c>
      <c r="F908" t="s">
        <v>661</v>
      </c>
      <c r="G908" t="s">
        <v>2206</v>
      </c>
      <c r="H908" t="s">
        <v>965</v>
      </c>
      <c r="I908">
        <v>78626</v>
      </c>
      <c r="J908" t="s">
        <v>2207</v>
      </c>
      <c r="K908">
        <v>2817748923</v>
      </c>
      <c r="M908">
        <v>500</v>
      </c>
      <c r="N908">
        <v>500</v>
      </c>
      <c r="O908">
        <v>1</v>
      </c>
      <c r="P908">
        <v>6</v>
      </c>
      <c r="Q908">
        <v>1</v>
      </c>
    </row>
    <row r="909" spans="1:17" x14ac:dyDescent="0.3">
      <c r="A909">
        <v>177</v>
      </c>
      <c r="B909" t="s">
        <v>2456</v>
      </c>
      <c r="C909" t="s">
        <v>1708</v>
      </c>
      <c r="E909">
        <v>5254</v>
      </c>
      <c r="F909" t="s">
        <v>2457</v>
      </c>
      <c r="G909" t="s">
        <v>2458</v>
      </c>
      <c r="H909" t="s">
        <v>965</v>
      </c>
      <c r="I909">
        <v>77035</v>
      </c>
      <c r="J909" t="s">
        <v>2459</v>
      </c>
      <c r="K909">
        <v>2815713358</v>
      </c>
      <c r="M909">
        <v>2000</v>
      </c>
      <c r="N909">
        <v>2000</v>
      </c>
      <c r="O909">
        <v>9</v>
      </c>
      <c r="P909">
        <v>21</v>
      </c>
      <c r="Q909">
        <v>10</v>
      </c>
    </row>
    <row r="910" spans="1:17" x14ac:dyDescent="0.3">
      <c r="A910">
        <v>178</v>
      </c>
      <c r="B910" t="s">
        <v>2460</v>
      </c>
      <c r="C910" t="s">
        <v>1708</v>
      </c>
      <c r="E910">
        <v>5249</v>
      </c>
      <c r="F910" t="s">
        <v>663</v>
      </c>
      <c r="G910" t="s">
        <v>2309</v>
      </c>
      <c r="H910" t="s">
        <v>965</v>
      </c>
      <c r="I910">
        <v>77081</v>
      </c>
      <c r="J910" t="s">
        <v>2310</v>
      </c>
      <c r="K910" t="s">
        <v>2311</v>
      </c>
      <c r="M910">
        <v>2000</v>
      </c>
      <c r="N910">
        <v>2000</v>
      </c>
      <c r="O910">
        <v>17</v>
      </c>
      <c r="P910">
        <v>26</v>
      </c>
      <c r="Q910">
        <v>9</v>
      </c>
    </row>
    <row r="911" spans="1:17" x14ac:dyDescent="0.3">
      <c r="A911">
        <v>179</v>
      </c>
      <c r="B911" t="s">
        <v>2461</v>
      </c>
      <c r="C911" t="s">
        <v>1708</v>
      </c>
      <c r="E911">
        <v>5258</v>
      </c>
      <c r="F911" t="s">
        <v>1770</v>
      </c>
      <c r="G911" t="s">
        <v>1771</v>
      </c>
      <c r="H911" t="s">
        <v>965</v>
      </c>
      <c r="I911">
        <v>77514</v>
      </c>
      <c r="J911" t="s">
        <v>1772</v>
      </c>
      <c r="K911">
        <v>7132532625</v>
      </c>
      <c r="M911">
        <v>1050</v>
      </c>
      <c r="N911">
        <v>1050</v>
      </c>
      <c r="O911">
        <v>4</v>
      </c>
      <c r="P911">
        <v>7</v>
      </c>
      <c r="Q911">
        <v>5</v>
      </c>
    </row>
    <row r="912" spans="1:17" x14ac:dyDescent="0.3">
      <c r="A912" t="s">
        <v>531</v>
      </c>
      <c r="B912" t="s">
        <v>2462</v>
      </c>
      <c r="C912" t="s">
        <v>1708</v>
      </c>
      <c r="E912">
        <v>5073</v>
      </c>
      <c r="F912" t="s">
        <v>2463</v>
      </c>
      <c r="G912" t="s">
        <v>2464</v>
      </c>
      <c r="H912" t="s">
        <v>965</v>
      </c>
      <c r="I912">
        <v>77459</v>
      </c>
      <c r="J912" t="s">
        <v>2465</v>
      </c>
      <c r="K912" t="s">
        <v>2466</v>
      </c>
      <c r="M912">
        <v>25000</v>
      </c>
      <c r="N912">
        <v>25000</v>
      </c>
      <c r="O912">
        <v>32</v>
      </c>
      <c r="P912">
        <v>145</v>
      </c>
      <c r="Q912">
        <v>45</v>
      </c>
    </row>
    <row r="913" spans="1:17" x14ac:dyDescent="0.3">
      <c r="A913" t="s">
        <v>389</v>
      </c>
      <c r="B913" t="s">
        <v>2467</v>
      </c>
      <c r="C913" t="s">
        <v>1708</v>
      </c>
      <c r="E913">
        <v>5129</v>
      </c>
      <c r="F913" t="s">
        <v>2376</v>
      </c>
      <c r="G913" t="s">
        <v>2377</v>
      </c>
      <c r="H913" t="s">
        <v>965</v>
      </c>
      <c r="I913">
        <v>77573</v>
      </c>
      <c r="J913" t="s">
        <v>2378</v>
      </c>
      <c r="K913" t="s">
        <v>2379</v>
      </c>
      <c r="M913">
        <v>5600</v>
      </c>
      <c r="N913">
        <v>5600</v>
      </c>
      <c r="O913">
        <v>15</v>
      </c>
      <c r="P913">
        <v>71</v>
      </c>
      <c r="Q913">
        <v>21</v>
      </c>
    </row>
    <row r="914" spans="1:17" x14ac:dyDescent="0.3">
      <c r="A914" t="s">
        <v>2468</v>
      </c>
      <c r="B914" t="s">
        <v>480</v>
      </c>
      <c r="C914" t="s">
        <v>1708</v>
      </c>
      <c r="E914">
        <v>5162</v>
      </c>
      <c r="F914" t="s">
        <v>644</v>
      </c>
      <c r="G914" t="s">
        <v>968</v>
      </c>
      <c r="H914" t="s">
        <v>965</v>
      </c>
      <c r="I914">
        <v>77477</v>
      </c>
      <c r="J914" t="s">
        <v>969</v>
      </c>
      <c r="K914" t="s">
        <v>970</v>
      </c>
      <c r="M914">
        <v>3000</v>
      </c>
      <c r="N914">
        <v>5000</v>
      </c>
      <c r="O914">
        <v>16</v>
      </c>
      <c r="P914">
        <v>30</v>
      </c>
      <c r="Q914">
        <v>10</v>
      </c>
    </row>
    <row r="915" spans="1:17" x14ac:dyDescent="0.3">
      <c r="A915" t="s">
        <v>840</v>
      </c>
      <c r="B915" t="s">
        <v>2469</v>
      </c>
      <c r="C915" t="s">
        <v>1708</v>
      </c>
      <c r="E915">
        <v>5056</v>
      </c>
      <c r="F915" t="s">
        <v>697</v>
      </c>
      <c r="G915" t="s">
        <v>1090</v>
      </c>
      <c r="H915" t="s">
        <v>965</v>
      </c>
      <c r="I915">
        <v>77449</v>
      </c>
      <c r="J915" t="s">
        <v>1091</v>
      </c>
      <c r="K915" t="s">
        <v>1092</v>
      </c>
      <c r="M915">
        <v>500</v>
      </c>
      <c r="N915">
        <v>500</v>
      </c>
      <c r="O915">
        <v>1</v>
      </c>
      <c r="P915">
        <v>26</v>
      </c>
      <c r="Q915">
        <v>5</v>
      </c>
    </row>
    <row r="916" spans="1:17" x14ac:dyDescent="0.3">
      <c r="A916" t="s">
        <v>535</v>
      </c>
      <c r="B916" t="s">
        <v>2174</v>
      </c>
      <c r="C916" t="s">
        <v>1708</v>
      </c>
      <c r="E916">
        <v>5119</v>
      </c>
      <c r="F916" t="s">
        <v>2175</v>
      </c>
      <c r="G916" t="s">
        <v>2176</v>
      </c>
      <c r="H916" t="s">
        <v>965</v>
      </c>
      <c r="I916">
        <v>77573</v>
      </c>
      <c r="J916" t="s">
        <v>2177</v>
      </c>
      <c r="K916">
        <v>7132528720</v>
      </c>
      <c r="M916">
        <v>2400</v>
      </c>
      <c r="N916">
        <v>2400</v>
      </c>
      <c r="O916">
        <v>16</v>
      </c>
      <c r="P916">
        <v>15</v>
      </c>
      <c r="Q916">
        <v>18</v>
      </c>
    </row>
    <row r="917" spans="1:17" x14ac:dyDescent="0.3">
      <c r="A917">
        <v>202</v>
      </c>
      <c r="B917" t="s">
        <v>747</v>
      </c>
      <c r="C917" t="s">
        <v>1708</v>
      </c>
      <c r="F917" t="s">
        <v>649</v>
      </c>
      <c r="M917">
        <v>0</v>
      </c>
      <c r="N917">
        <v>0</v>
      </c>
      <c r="O917">
        <v>0</v>
      </c>
      <c r="P917">
        <v>17</v>
      </c>
      <c r="Q917">
        <v>1</v>
      </c>
    </row>
    <row r="918" spans="1:17" x14ac:dyDescent="0.3">
      <c r="A918" t="s">
        <v>391</v>
      </c>
      <c r="B918" t="s">
        <v>2470</v>
      </c>
      <c r="C918" t="s">
        <v>1708</v>
      </c>
      <c r="E918">
        <v>5298</v>
      </c>
      <c r="F918" t="s">
        <v>1249</v>
      </c>
      <c r="G918" t="s">
        <v>1250</v>
      </c>
      <c r="H918" t="s">
        <v>965</v>
      </c>
      <c r="I918">
        <v>77581</v>
      </c>
      <c r="J918" t="s">
        <v>1251</v>
      </c>
      <c r="K918">
        <v>8328766812</v>
      </c>
      <c r="M918">
        <v>16500</v>
      </c>
      <c r="N918">
        <v>16500</v>
      </c>
      <c r="O918">
        <v>27</v>
      </c>
      <c r="P918">
        <v>81</v>
      </c>
      <c r="Q918">
        <v>31</v>
      </c>
    </row>
    <row r="919" spans="1:17" x14ac:dyDescent="0.3">
      <c r="A919" t="s">
        <v>2471</v>
      </c>
      <c r="B919" t="s">
        <v>2472</v>
      </c>
      <c r="C919" t="s">
        <v>1708</v>
      </c>
      <c r="E919">
        <v>5175</v>
      </c>
      <c r="F919" t="s">
        <v>2146</v>
      </c>
      <c r="G919" t="s">
        <v>2147</v>
      </c>
      <c r="H919" t="s">
        <v>965</v>
      </c>
      <c r="I919">
        <v>75956</v>
      </c>
      <c r="J919" t="s">
        <v>2148</v>
      </c>
      <c r="K919">
        <v>4093842254</v>
      </c>
      <c r="L919">
        <v>4093823362</v>
      </c>
      <c r="M919">
        <v>7250</v>
      </c>
      <c r="N919">
        <v>7250</v>
      </c>
      <c r="O919">
        <v>25</v>
      </c>
      <c r="P919">
        <v>82</v>
      </c>
      <c r="Q919">
        <v>22</v>
      </c>
    </row>
    <row r="920" spans="1:17" x14ac:dyDescent="0.3">
      <c r="A920" t="s">
        <v>843</v>
      </c>
      <c r="B920" t="s">
        <v>2473</v>
      </c>
      <c r="C920" t="s">
        <v>1708</v>
      </c>
      <c r="E920">
        <v>5162</v>
      </c>
      <c r="F920" t="s">
        <v>644</v>
      </c>
      <c r="G920" t="s">
        <v>968</v>
      </c>
      <c r="H920" t="s">
        <v>965</v>
      </c>
      <c r="I920">
        <v>77477</v>
      </c>
      <c r="J920" t="s">
        <v>969</v>
      </c>
      <c r="K920" t="s">
        <v>970</v>
      </c>
      <c r="M920">
        <v>16000</v>
      </c>
      <c r="N920">
        <v>16000</v>
      </c>
      <c r="O920">
        <v>25</v>
      </c>
      <c r="P920">
        <v>68</v>
      </c>
      <c r="Q920">
        <v>18</v>
      </c>
    </row>
    <row r="921" spans="1:17" x14ac:dyDescent="0.3">
      <c r="A921" t="s">
        <v>2474</v>
      </c>
      <c r="B921" t="s">
        <v>2475</v>
      </c>
      <c r="C921" t="s">
        <v>1708</v>
      </c>
      <c r="E921">
        <v>5162</v>
      </c>
      <c r="F921" t="s">
        <v>644</v>
      </c>
      <c r="G921" t="s">
        <v>968</v>
      </c>
      <c r="H921" t="s">
        <v>965</v>
      </c>
      <c r="I921">
        <v>77477</v>
      </c>
      <c r="J921" t="s">
        <v>969</v>
      </c>
      <c r="K921" t="s">
        <v>970</v>
      </c>
      <c r="M921">
        <v>4575</v>
      </c>
      <c r="N921">
        <v>10000</v>
      </c>
      <c r="O921">
        <v>21</v>
      </c>
      <c r="P921">
        <v>65</v>
      </c>
      <c r="Q921">
        <v>8</v>
      </c>
    </row>
    <row r="922" spans="1:17" x14ac:dyDescent="0.3">
      <c r="A922" t="s">
        <v>537</v>
      </c>
      <c r="B922" t="s">
        <v>1460</v>
      </c>
      <c r="C922" t="s">
        <v>1708</v>
      </c>
      <c r="E922">
        <v>5295</v>
      </c>
      <c r="F922" t="s">
        <v>2476</v>
      </c>
      <c r="G922" t="s">
        <v>2477</v>
      </c>
      <c r="H922" t="s">
        <v>965</v>
      </c>
      <c r="I922">
        <v>77498</v>
      </c>
      <c r="J922" t="s">
        <v>2478</v>
      </c>
      <c r="K922" t="s">
        <v>2479</v>
      </c>
      <c r="M922">
        <v>20000</v>
      </c>
      <c r="N922">
        <v>20000</v>
      </c>
      <c r="O922">
        <v>17</v>
      </c>
      <c r="P922">
        <v>138</v>
      </c>
      <c r="Q922">
        <v>38</v>
      </c>
    </row>
    <row r="923" spans="1:17" x14ac:dyDescent="0.3">
      <c r="A923" t="s">
        <v>393</v>
      </c>
      <c r="B923" t="s">
        <v>2480</v>
      </c>
      <c r="C923" t="s">
        <v>1708</v>
      </c>
      <c r="E923">
        <v>5114</v>
      </c>
      <c r="F923" t="s">
        <v>660</v>
      </c>
      <c r="G923" t="s">
        <v>2326</v>
      </c>
      <c r="H923" t="s">
        <v>965</v>
      </c>
      <c r="I923">
        <v>77511</v>
      </c>
      <c r="J923" t="s">
        <v>2327</v>
      </c>
      <c r="K923" t="s">
        <v>2328</v>
      </c>
      <c r="M923">
        <v>1650</v>
      </c>
      <c r="N923">
        <v>1650</v>
      </c>
      <c r="O923">
        <v>15</v>
      </c>
      <c r="P923">
        <v>44</v>
      </c>
      <c r="Q923">
        <v>29</v>
      </c>
    </row>
    <row r="924" spans="1:17" x14ac:dyDescent="0.3">
      <c r="A924" t="s">
        <v>846</v>
      </c>
      <c r="B924" t="s">
        <v>2439</v>
      </c>
      <c r="C924" t="s">
        <v>1708</v>
      </c>
      <c r="E924">
        <v>5182</v>
      </c>
      <c r="F924" t="s">
        <v>1735</v>
      </c>
      <c r="G924" t="s">
        <v>1736</v>
      </c>
      <c r="H924" t="s">
        <v>965</v>
      </c>
      <c r="I924">
        <v>77488</v>
      </c>
      <c r="J924" t="s">
        <v>1737</v>
      </c>
      <c r="K924">
        <v>2817265839</v>
      </c>
      <c r="L924">
        <v>2817265839</v>
      </c>
      <c r="M924">
        <v>1000</v>
      </c>
      <c r="N924">
        <v>1000</v>
      </c>
      <c r="O924">
        <v>6</v>
      </c>
      <c r="P924">
        <v>3</v>
      </c>
      <c r="Q924">
        <v>5</v>
      </c>
    </row>
    <row r="925" spans="1:17" x14ac:dyDescent="0.3">
      <c r="A925" t="s">
        <v>539</v>
      </c>
      <c r="B925" t="s">
        <v>2481</v>
      </c>
      <c r="C925" t="s">
        <v>1708</v>
      </c>
      <c r="E925">
        <v>5049</v>
      </c>
      <c r="F925" t="s">
        <v>2256</v>
      </c>
      <c r="G925" t="s">
        <v>2257</v>
      </c>
      <c r="H925" t="s">
        <v>965</v>
      </c>
      <c r="I925">
        <v>77477</v>
      </c>
      <c r="J925" t="s">
        <v>2258</v>
      </c>
      <c r="K925">
        <v>2812087171</v>
      </c>
      <c r="M925">
        <v>3000</v>
      </c>
      <c r="N925">
        <v>3000</v>
      </c>
      <c r="O925">
        <v>12</v>
      </c>
      <c r="P925">
        <v>33</v>
      </c>
      <c r="Q925">
        <v>28</v>
      </c>
    </row>
    <row r="926" spans="1:17" x14ac:dyDescent="0.3">
      <c r="A926" t="s">
        <v>395</v>
      </c>
      <c r="B926" t="s">
        <v>2448</v>
      </c>
      <c r="C926" t="s">
        <v>1708</v>
      </c>
      <c r="E926">
        <v>5114</v>
      </c>
      <c r="F926" t="s">
        <v>660</v>
      </c>
      <c r="G926" t="s">
        <v>2326</v>
      </c>
      <c r="H926" t="s">
        <v>965</v>
      </c>
      <c r="I926">
        <v>77511</v>
      </c>
      <c r="J926" t="s">
        <v>2327</v>
      </c>
      <c r="K926" t="s">
        <v>2328</v>
      </c>
      <c r="M926">
        <v>2100</v>
      </c>
      <c r="N926">
        <v>2100</v>
      </c>
      <c r="O926">
        <v>8</v>
      </c>
      <c r="P926">
        <v>18</v>
      </c>
      <c r="Q926">
        <v>8</v>
      </c>
    </row>
    <row r="927" spans="1:17" x14ac:dyDescent="0.3">
      <c r="A927" t="s">
        <v>854</v>
      </c>
      <c r="B927" t="s">
        <v>1493</v>
      </c>
      <c r="C927" t="s">
        <v>1708</v>
      </c>
      <c r="E927">
        <v>5297</v>
      </c>
      <c r="F927" t="s">
        <v>2482</v>
      </c>
      <c r="G927" t="s">
        <v>2483</v>
      </c>
      <c r="H927" t="s">
        <v>965</v>
      </c>
      <c r="I927">
        <v>77469</v>
      </c>
      <c r="J927" t="s">
        <v>2484</v>
      </c>
      <c r="K927" t="s">
        <v>2485</v>
      </c>
      <c r="M927">
        <v>9250</v>
      </c>
      <c r="N927">
        <v>9250</v>
      </c>
      <c r="O927">
        <v>30</v>
      </c>
      <c r="P927">
        <v>34</v>
      </c>
      <c r="Q927">
        <v>22</v>
      </c>
    </row>
    <row r="928" spans="1:17" x14ac:dyDescent="0.3">
      <c r="A928" t="s">
        <v>543</v>
      </c>
      <c r="B928" t="s">
        <v>2486</v>
      </c>
      <c r="C928" t="s">
        <v>1708</v>
      </c>
      <c r="E928">
        <v>5250</v>
      </c>
      <c r="F928" t="s">
        <v>2487</v>
      </c>
      <c r="G928" t="s">
        <v>2488</v>
      </c>
      <c r="H928" t="s">
        <v>965</v>
      </c>
      <c r="I928">
        <v>77449</v>
      </c>
      <c r="J928" t="s">
        <v>2489</v>
      </c>
      <c r="K928">
        <v>8326606799</v>
      </c>
      <c r="M928">
        <v>17500</v>
      </c>
      <c r="N928">
        <v>17500</v>
      </c>
      <c r="O928">
        <v>37</v>
      </c>
      <c r="P928">
        <v>126</v>
      </c>
      <c r="Q928">
        <v>33</v>
      </c>
    </row>
    <row r="929" spans="1:17" x14ac:dyDescent="0.3">
      <c r="A929" t="s">
        <v>545</v>
      </c>
      <c r="B929" t="s">
        <v>492</v>
      </c>
      <c r="C929" t="s">
        <v>1708</v>
      </c>
      <c r="E929">
        <v>5162</v>
      </c>
      <c r="F929" t="s">
        <v>644</v>
      </c>
      <c r="G929" t="s">
        <v>968</v>
      </c>
      <c r="H929" t="s">
        <v>965</v>
      </c>
      <c r="I929">
        <v>77477</v>
      </c>
      <c r="J929" t="s">
        <v>969</v>
      </c>
      <c r="K929" t="s">
        <v>970</v>
      </c>
      <c r="M929">
        <v>6750</v>
      </c>
      <c r="N929">
        <v>15000</v>
      </c>
      <c r="O929">
        <v>8</v>
      </c>
      <c r="P929">
        <v>67</v>
      </c>
      <c r="Q929">
        <v>11</v>
      </c>
    </row>
    <row r="930" spans="1:17" x14ac:dyDescent="0.3">
      <c r="A930" t="s">
        <v>1524</v>
      </c>
      <c r="B930" t="s">
        <v>943</v>
      </c>
      <c r="C930" t="s">
        <v>1708</v>
      </c>
      <c r="E930">
        <v>5232</v>
      </c>
      <c r="F930" t="s">
        <v>1429</v>
      </c>
      <c r="G930" t="s">
        <v>1430</v>
      </c>
      <c r="H930" t="s">
        <v>965</v>
      </c>
      <c r="I930">
        <v>77479</v>
      </c>
      <c r="J930" t="s">
        <v>1431</v>
      </c>
      <c r="K930">
        <v>3618343760</v>
      </c>
      <c r="M930">
        <v>2808</v>
      </c>
      <c r="N930">
        <v>2808</v>
      </c>
      <c r="O930">
        <v>17</v>
      </c>
      <c r="P930">
        <v>71</v>
      </c>
      <c r="Q930">
        <v>37</v>
      </c>
    </row>
    <row r="931" spans="1:17" x14ac:dyDescent="0.3">
      <c r="A931" t="s">
        <v>863</v>
      </c>
      <c r="B931" t="s">
        <v>2490</v>
      </c>
      <c r="C931" t="s">
        <v>1708</v>
      </c>
      <c r="E931">
        <v>5286</v>
      </c>
      <c r="F931" t="s">
        <v>2491</v>
      </c>
      <c r="G931" t="s">
        <v>2492</v>
      </c>
      <c r="H931" t="s">
        <v>965</v>
      </c>
      <c r="I931">
        <v>77002</v>
      </c>
      <c r="J931" t="s">
        <v>2493</v>
      </c>
      <c r="K931">
        <v>8328017772</v>
      </c>
      <c r="M931">
        <v>5000</v>
      </c>
      <c r="N931">
        <v>5000</v>
      </c>
      <c r="O931">
        <v>31</v>
      </c>
      <c r="P931">
        <v>105</v>
      </c>
      <c r="Q931">
        <v>45</v>
      </c>
    </row>
    <row r="932" spans="1:17" x14ac:dyDescent="0.3">
      <c r="A932" t="s">
        <v>2494</v>
      </c>
      <c r="B932" t="s">
        <v>2495</v>
      </c>
      <c r="C932" t="s">
        <v>1708</v>
      </c>
      <c r="E932">
        <v>5249</v>
      </c>
      <c r="F932" t="s">
        <v>663</v>
      </c>
      <c r="G932" t="s">
        <v>2309</v>
      </c>
      <c r="H932" t="s">
        <v>965</v>
      </c>
      <c r="I932">
        <v>77081</v>
      </c>
      <c r="J932" t="s">
        <v>2310</v>
      </c>
      <c r="K932" t="s">
        <v>2311</v>
      </c>
      <c r="M932">
        <v>4500</v>
      </c>
      <c r="N932">
        <v>4500</v>
      </c>
      <c r="O932">
        <v>17</v>
      </c>
      <c r="P932">
        <v>58</v>
      </c>
      <c r="Q932">
        <v>37</v>
      </c>
    </row>
    <row r="933" spans="1:17" x14ac:dyDescent="0.3">
      <c r="A933" t="s">
        <v>865</v>
      </c>
      <c r="B933" t="s">
        <v>2496</v>
      </c>
      <c r="C933" t="s">
        <v>1708</v>
      </c>
      <c r="E933">
        <v>5210</v>
      </c>
      <c r="F933" t="s">
        <v>2224</v>
      </c>
      <c r="G933" t="s">
        <v>2225</v>
      </c>
      <c r="H933" t="s">
        <v>965</v>
      </c>
      <c r="I933">
        <v>77479</v>
      </c>
      <c r="J933" t="s">
        <v>2226</v>
      </c>
      <c r="K933" t="s">
        <v>2227</v>
      </c>
      <c r="M933">
        <v>1700</v>
      </c>
      <c r="N933">
        <v>1700</v>
      </c>
      <c r="O933">
        <v>18</v>
      </c>
      <c r="P933">
        <v>58</v>
      </c>
      <c r="Q933">
        <v>40</v>
      </c>
    </row>
    <row r="934" spans="1:17" x14ac:dyDescent="0.3">
      <c r="A934" t="s">
        <v>547</v>
      </c>
      <c r="B934" t="s">
        <v>2497</v>
      </c>
      <c r="C934" t="s">
        <v>1708</v>
      </c>
      <c r="E934">
        <v>5162</v>
      </c>
      <c r="F934" t="s">
        <v>644</v>
      </c>
      <c r="G934" t="s">
        <v>968</v>
      </c>
      <c r="H934" t="s">
        <v>965</v>
      </c>
      <c r="I934">
        <v>77477</v>
      </c>
      <c r="J934" t="s">
        <v>969</v>
      </c>
      <c r="K934" t="s">
        <v>970</v>
      </c>
      <c r="M934">
        <v>1450</v>
      </c>
      <c r="N934">
        <v>4600</v>
      </c>
      <c r="O934">
        <v>16</v>
      </c>
      <c r="P934">
        <v>67</v>
      </c>
      <c r="Q934">
        <v>22</v>
      </c>
    </row>
    <row r="935" spans="1:17" x14ac:dyDescent="0.3">
      <c r="A935" t="s">
        <v>867</v>
      </c>
      <c r="B935" t="s">
        <v>2498</v>
      </c>
      <c r="C935" t="s">
        <v>1708</v>
      </c>
      <c r="E935">
        <v>5043</v>
      </c>
      <c r="F935" t="s">
        <v>2499</v>
      </c>
      <c r="G935" t="s">
        <v>2500</v>
      </c>
      <c r="H935" t="s">
        <v>965</v>
      </c>
      <c r="I935">
        <v>77511</v>
      </c>
      <c r="J935" t="s">
        <v>2501</v>
      </c>
      <c r="K935">
        <v>8323160543</v>
      </c>
      <c r="M935">
        <v>1500</v>
      </c>
      <c r="N935">
        <v>1500</v>
      </c>
      <c r="O935">
        <v>18</v>
      </c>
      <c r="P935">
        <v>45</v>
      </c>
      <c r="Q935">
        <v>31</v>
      </c>
    </row>
    <row r="936" spans="1:17" x14ac:dyDescent="0.3">
      <c r="A936" t="s">
        <v>2502</v>
      </c>
      <c r="B936" t="s">
        <v>2503</v>
      </c>
      <c r="C936" t="s">
        <v>1708</v>
      </c>
      <c r="E936">
        <v>5222</v>
      </c>
      <c r="F936" t="s">
        <v>2504</v>
      </c>
      <c r="G936" t="s">
        <v>2505</v>
      </c>
      <c r="H936" t="s">
        <v>965</v>
      </c>
      <c r="I936">
        <v>77080</v>
      </c>
      <c r="J936" t="s">
        <v>2506</v>
      </c>
      <c r="K936">
        <v>8326209192</v>
      </c>
      <c r="M936">
        <v>2500</v>
      </c>
      <c r="N936">
        <v>2500</v>
      </c>
      <c r="O936">
        <v>23</v>
      </c>
      <c r="P936">
        <v>68</v>
      </c>
      <c r="Q936">
        <v>20</v>
      </c>
    </row>
    <row r="937" spans="1:17" x14ac:dyDescent="0.3">
      <c r="A937" t="s">
        <v>869</v>
      </c>
      <c r="B937" t="s">
        <v>2507</v>
      </c>
      <c r="C937" t="s">
        <v>1708</v>
      </c>
      <c r="E937">
        <v>5294</v>
      </c>
      <c r="F937" t="s">
        <v>2339</v>
      </c>
      <c r="G937" t="s">
        <v>2340</v>
      </c>
      <c r="H937" t="s">
        <v>965</v>
      </c>
      <c r="I937">
        <v>77082</v>
      </c>
      <c r="J937" t="s">
        <v>2341</v>
      </c>
      <c r="K937">
        <v>7135400367</v>
      </c>
      <c r="M937">
        <v>1900</v>
      </c>
      <c r="N937">
        <v>1900</v>
      </c>
      <c r="O937">
        <v>15</v>
      </c>
      <c r="P937">
        <v>17</v>
      </c>
      <c r="Q937">
        <v>10</v>
      </c>
    </row>
    <row r="938" spans="1:17" x14ac:dyDescent="0.3">
      <c r="A938" t="s">
        <v>2508</v>
      </c>
      <c r="B938" t="s">
        <v>2509</v>
      </c>
      <c r="C938" t="s">
        <v>1708</v>
      </c>
      <c r="E938">
        <v>5241</v>
      </c>
      <c r="F938" t="s">
        <v>702</v>
      </c>
      <c r="G938" t="s">
        <v>1132</v>
      </c>
      <c r="H938" t="s">
        <v>965</v>
      </c>
      <c r="I938">
        <v>77407</v>
      </c>
      <c r="J938" t="s">
        <v>1133</v>
      </c>
      <c r="K938">
        <v>8324644119</v>
      </c>
      <c r="M938">
        <v>1600</v>
      </c>
      <c r="N938">
        <v>1600</v>
      </c>
      <c r="O938">
        <v>18</v>
      </c>
      <c r="P938">
        <v>17</v>
      </c>
      <c r="Q938">
        <v>10</v>
      </c>
    </row>
    <row r="939" spans="1:17" x14ac:dyDescent="0.3">
      <c r="A939" t="s">
        <v>549</v>
      </c>
      <c r="B939" t="s">
        <v>2510</v>
      </c>
      <c r="C939" t="s">
        <v>1708</v>
      </c>
      <c r="E939">
        <v>5206</v>
      </c>
      <c r="F939" t="s">
        <v>972</v>
      </c>
      <c r="G939" t="s">
        <v>973</v>
      </c>
      <c r="H939" t="s">
        <v>965</v>
      </c>
      <c r="I939">
        <v>77355</v>
      </c>
      <c r="J939" t="s">
        <v>974</v>
      </c>
      <c r="K939" t="s">
        <v>975</v>
      </c>
      <c r="M939">
        <v>7775</v>
      </c>
      <c r="N939">
        <v>7775</v>
      </c>
      <c r="O939">
        <v>35</v>
      </c>
      <c r="P939">
        <v>23</v>
      </c>
      <c r="Q939">
        <v>6</v>
      </c>
    </row>
    <row r="940" spans="1:17" x14ac:dyDescent="0.3">
      <c r="A940" t="s">
        <v>2511</v>
      </c>
      <c r="B940" t="s">
        <v>2512</v>
      </c>
      <c r="C940" t="s">
        <v>1708</v>
      </c>
      <c r="E940">
        <v>5069</v>
      </c>
      <c r="F940" t="s">
        <v>1555</v>
      </c>
      <c r="G940" t="s">
        <v>1556</v>
      </c>
      <c r="H940" t="s">
        <v>965</v>
      </c>
      <c r="I940">
        <v>77336</v>
      </c>
      <c r="J940" t="s">
        <v>1557</v>
      </c>
      <c r="K940" t="s">
        <v>1558</v>
      </c>
      <c r="M940">
        <v>4100</v>
      </c>
      <c r="N940">
        <v>4100</v>
      </c>
      <c r="O940">
        <v>17</v>
      </c>
      <c r="P940">
        <v>21</v>
      </c>
      <c r="Q940">
        <v>9</v>
      </c>
    </row>
    <row r="941" spans="1:17" x14ac:dyDescent="0.3">
      <c r="A941" t="s">
        <v>872</v>
      </c>
      <c r="B941" t="s">
        <v>2513</v>
      </c>
      <c r="C941" t="s">
        <v>1708</v>
      </c>
      <c r="E941">
        <v>5170</v>
      </c>
      <c r="F941" t="s">
        <v>661</v>
      </c>
      <c r="G941" t="s">
        <v>2206</v>
      </c>
      <c r="H941" t="s">
        <v>965</v>
      </c>
      <c r="I941">
        <v>78626</v>
      </c>
      <c r="J941" t="s">
        <v>2207</v>
      </c>
      <c r="K941">
        <v>2817748923</v>
      </c>
      <c r="M941">
        <v>2050</v>
      </c>
      <c r="N941">
        <v>2050</v>
      </c>
      <c r="O941">
        <v>11</v>
      </c>
      <c r="P941">
        <v>14</v>
      </c>
      <c r="Q941">
        <v>6</v>
      </c>
    </row>
    <row r="942" spans="1:17" x14ac:dyDescent="0.3">
      <c r="A942" t="s">
        <v>2514</v>
      </c>
      <c r="B942" t="s">
        <v>2515</v>
      </c>
      <c r="C942" t="s">
        <v>1708</v>
      </c>
      <c r="E942">
        <v>5249</v>
      </c>
      <c r="F942" t="s">
        <v>663</v>
      </c>
      <c r="G942" t="s">
        <v>2309</v>
      </c>
      <c r="H942" t="s">
        <v>965</v>
      </c>
      <c r="I942">
        <v>77081</v>
      </c>
      <c r="J942" t="s">
        <v>2310</v>
      </c>
      <c r="K942" t="s">
        <v>2311</v>
      </c>
      <c r="M942">
        <v>2000</v>
      </c>
      <c r="N942">
        <v>2000</v>
      </c>
      <c r="O942">
        <v>5</v>
      </c>
      <c r="P942">
        <v>13</v>
      </c>
      <c r="Q942">
        <v>9</v>
      </c>
    </row>
    <row r="943" spans="1:17" x14ac:dyDescent="0.3">
      <c r="A943" t="s">
        <v>874</v>
      </c>
      <c r="B943" t="s">
        <v>2072</v>
      </c>
      <c r="C943" t="s">
        <v>1708</v>
      </c>
      <c r="E943">
        <v>5249</v>
      </c>
      <c r="F943" t="s">
        <v>663</v>
      </c>
      <c r="G943" t="s">
        <v>2309</v>
      </c>
      <c r="H943" t="s">
        <v>965</v>
      </c>
      <c r="I943">
        <v>77081</v>
      </c>
      <c r="J943" t="s">
        <v>2310</v>
      </c>
      <c r="K943" t="s">
        <v>2311</v>
      </c>
      <c r="M943">
        <v>2200</v>
      </c>
      <c r="N943">
        <v>2200</v>
      </c>
      <c r="O943">
        <v>19</v>
      </c>
      <c r="P943">
        <v>8</v>
      </c>
      <c r="Q943">
        <v>9</v>
      </c>
    </row>
    <row r="944" spans="1:17" x14ac:dyDescent="0.3">
      <c r="A944" t="s">
        <v>876</v>
      </c>
      <c r="B944" t="s">
        <v>2516</v>
      </c>
      <c r="C944" t="s">
        <v>1708</v>
      </c>
      <c r="E944">
        <v>5155</v>
      </c>
      <c r="F944" t="s">
        <v>2233</v>
      </c>
      <c r="G944" t="s">
        <v>2234</v>
      </c>
      <c r="H944" t="s">
        <v>965</v>
      </c>
      <c r="I944">
        <v>77493</v>
      </c>
      <c r="J944" t="s">
        <v>2235</v>
      </c>
      <c r="K944" t="s">
        <v>2236</v>
      </c>
      <c r="M944">
        <v>4000</v>
      </c>
      <c r="N944">
        <v>4000</v>
      </c>
      <c r="O944">
        <v>18</v>
      </c>
      <c r="P944">
        <v>50</v>
      </c>
      <c r="Q944">
        <v>16</v>
      </c>
    </row>
    <row r="945" spans="1:17" x14ac:dyDescent="0.3">
      <c r="A945" t="s">
        <v>2517</v>
      </c>
      <c r="B945" t="s">
        <v>2518</v>
      </c>
      <c r="C945" t="s">
        <v>1708</v>
      </c>
      <c r="E945">
        <v>5249</v>
      </c>
      <c r="F945" t="s">
        <v>663</v>
      </c>
      <c r="G945" t="s">
        <v>2309</v>
      </c>
      <c r="H945" t="s">
        <v>965</v>
      </c>
      <c r="I945">
        <v>77081</v>
      </c>
      <c r="J945" t="s">
        <v>2310</v>
      </c>
      <c r="K945" t="s">
        <v>2311</v>
      </c>
      <c r="M945">
        <v>2400</v>
      </c>
      <c r="N945">
        <v>2400</v>
      </c>
      <c r="O945">
        <v>15</v>
      </c>
      <c r="P945">
        <v>27</v>
      </c>
      <c r="Q945">
        <v>11</v>
      </c>
    </row>
    <row r="946" spans="1:17" x14ac:dyDescent="0.3">
      <c r="A946" t="s">
        <v>878</v>
      </c>
      <c r="B946" t="s">
        <v>2519</v>
      </c>
      <c r="C946" t="s">
        <v>1708</v>
      </c>
      <c r="E946">
        <v>5069</v>
      </c>
      <c r="F946" t="s">
        <v>1555</v>
      </c>
      <c r="G946" t="s">
        <v>1556</v>
      </c>
      <c r="H946" t="s">
        <v>965</v>
      </c>
      <c r="I946">
        <v>77336</v>
      </c>
      <c r="J946" t="s">
        <v>1557</v>
      </c>
      <c r="K946" t="s">
        <v>1558</v>
      </c>
      <c r="M946">
        <v>1600</v>
      </c>
      <c r="N946">
        <v>1950</v>
      </c>
      <c r="O946">
        <v>15</v>
      </c>
      <c r="P946">
        <v>18</v>
      </c>
      <c r="Q946">
        <v>8</v>
      </c>
    </row>
    <row r="947" spans="1:17" x14ac:dyDescent="0.3">
      <c r="A947" t="s">
        <v>2520</v>
      </c>
      <c r="B947" t="s">
        <v>2089</v>
      </c>
      <c r="C947" t="s">
        <v>1708</v>
      </c>
      <c r="E947">
        <v>5141</v>
      </c>
      <c r="F947" t="s">
        <v>2521</v>
      </c>
      <c r="G947" t="s">
        <v>2522</v>
      </c>
      <c r="H947" t="s">
        <v>965</v>
      </c>
      <c r="I947">
        <v>77554</v>
      </c>
      <c r="J947" t="s">
        <v>2523</v>
      </c>
      <c r="K947">
        <v>8328730660</v>
      </c>
      <c r="M947">
        <v>18000</v>
      </c>
      <c r="N947">
        <v>18000</v>
      </c>
      <c r="O947">
        <v>8</v>
      </c>
      <c r="P947">
        <v>41</v>
      </c>
      <c r="Q947">
        <v>8</v>
      </c>
    </row>
    <row r="948" spans="1:17" x14ac:dyDescent="0.3">
      <c r="A948" t="s">
        <v>553</v>
      </c>
      <c r="B948" t="s">
        <v>2107</v>
      </c>
      <c r="C948" t="s">
        <v>1708</v>
      </c>
      <c r="E948">
        <v>5274</v>
      </c>
      <c r="F948" t="s">
        <v>2361</v>
      </c>
      <c r="G948" t="s">
        <v>2362</v>
      </c>
      <c r="H948" t="s">
        <v>965</v>
      </c>
      <c r="I948">
        <v>77084</v>
      </c>
      <c r="J948" t="s">
        <v>2363</v>
      </c>
      <c r="K948">
        <v>8325575922</v>
      </c>
      <c r="L948">
        <v>8325575922</v>
      </c>
      <c r="M948">
        <v>18500</v>
      </c>
      <c r="N948">
        <v>18500</v>
      </c>
      <c r="O948">
        <v>26</v>
      </c>
      <c r="P948">
        <v>41</v>
      </c>
      <c r="Q948">
        <v>14</v>
      </c>
    </row>
    <row r="949" spans="1:17" x14ac:dyDescent="0.3">
      <c r="A949" t="s">
        <v>881</v>
      </c>
      <c r="B949" t="s">
        <v>482</v>
      </c>
      <c r="C949" t="s">
        <v>1708</v>
      </c>
      <c r="E949">
        <v>5162</v>
      </c>
      <c r="F949" t="s">
        <v>644</v>
      </c>
      <c r="G949" t="s">
        <v>968</v>
      </c>
      <c r="H949" t="s">
        <v>965</v>
      </c>
      <c r="I949">
        <v>77477</v>
      </c>
      <c r="J949" t="s">
        <v>969</v>
      </c>
      <c r="K949" t="s">
        <v>970</v>
      </c>
      <c r="M949">
        <v>3600</v>
      </c>
      <c r="N949">
        <v>10000</v>
      </c>
      <c r="O949">
        <v>4</v>
      </c>
      <c r="P949">
        <v>11</v>
      </c>
      <c r="Q949">
        <v>3</v>
      </c>
    </row>
    <row r="950" spans="1:17" x14ac:dyDescent="0.3">
      <c r="A950" t="s">
        <v>883</v>
      </c>
      <c r="B950" t="s">
        <v>2524</v>
      </c>
      <c r="C950" t="s">
        <v>1708</v>
      </c>
      <c r="E950">
        <v>5200</v>
      </c>
      <c r="F950" t="s">
        <v>2301</v>
      </c>
      <c r="G950" t="s">
        <v>2302</v>
      </c>
      <c r="H950" t="s">
        <v>965</v>
      </c>
      <c r="I950">
        <v>77077</v>
      </c>
      <c r="J950" t="s">
        <v>2303</v>
      </c>
      <c r="K950">
        <v>8328532487</v>
      </c>
      <c r="M950">
        <v>6750</v>
      </c>
      <c r="N950">
        <v>6750</v>
      </c>
      <c r="O950">
        <v>22</v>
      </c>
      <c r="P950">
        <v>103</v>
      </c>
      <c r="Q950">
        <v>39</v>
      </c>
    </row>
    <row r="951" spans="1:17" x14ac:dyDescent="0.3">
      <c r="A951" t="s">
        <v>885</v>
      </c>
      <c r="B951" t="s">
        <v>478</v>
      </c>
      <c r="C951" t="s">
        <v>1708</v>
      </c>
      <c r="E951">
        <v>5162</v>
      </c>
      <c r="F951" t="s">
        <v>644</v>
      </c>
      <c r="G951" t="s">
        <v>968</v>
      </c>
      <c r="H951" t="s">
        <v>965</v>
      </c>
      <c r="I951">
        <v>77477</v>
      </c>
      <c r="J951" t="s">
        <v>969</v>
      </c>
      <c r="K951" t="s">
        <v>970</v>
      </c>
      <c r="M951">
        <v>6250</v>
      </c>
      <c r="N951">
        <v>7200</v>
      </c>
      <c r="O951">
        <v>9</v>
      </c>
      <c r="P951">
        <v>24</v>
      </c>
      <c r="Q951">
        <v>7</v>
      </c>
    </row>
    <row r="952" spans="1:17" x14ac:dyDescent="0.3">
      <c r="A952" t="s">
        <v>2525</v>
      </c>
      <c r="B952" t="s">
        <v>2108</v>
      </c>
      <c r="C952" t="s">
        <v>1708</v>
      </c>
      <c r="E952">
        <v>5274</v>
      </c>
      <c r="F952" t="s">
        <v>2361</v>
      </c>
      <c r="G952" t="s">
        <v>2362</v>
      </c>
      <c r="H952" t="s">
        <v>965</v>
      </c>
      <c r="I952">
        <v>77084</v>
      </c>
      <c r="J952" t="s">
        <v>2363</v>
      </c>
      <c r="K952">
        <v>8325575922</v>
      </c>
      <c r="L952">
        <v>8325575922</v>
      </c>
      <c r="M952">
        <v>13700</v>
      </c>
      <c r="N952">
        <v>13700</v>
      </c>
      <c r="O952">
        <v>9</v>
      </c>
      <c r="P952">
        <v>36</v>
      </c>
      <c r="Q952">
        <v>8</v>
      </c>
    </row>
    <row r="953" spans="1:17" x14ac:dyDescent="0.3">
      <c r="A953" t="s">
        <v>2526</v>
      </c>
      <c r="B953" t="s">
        <v>504</v>
      </c>
      <c r="C953" t="s">
        <v>1708</v>
      </c>
      <c r="E953">
        <v>5162</v>
      </c>
      <c r="F953" t="s">
        <v>644</v>
      </c>
      <c r="G953" t="s">
        <v>968</v>
      </c>
      <c r="H953" t="s">
        <v>965</v>
      </c>
      <c r="I953">
        <v>77477</v>
      </c>
      <c r="J953" t="s">
        <v>969</v>
      </c>
      <c r="K953" t="s">
        <v>970</v>
      </c>
      <c r="M953">
        <v>3100</v>
      </c>
      <c r="N953">
        <v>13000</v>
      </c>
      <c r="O953">
        <v>9</v>
      </c>
      <c r="P953">
        <v>26</v>
      </c>
      <c r="Q953">
        <v>4</v>
      </c>
    </row>
    <row r="954" spans="1:17" x14ac:dyDescent="0.3">
      <c r="A954" t="s">
        <v>890</v>
      </c>
      <c r="B954" t="s">
        <v>749</v>
      </c>
      <c r="C954" t="s">
        <v>1708</v>
      </c>
      <c r="E954">
        <v>5066</v>
      </c>
      <c r="F954" t="s">
        <v>1672</v>
      </c>
      <c r="G954" t="s">
        <v>1673</v>
      </c>
      <c r="H954" t="s">
        <v>965</v>
      </c>
      <c r="I954">
        <v>77515</v>
      </c>
      <c r="J954" t="s">
        <v>1674</v>
      </c>
      <c r="K954">
        <v>9796127045</v>
      </c>
      <c r="M954">
        <v>5455</v>
      </c>
      <c r="N954">
        <v>5455</v>
      </c>
      <c r="O954">
        <v>7</v>
      </c>
      <c r="P954">
        <v>36</v>
      </c>
      <c r="Q954">
        <v>9</v>
      </c>
    </row>
    <row r="955" spans="1:17" x14ac:dyDescent="0.3">
      <c r="A955" t="s">
        <v>2527</v>
      </c>
      <c r="B955" t="s">
        <v>508</v>
      </c>
      <c r="C955" t="s">
        <v>1708</v>
      </c>
      <c r="E955">
        <v>5162</v>
      </c>
      <c r="F955" t="s">
        <v>644</v>
      </c>
      <c r="G955" t="s">
        <v>968</v>
      </c>
      <c r="H955" t="s">
        <v>965</v>
      </c>
      <c r="I955">
        <v>77477</v>
      </c>
      <c r="J955" t="s">
        <v>969</v>
      </c>
      <c r="K955" t="s">
        <v>970</v>
      </c>
      <c r="M955">
        <v>4200</v>
      </c>
      <c r="N955">
        <v>10000</v>
      </c>
      <c r="O955">
        <v>32</v>
      </c>
      <c r="P955">
        <v>19</v>
      </c>
      <c r="Q955">
        <v>2</v>
      </c>
    </row>
    <row r="956" spans="1:17" x14ac:dyDescent="0.3">
      <c r="A956" t="s">
        <v>892</v>
      </c>
      <c r="B956" t="s">
        <v>1949</v>
      </c>
      <c r="C956" t="s">
        <v>1708</v>
      </c>
      <c r="E956">
        <v>5162</v>
      </c>
      <c r="F956" t="s">
        <v>644</v>
      </c>
      <c r="G956" t="s">
        <v>968</v>
      </c>
      <c r="H956" t="s">
        <v>965</v>
      </c>
      <c r="I956">
        <v>77477</v>
      </c>
      <c r="J956" t="s">
        <v>969</v>
      </c>
      <c r="K956" t="s">
        <v>970</v>
      </c>
      <c r="M956">
        <v>6455</v>
      </c>
      <c r="N956">
        <v>28500</v>
      </c>
      <c r="O956">
        <v>15</v>
      </c>
      <c r="P956">
        <v>22</v>
      </c>
      <c r="Q956">
        <v>7</v>
      </c>
    </row>
    <row r="957" spans="1:17" x14ac:dyDescent="0.3">
      <c r="A957" t="s">
        <v>560</v>
      </c>
      <c r="B957" t="s">
        <v>1923</v>
      </c>
      <c r="C957" t="s">
        <v>1708</v>
      </c>
      <c r="E957">
        <v>5286</v>
      </c>
      <c r="F957" t="s">
        <v>2491</v>
      </c>
      <c r="G957" t="s">
        <v>2492</v>
      </c>
      <c r="H957" t="s">
        <v>965</v>
      </c>
      <c r="I957">
        <v>77002</v>
      </c>
      <c r="J957" t="s">
        <v>2493</v>
      </c>
      <c r="K957">
        <v>8328017772</v>
      </c>
      <c r="M957">
        <v>25500</v>
      </c>
      <c r="N957">
        <v>29500</v>
      </c>
      <c r="O957">
        <v>19</v>
      </c>
      <c r="P957">
        <v>32</v>
      </c>
      <c r="Q957">
        <v>6</v>
      </c>
    </row>
    <row r="958" spans="1:17" x14ac:dyDescent="0.3">
      <c r="A958" t="s">
        <v>894</v>
      </c>
      <c r="B958" t="s">
        <v>502</v>
      </c>
      <c r="C958" t="s">
        <v>1708</v>
      </c>
      <c r="E958">
        <v>5162</v>
      </c>
      <c r="F958" t="s">
        <v>644</v>
      </c>
      <c r="G958" t="s">
        <v>968</v>
      </c>
      <c r="H958" t="s">
        <v>965</v>
      </c>
      <c r="I958">
        <v>77477</v>
      </c>
      <c r="J958" t="s">
        <v>969</v>
      </c>
      <c r="K958" t="s">
        <v>970</v>
      </c>
      <c r="M958">
        <v>2100</v>
      </c>
      <c r="N958">
        <v>7000</v>
      </c>
      <c r="O958">
        <v>8</v>
      </c>
      <c r="P958">
        <v>10</v>
      </c>
      <c r="Q958">
        <v>4</v>
      </c>
    </row>
    <row r="959" spans="1:17" x14ac:dyDescent="0.3">
      <c r="A959" t="s">
        <v>2528</v>
      </c>
      <c r="B959" t="s">
        <v>502</v>
      </c>
      <c r="C959" t="s">
        <v>1708</v>
      </c>
      <c r="E959">
        <v>5162</v>
      </c>
      <c r="F959" t="s">
        <v>644</v>
      </c>
      <c r="G959" t="s">
        <v>968</v>
      </c>
      <c r="H959" t="s">
        <v>965</v>
      </c>
      <c r="I959">
        <v>77477</v>
      </c>
      <c r="J959" t="s">
        <v>969</v>
      </c>
      <c r="K959" t="s">
        <v>970</v>
      </c>
      <c r="M959">
        <v>2100</v>
      </c>
      <c r="N959">
        <v>7000</v>
      </c>
      <c r="O959">
        <v>8</v>
      </c>
      <c r="P959">
        <v>7</v>
      </c>
      <c r="Q959">
        <v>4</v>
      </c>
    </row>
    <row r="960" spans="1:17" x14ac:dyDescent="0.3">
      <c r="A960" t="s">
        <v>896</v>
      </c>
      <c r="B960" t="s">
        <v>498</v>
      </c>
      <c r="C960" t="s">
        <v>1708</v>
      </c>
      <c r="E960">
        <v>5162</v>
      </c>
      <c r="F960" t="s">
        <v>644</v>
      </c>
      <c r="G960" t="s">
        <v>968</v>
      </c>
      <c r="H960" t="s">
        <v>965</v>
      </c>
      <c r="I960">
        <v>77477</v>
      </c>
      <c r="J960" t="s">
        <v>969</v>
      </c>
      <c r="K960" t="s">
        <v>970</v>
      </c>
      <c r="M960">
        <v>525</v>
      </c>
      <c r="N960">
        <v>8800</v>
      </c>
      <c r="O960">
        <v>2</v>
      </c>
      <c r="P960">
        <v>14</v>
      </c>
      <c r="Q960">
        <v>4</v>
      </c>
    </row>
    <row r="961" spans="1:17" x14ac:dyDescent="0.3">
      <c r="A961" t="s">
        <v>2529</v>
      </c>
      <c r="B961" t="s">
        <v>488</v>
      </c>
      <c r="C961" t="s">
        <v>1708</v>
      </c>
      <c r="E961">
        <v>5162</v>
      </c>
      <c r="F961" t="s">
        <v>644</v>
      </c>
      <c r="G961" t="s">
        <v>968</v>
      </c>
      <c r="H961" t="s">
        <v>965</v>
      </c>
      <c r="I961">
        <v>77477</v>
      </c>
      <c r="J961" t="s">
        <v>969</v>
      </c>
      <c r="K961" t="s">
        <v>970</v>
      </c>
      <c r="M961">
        <v>825</v>
      </c>
      <c r="N961">
        <v>17000</v>
      </c>
      <c r="O961">
        <v>2</v>
      </c>
      <c r="P961">
        <v>13</v>
      </c>
      <c r="Q961">
        <v>6</v>
      </c>
    </row>
    <row r="962" spans="1:17" x14ac:dyDescent="0.3">
      <c r="A962" t="s">
        <v>564</v>
      </c>
      <c r="B962" t="s">
        <v>1936</v>
      </c>
      <c r="C962" t="s">
        <v>1708</v>
      </c>
      <c r="E962">
        <v>5162</v>
      </c>
      <c r="F962" t="s">
        <v>644</v>
      </c>
      <c r="G962" t="s">
        <v>968</v>
      </c>
      <c r="H962" t="s">
        <v>965</v>
      </c>
      <c r="I962">
        <v>77477</v>
      </c>
      <c r="J962" t="s">
        <v>969</v>
      </c>
      <c r="K962" t="s">
        <v>970</v>
      </c>
      <c r="M962">
        <v>1700</v>
      </c>
      <c r="N962">
        <v>12000</v>
      </c>
      <c r="O962">
        <v>5</v>
      </c>
      <c r="P962">
        <v>54</v>
      </c>
      <c r="Q962">
        <v>10</v>
      </c>
    </row>
    <row r="963" spans="1:17" x14ac:dyDescent="0.3">
      <c r="A963" t="s">
        <v>1540</v>
      </c>
      <c r="B963" t="s">
        <v>1644</v>
      </c>
      <c r="C963" t="s">
        <v>1708</v>
      </c>
      <c r="E963">
        <v>5274</v>
      </c>
      <c r="F963" t="s">
        <v>2361</v>
      </c>
      <c r="G963" t="s">
        <v>2362</v>
      </c>
      <c r="H963" t="s">
        <v>965</v>
      </c>
      <c r="I963">
        <v>77084</v>
      </c>
      <c r="J963" t="s">
        <v>2363</v>
      </c>
      <c r="K963">
        <v>8325575922</v>
      </c>
      <c r="L963">
        <v>8325575922</v>
      </c>
      <c r="M963">
        <v>11000</v>
      </c>
      <c r="N963">
        <v>11000</v>
      </c>
      <c r="O963">
        <v>10</v>
      </c>
      <c r="P963">
        <v>22</v>
      </c>
      <c r="Q963">
        <v>11</v>
      </c>
    </row>
    <row r="964" spans="1:17" x14ac:dyDescent="0.3">
      <c r="A964" t="s">
        <v>1542</v>
      </c>
      <c r="B964" t="s">
        <v>2530</v>
      </c>
      <c r="C964" t="s">
        <v>1708</v>
      </c>
      <c r="E964">
        <v>5162</v>
      </c>
      <c r="F964" t="s">
        <v>644</v>
      </c>
      <c r="G964" t="s">
        <v>968</v>
      </c>
      <c r="H964" t="s">
        <v>965</v>
      </c>
      <c r="I964">
        <v>77477</v>
      </c>
      <c r="J964" t="s">
        <v>969</v>
      </c>
      <c r="K964" t="s">
        <v>970</v>
      </c>
      <c r="M964">
        <v>16500</v>
      </c>
      <c r="N964">
        <v>28000</v>
      </c>
      <c r="O964">
        <v>11</v>
      </c>
      <c r="P964">
        <v>15</v>
      </c>
      <c r="Q964">
        <v>4</v>
      </c>
    </row>
    <row r="965" spans="1:17" x14ac:dyDescent="0.3">
      <c r="A965" t="s">
        <v>1543</v>
      </c>
      <c r="B965" t="s">
        <v>496</v>
      </c>
      <c r="C965" t="s">
        <v>1708</v>
      </c>
      <c r="E965">
        <v>5162</v>
      </c>
      <c r="F965" t="s">
        <v>644</v>
      </c>
      <c r="G965" t="s">
        <v>968</v>
      </c>
      <c r="H965" t="s">
        <v>965</v>
      </c>
      <c r="I965">
        <v>77477</v>
      </c>
      <c r="J965" t="s">
        <v>969</v>
      </c>
      <c r="K965" t="s">
        <v>970</v>
      </c>
      <c r="M965">
        <v>2155</v>
      </c>
      <c r="N965">
        <v>6000</v>
      </c>
      <c r="O965">
        <v>3</v>
      </c>
      <c r="P965">
        <v>11</v>
      </c>
      <c r="Q965">
        <v>3</v>
      </c>
    </row>
    <row r="966" spans="1:17" x14ac:dyDescent="0.3">
      <c r="A966" t="s">
        <v>2075</v>
      </c>
      <c r="B966" t="s">
        <v>2531</v>
      </c>
      <c r="C966" t="s">
        <v>1708</v>
      </c>
      <c r="E966">
        <v>5191</v>
      </c>
      <c r="F966" t="s">
        <v>2154</v>
      </c>
      <c r="G966" t="s">
        <v>2155</v>
      </c>
      <c r="H966" t="s">
        <v>965</v>
      </c>
      <c r="I966">
        <v>77581</v>
      </c>
      <c r="J966" t="s">
        <v>2156</v>
      </c>
      <c r="K966" t="s">
        <v>2157</v>
      </c>
      <c r="M966">
        <v>1000</v>
      </c>
      <c r="N966">
        <v>1000</v>
      </c>
      <c r="O966">
        <v>13</v>
      </c>
      <c r="P966">
        <v>20</v>
      </c>
      <c r="Q966">
        <v>6</v>
      </c>
    </row>
    <row r="967" spans="1:17" x14ac:dyDescent="0.3">
      <c r="A967" t="s">
        <v>1544</v>
      </c>
      <c r="B967" t="s">
        <v>1851</v>
      </c>
      <c r="C967" t="s">
        <v>1708</v>
      </c>
      <c r="E967">
        <v>5185</v>
      </c>
      <c r="F967" t="s">
        <v>2313</v>
      </c>
      <c r="G967" t="s">
        <v>2314</v>
      </c>
      <c r="H967" t="s">
        <v>965</v>
      </c>
      <c r="I967">
        <v>77041</v>
      </c>
      <c r="J967" t="s">
        <v>2315</v>
      </c>
      <c r="K967" t="s">
        <v>2316</v>
      </c>
      <c r="M967">
        <v>18500</v>
      </c>
      <c r="N967">
        <v>19500</v>
      </c>
      <c r="O967">
        <v>7</v>
      </c>
      <c r="P967">
        <v>22</v>
      </c>
      <c r="Q967">
        <v>10</v>
      </c>
    </row>
    <row r="968" spans="1:17" x14ac:dyDescent="0.3">
      <c r="A968" t="s">
        <v>566</v>
      </c>
      <c r="B968" t="s">
        <v>2532</v>
      </c>
      <c r="C968" t="s">
        <v>1708</v>
      </c>
      <c r="E968">
        <v>5035</v>
      </c>
      <c r="F968" t="s">
        <v>2533</v>
      </c>
      <c r="G968" t="s">
        <v>2534</v>
      </c>
      <c r="H968" t="s">
        <v>965</v>
      </c>
      <c r="I968">
        <v>77498</v>
      </c>
      <c r="J968" t="s">
        <v>2535</v>
      </c>
      <c r="K968">
        <v>9796450455</v>
      </c>
      <c r="M968">
        <v>2500</v>
      </c>
      <c r="N968">
        <v>2500</v>
      </c>
      <c r="O968">
        <v>12</v>
      </c>
      <c r="P968">
        <v>31</v>
      </c>
      <c r="Q968">
        <v>28</v>
      </c>
    </row>
    <row r="969" spans="1:17" x14ac:dyDescent="0.3">
      <c r="A969" t="s">
        <v>585</v>
      </c>
      <c r="B969" t="s">
        <v>1882</v>
      </c>
      <c r="C969" t="s">
        <v>1708</v>
      </c>
      <c r="E969">
        <v>5297</v>
      </c>
      <c r="F969" t="s">
        <v>2482</v>
      </c>
      <c r="G969" t="s">
        <v>2483</v>
      </c>
      <c r="H969" t="s">
        <v>965</v>
      </c>
      <c r="I969">
        <v>77469</v>
      </c>
      <c r="J969" t="s">
        <v>2484</v>
      </c>
      <c r="K969" t="s">
        <v>2485</v>
      </c>
      <c r="M969">
        <v>16200</v>
      </c>
      <c r="N969">
        <v>16450</v>
      </c>
      <c r="O969">
        <v>8</v>
      </c>
      <c r="P969">
        <v>31</v>
      </c>
      <c r="Q969">
        <v>6</v>
      </c>
    </row>
    <row r="970" spans="1:17" x14ac:dyDescent="0.3">
      <c r="A970" t="s">
        <v>1570</v>
      </c>
      <c r="B970" t="s">
        <v>927</v>
      </c>
      <c r="C970" t="s">
        <v>1708</v>
      </c>
      <c r="E970">
        <v>5124</v>
      </c>
      <c r="F970" t="s">
        <v>2536</v>
      </c>
      <c r="G970" t="s">
        <v>2537</v>
      </c>
      <c r="H970" t="s">
        <v>965</v>
      </c>
      <c r="I970">
        <v>77013</v>
      </c>
      <c r="J970" t="s">
        <v>2538</v>
      </c>
      <c r="K970">
        <v>2812171707</v>
      </c>
      <c r="M970">
        <v>625</v>
      </c>
      <c r="N970">
        <v>1250</v>
      </c>
      <c r="O970">
        <v>4</v>
      </c>
      <c r="P970">
        <v>14</v>
      </c>
      <c r="Q970">
        <v>14</v>
      </c>
    </row>
    <row r="971" spans="1:17" x14ac:dyDescent="0.3">
      <c r="A971" t="s">
        <v>2539</v>
      </c>
      <c r="B971" t="s">
        <v>2532</v>
      </c>
      <c r="C971" t="s">
        <v>1708</v>
      </c>
      <c r="E971">
        <v>5035</v>
      </c>
      <c r="F971" t="s">
        <v>2533</v>
      </c>
      <c r="G971" t="s">
        <v>2534</v>
      </c>
      <c r="H971" t="s">
        <v>965</v>
      </c>
      <c r="I971">
        <v>77498</v>
      </c>
      <c r="J971" t="s">
        <v>2535</v>
      </c>
      <c r="K971">
        <v>9796450455</v>
      </c>
      <c r="M971">
        <v>2300</v>
      </c>
      <c r="N971">
        <v>2500</v>
      </c>
      <c r="O971">
        <v>7</v>
      </c>
      <c r="P971">
        <v>18</v>
      </c>
      <c r="Q971">
        <v>20</v>
      </c>
    </row>
    <row r="972" spans="1:17" x14ac:dyDescent="0.3">
      <c r="A972" t="s">
        <v>1651</v>
      </c>
      <c r="B972" t="s">
        <v>2540</v>
      </c>
      <c r="C972" t="s">
        <v>1708</v>
      </c>
      <c r="E972">
        <v>5197</v>
      </c>
      <c r="F972" t="s">
        <v>2335</v>
      </c>
      <c r="G972" t="s">
        <v>2336</v>
      </c>
      <c r="H972" t="s">
        <v>965</v>
      </c>
      <c r="I972">
        <v>77583</v>
      </c>
      <c r="J972" t="s">
        <v>2337</v>
      </c>
      <c r="K972">
        <v>9797091048</v>
      </c>
      <c r="M972">
        <v>7250</v>
      </c>
      <c r="N972">
        <v>7500</v>
      </c>
      <c r="O972">
        <v>14</v>
      </c>
      <c r="P972">
        <v>67</v>
      </c>
      <c r="Q972">
        <v>24</v>
      </c>
    </row>
    <row r="973" spans="1:17" x14ac:dyDescent="0.3">
      <c r="A973" t="s">
        <v>1661</v>
      </c>
      <c r="B973" t="s">
        <v>2541</v>
      </c>
      <c r="C973" t="s">
        <v>1708</v>
      </c>
      <c r="E973">
        <v>5035</v>
      </c>
      <c r="F973" t="s">
        <v>2533</v>
      </c>
      <c r="G973" t="s">
        <v>2534</v>
      </c>
      <c r="H973" t="s">
        <v>965</v>
      </c>
      <c r="I973">
        <v>77498</v>
      </c>
      <c r="J973" t="s">
        <v>2535</v>
      </c>
      <c r="K973">
        <v>9796450455</v>
      </c>
      <c r="M973">
        <v>3100</v>
      </c>
      <c r="N973">
        <v>3100</v>
      </c>
      <c r="O973">
        <v>27</v>
      </c>
      <c r="P973">
        <v>28</v>
      </c>
      <c r="Q973">
        <v>26</v>
      </c>
    </row>
    <row r="974" spans="1:17" x14ac:dyDescent="0.3">
      <c r="A974" t="s">
        <v>2542</v>
      </c>
      <c r="B974" t="s">
        <v>2116</v>
      </c>
      <c r="C974" t="s">
        <v>1708</v>
      </c>
      <c r="E974">
        <v>5162</v>
      </c>
      <c r="F974" t="s">
        <v>644</v>
      </c>
      <c r="G974" t="s">
        <v>968</v>
      </c>
      <c r="H974" t="s">
        <v>965</v>
      </c>
      <c r="I974">
        <v>77477</v>
      </c>
      <c r="J974" t="s">
        <v>969</v>
      </c>
      <c r="K974" t="s">
        <v>970</v>
      </c>
      <c r="M974">
        <v>2100</v>
      </c>
      <c r="N974">
        <v>14000</v>
      </c>
      <c r="O974">
        <v>3</v>
      </c>
      <c r="P974">
        <v>24</v>
      </c>
      <c r="Q974">
        <v>4</v>
      </c>
    </row>
    <row r="975" spans="1:17" x14ac:dyDescent="0.3">
      <c r="A975" t="s">
        <v>2543</v>
      </c>
      <c r="B975" t="s">
        <v>2544</v>
      </c>
      <c r="C975" t="s">
        <v>1708</v>
      </c>
      <c r="E975">
        <v>5174</v>
      </c>
      <c r="F975" t="s">
        <v>643</v>
      </c>
      <c r="G975" t="s">
        <v>2275</v>
      </c>
      <c r="H975" t="s">
        <v>965</v>
      </c>
      <c r="I975">
        <v>77036</v>
      </c>
      <c r="J975" t="s">
        <v>2276</v>
      </c>
      <c r="K975">
        <v>3238646733</v>
      </c>
      <c r="M975">
        <v>1800</v>
      </c>
      <c r="N975">
        <v>1800</v>
      </c>
      <c r="O975">
        <v>31</v>
      </c>
      <c r="P975">
        <v>82</v>
      </c>
      <c r="Q975">
        <v>41</v>
      </c>
    </row>
    <row r="976" spans="1:17" x14ac:dyDescent="0.3">
      <c r="A976" t="s">
        <v>1679</v>
      </c>
      <c r="B976" t="s">
        <v>2541</v>
      </c>
      <c r="C976" t="s">
        <v>1708</v>
      </c>
      <c r="E976">
        <v>5119</v>
      </c>
      <c r="F976" t="s">
        <v>2175</v>
      </c>
      <c r="G976" t="s">
        <v>2176</v>
      </c>
      <c r="H976" t="s">
        <v>965</v>
      </c>
      <c r="I976">
        <v>77573</v>
      </c>
      <c r="J976" t="s">
        <v>2177</v>
      </c>
      <c r="K976">
        <v>7132528720</v>
      </c>
      <c r="M976">
        <v>2800</v>
      </c>
      <c r="N976">
        <v>2800</v>
      </c>
      <c r="O976">
        <v>16</v>
      </c>
      <c r="P976">
        <v>11</v>
      </c>
      <c r="Q976">
        <v>25</v>
      </c>
    </row>
    <row r="977" spans="1:17" x14ac:dyDescent="0.3">
      <c r="A977" t="s">
        <v>2545</v>
      </c>
      <c r="B977" t="s">
        <v>2546</v>
      </c>
      <c r="C977" t="s">
        <v>1708</v>
      </c>
      <c r="E977">
        <v>5274</v>
      </c>
      <c r="F977" t="s">
        <v>2361</v>
      </c>
      <c r="G977" t="s">
        <v>2362</v>
      </c>
      <c r="H977" t="s">
        <v>965</v>
      </c>
      <c r="I977">
        <v>77084</v>
      </c>
      <c r="J977" t="s">
        <v>2363</v>
      </c>
      <c r="K977">
        <v>8325575922</v>
      </c>
      <c r="L977">
        <v>8325575922</v>
      </c>
      <c r="M977">
        <v>8250</v>
      </c>
      <c r="N977">
        <v>8250</v>
      </c>
      <c r="O977">
        <v>10</v>
      </c>
      <c r="P977">
        <v>38</v>
      </c>
      <c r="Q977">
        <v>14</v>
      </c>
    </row>
    <row r="978" spans="1:17" x14ac:dyDescent="0.3">
      <c r="A978" t="s">
        <v>1694</v>
      </c>
      <c r="B978" t="s">
        <v>2541</v>
      </c>
      <c r="C978" t="s">
        <v>1708</v>
      </c>
      <c r="E978">
        <v>5119</v>
      </c>
      <c r="F978" t="s">
        <v>2175</v>
      </c>
      <c r="G978" t="s">
        <v>2176</v>
      </c>
      <c r="H978" t="s">
        <v>965</v>
      </c>
      <c r="I978">
        <v>77573</v>
      </c>
      <c r="J978" t="s">
        <v>2177</v>
      </c>
      <c r="K978">
        <v>7132528720</v>
      </c>
      <c r="M978">
        <v>2500</v>
      </c>
      <c r="N978">
        <v>2500</v>
      </c>
      <c r="O978">
        <v>21</v>
      </c>
      <c r="P978">
        <v>14</v>
      </c>
      <c r="Q978">
        <v>17</v>
      </c>
    </row>
    <row r="979" spans="1:17" x14ac:dyDescent="0.3">
      <c r="A979" t="s">
        <v>2547</v>
      </c>
      <c r="B979" t="s">
        <v>2548</v>
      </c>
      <c r="C979" t="s">
        <v>1708</v>
      </c>
      <c r="E979">
        <v>5127</v>
      </c>
      <c r="F979" t="s">
        <v>2388</v>
      </c>
      <c r="G979" t="s">
        <v>2389</v>
      </c>
      <c r="H979" t="s">
        <v>965</v>
      </c>
      <c r="I979">
        <v>77498</v>
      </c>
      <c r="J979" t="s">
        <v>2390</v>
      </c>
      <c r="K979">
        <v>7133062169</v>
      </c>
      <c r="M979">
        <v>10000</v>
      </c>
      <c r="N979">
        <v>10000</v>
      </c>
      <c r="O979">
        <v>22</v>
      </c>
      <c r="P979">
        <v>55</v>
      </c>
      <c r="Q979">
        <v>30</v>
      </c>
    </row>
    <row r="980" spans="1:17" x14ac:dyDescent="0.3">
      <c r="A980" t="s">
        <v>2549</v>
      </c>
      <c r="B980" t="s">
        <v>2550</v>
      </c>
      <c r="C980" t="s">
        <v>1708</v>
      </c>
      <c r="E980">
        <v>5183</v>
      </c>
      <c r="F980" t="s">
        <v>671</v>
      </c>
      <c r="G980" t="s">
        <v>2551</v>
      </c>
      <c r="H980" t="s">
        <v>965</v>
      </c>
      <c r="I980">
        <v>77047</v>
      </c>
      <c r="J980" t="s">
        <v>2552</v>
      </c>
      <c r="K980">
        <v>5712481421</v>
      </c>
      <c r="L980">
        <v>5712481421</v>
      </c>
      <c r="M980">
        <v>7500</v>
      </c>
      <c r="N980">
        <v>7500</v>
      </c>
      <c r="O980">
        <v>23</v>
      </c>
      <c r="P980">
        <v>83</v>
      </c>
      <c r="Q980">
        <v>35</v>
      </c>
    </row>
    <row r="981" spans="1:17" x14ac:dyDescent="0.3">
      <c r="A981" t="s">
        <v>2553</v>
      </c>
      <c r="B981" t="s">
        <v>2554</v>
      </c>
      <c r="C981" t="s">
        <v>1708</v>
      </c>
      <c r="E981">
        <v>5004</v>
      </c>
      <c r="F981" t="s">
        <v>682</v>
      </c>
      <c r="G981" t="s">
        <v>1314</v>
      </c>
      <c r="H981" t="s">
        <v>965</v>
      </c>
      <c r="I981">
        <v>77450</v>
      </c>
      <c r="J981" t="s">
        <v>1315</v>
      </c>
      <c r="K981">
        <v>6469236179</v>
      </c>
      <c r="M981">
        <v>5250</v>
      </c>
      <c r="N981">
        <v>5250</v>
      </c>
      <c r="O981">
        <v>19</v>
      </c>
      <c r="P981">
        <v>107</v>
      </c>
      <c r="Q981">
        <v>47</v>
      </c>
    </row>
    <row r="982" spans="1:17" x14ac:dyDescent="0.3">
      <c r="A982" t="s">
        <v>2555</v>
      </c>
      <c r="B982" t="s">
        <v>2556</v>
      </c>
      <c r="C982" t="s">
        <v>1708</v>
      </c>
      <c r="E982">
        <v>5119</v>
      </c>
      <c r="F982" t="s">
        <v>2175</v>
      </c>
      <c r="G982" t="s">
        <v>2176</v>
      </c>
      <c r="H982" t="s">
        <v>965</v>
      </c>
      <c r="I982">
        <v>77573</v>
      </c>
      <c r="J982" t="s">
        <v>2177</v>
      </c>
      <c r="K982">
        <v>7132528720</v>
      </c>
      <c r="M982">
        <v>2700</v>
      </c>
      <c r="N982">
        <v>2700</v>
      </c>
      <c r="O982">
        <v>20</v>
      </c>
      <c r="P982">
        <v>79</v>
      </c>
      <c r="Q982">
        <v>27</v>
      </c>
    </row>
    <row r="983" spans="1:17" x14ac:dyDescent="0.3">
      <c r="A983" t="s">
        <v>2557</v>
      </c>
      <c r="B983" t="s">
        <v>2558</v>
      </c>
      <c r="C983" t="s">
        <v>1708</v>
      </c>
      <c r="E983">
        <v>5043</v>
      </c>
      <c r="F983" t="s">
        <v>2499</v>
      </c>
      <c r="G983" t="s">
        <v>2500</v>
      </c>
      <c r="H983" t="s">
        <v>965</v>
      </c>
      <c r="I983">
        <v>77511</v>
      </c>
      <c r="J983" t="s">
        <v>2501</v>
      </c>
      <c r="K983">
        <v>8323160543</v>
      </c>
      <c r="M983">
        <v>56000</v>
      </c>
      <c r="N983">
        <v>56000</v>
      </c>
      <c r="O983">
        <v>5</v>
      </c>
      <c r="P983">
        <v>105</v>
      </c>
      <c r="Q983">
        <v>29</v>
      </c>
    </row>
    <row r="984" spans="1:17" x14ac:dyDescent="0.3">
      <c r="A984" t="s">
        <v>2559</v>
      </c>
      <c r="B984" t="s">
        <v>2560</v>
      </c>
      <c r="C984" t="s">
        <v>1708</v>
      </c>
      <c r="E984">
        <v>5274</v>
      </c>
      <c r="F984" t="s">
        <v>2361</v>
      </c>
      <c r="G984" t="s">
        <v>2362</v>
      </c>
      <c r="H984" t="s">
        <v>965</v>
      </c>
      <c r="I984">
        <v>77084</v>
      </c>
      <c r="J984" t="s">
        <v>2363</v>
      </c>
      <c r="K984">
        <v>8325575922</v>
      </c>
      <c r="L984">
        <v>8325575922</v>
      </c>
      <c r="M984">
        <v>8250</v>
      </c>
      <c r="N984">
        <v>8250</v>
      </c>
      <c r="O984">
        <v>20</v>
      </c>
      <c r="P984">
        <v>81</v>
      </c>
      <c r="Q984">
        <v>11</v>
      </c>
    </row>
    <row r="985" spans="1:17" x14ac:dyDescent="0.3">
      <c r="A985" t="s">
        <v>2561</v>
      </c>
      <c r="B985" t="s">
        <v>2562</v>
      </c>
      <c r="C985" t="s">
        <v>1708</v>
      </c>
      <c r="E985">
        <v>5058</v>
      </c>
      <c r="F985" t="s">
        <v>1634</v>
      </c>
      <c r="G985" t="s">
        <v>1635</v>
      </c>
      <c r="H985" t="s">
        <v>965</v>
      </c>
      <c r="I985">
        <v>77489</v>
      </c>
      <c r="J985" t="s">
        <v>1636</v>
      </c>
      <c r="K985">
        <v>2817822623</v>
      </c>
      <c r="M985">
        <v>6750</v>
      </c>
      <c r="N985">
        <v>6750</v>
      </c>
      <c r="O985">
        <v>10</v>
      </c>
      <c r="P985">
        <v>83</v>
      </c>
      <c r="Q985">
        <v>17</v>
      </c>
    </row>
    <row r="986" spans="1:17" x14ac:dyDescent="0.3">
      <c r="A986" t="s">
        <v>2563</v>
      </c>
      <c r="B986" t="s">
        <v>2564</v>
      </c>
      <c r="C986" t="s">
        <v>1708</v>
      </c>
      <c r="E986">
        <v>5274</v>
      </c>
      <c r="F986" t="s">
        <v>2361</v>
      </c>
      <c r="G986" t="s">
        <v>2362</v>
      </c>
      <c r="H986" t="s">
        <v>965</v>
      </c>
      <c r="I986">
        <v>77084</v>
      </c>
      <c r="J986" t="s">
        <v>2363</v>
      </c>
      <c r="K986">
        <v>8325575922</v>
      </c>
      <c r="L986">
        <v>8325575922</v>
      </c>
      <c r="M986">
        <v>36000</v>
      </c>
      <c r="N986">
        <v>37000</v>
      </c>
      <c r="O986">
        <v>18</v>
      </c>
      <c r="P986">
        <v>135</v>
      </c>
      <c r="Q986">
        <v>30</v>
      </c>
    </row>
    <row r="987" spans="1:17" x14ac:dyDescent="0.3">
      <c r="A987" t="s">
        <v>2565</v>
      </c>
      <c r="B987" t="s">
        <v>297</v>
      </c>
      <c r="C987" t="s">
        <v>1708</v>
      </c>
      <c r="E987">
        <v>5149</v>
      </c>
      <c r="F987" t="s">
        <v>662</v>
      </c>
      <c r="G987" t="s">
        <v>2168</v>
      </c>
      <c r="H987" t="s">
        <v>965</v>
      </c>
      <c r="I987">
        <v>77477</v>
      </c>
      <c r="J987" t="s">
        <v>2169</v>
      </c>
      <c r="M987">
        <v>6250</v>
      </c>
      <c r="N987">
        <v>33000</v>
      </c>
      <c r="O987">
        <v>19</v>
      </c>
      <c r="P987">
        <v>104</v>
      </c>
      <c r="Q987">
        <v>29</v>
      </c>
    </row>
    <row r="988" spans="1:17" x14ac:dyDescent="0.3">
      <c r="A988" t="s">
        <v>2566</v>
      </c>
      <c r="B988" t="s">
        <v>2567</v>
      </c>
      <c r="C988" t="s">
        <v>1708</v>
      </c>
      <c r="E988">
        <v>5272</v>
      </c>
      <c r="F988" t="s">
        <v>2568</v>
      </c>
      <c r="G988" t="s">
        <v>2569</v>
      </c>
      <c r="H988" t="s">
        <v>965</v>
      </c>
      <c r="I988">
        <v>77049</v>
      </c>
      <c r="J988" t="s">
        <v>2570</v>
      </c>
      <c r="K988">
        <v>2816602148</v>
      </c>
      <c r="M988">
        <v>21500</v>
      </c>
      <c r="N988">
        <v>21500</v>
      </c>
      <c r="O988">
        <v>24</v>
      </c>
      <c r="P988">
        <v>85</v>
      </c>
      <c r="Q988">
        <v>35</v>
      </c>
    </row>
    <row r="989" spans="1:17" x14ac:dyDescent="0.3">
      <c r="A989" t="s">
        <v>2571</v>
      </c>
      <c r="B989" t="s">
        <v>2572</v>
      </c>
      <c r="C989" t="s">
        <v>1708</v>
      </c>
      <c r="E989">
        <v>5274</v>
      </c>
      <c r="F989" t="s">
        <v>2361</v>
      </c>
      <c r="G989" t="s">
        <v>2362</v>
      </c>
      <c r="H989" t="s">
        <v>965</v>
      </c>
      <c r="I989">
        <v>77084</v>
      </c>
      <c r="J989" t="s">
        <v>2363</v>
      </c>
      <c r="K989">
        <v>8325575922</v>
      </c>
      <c r="L989">
        <v>8325575922</v>
      </c>
      <c r="M989">
        <v>40000</v>
      </c>
      <c r="N989">
        <v>40000</v>
      </c>
      <c r="O989">
        <v>38</v>
      </c>
      <c r="P989">
        <v>177</v>
      </c>
      <c r="Q989">
        <v>44</v>
      </c>
    </row>
    <row r="990" spans="1:17" x14ac:dyDescent="0.3">
      <c r="A990" t="s">
        <v>2573</v>
      </c>
      <c r="B990" t="s">
        <v>2574</v>
      </c>
      <c r="C990" t="s">
        <v>1708</v>
      </c>
      <c r="E990">
        <v>5053</v>
      </c>
      <c r="F990" t="s">
        <v>2575</v>
      </c>
      <c r="G990" t="s">
        <v>2576</v>
      </c>
      <c r="H990" t="s">
        <v>965</v>
      </c>
      <c r="I990">
        <v>77087</v>
      </c>
      <c r="J990" t="s">
        <v>2577</v>
      </c>
      <c r="K990">
        <v>2819142334</v>
      </c>
      <c r="L990">
        <v>8325168738</v>
      </c>
      <c r="M990">
        <v>30000</v>
      </c>
      <c r="N990">
        <v>30000</v>
      </c>
      <c r="O990">
        <v>33</v>
      </c>
      <c r="P990">
        <v>143</v>
      </c>
      <c r="Q990">
        <v>66</v>
      </c>
    </row>
    <row r="991" spans="1:17" x14ac:dyDescent="0.3">
      <c r="A991" t="s">
        <v>2578</v>
      </c>
      <c r="B991" t="s">
        <v>2579</v>
      </c>
      <c r="C991" t="s">
        <v>1708</v>
      </c>
      <c r="E991">
        <v>5274</v>
      </c>
      <c r="F991" t="s">
        <v>2361</v>
      </c>
      <c r="G991" t="s">
        <v>2362</v>
      </c>
      <c r="H991" t="s">
        <v>965</v>
      </c>
      <c r="I991">
        <v>77084</v>
      </c>
      <c r="J991" t="s">
        <v>2363</v>
      </c>
      <c r="K991">
        <v>8325575922</v>
      </c>
      <c r="L991">
        <v>8325575922</v>
      </c>
      <c r="M991">
        <v>34600</v>
      </c>
      <c r="N991">
        <v>34600</v>
      </c>
      <c r="O991">
        <v>88</v>
      </c>
      <c r="P991">
        <v>132</v>
      </c>
      <c r="Q991">
        <v>36</v>
      </c>
    </row>
    <row r="992" spans="1:17" x14ac:dyDescent="0.3">
      <c r="A992" t="s">
        <v>2580</v>
      </c>
      <c r="B992" t="s">
        <v>299</v>
      </c>
      <c r="C992" t="s">
        <v>1708</v>
      </c>
      <c r="E992">
        <v>5149</v>
      </c>
      <c r="F992" t="s">
        <v>662</v>
      </c>
      <c r="G992" t="s">
        <v>2168</v>
      </c>
      <c r="H992" t="s">
        <v>965</v>
      </c>
      <c r="I992">
        <v>77477</v>
      </c>
      <c r="J992" t="s">
        <v>2169</v>
      </c>
      <c r="M992">
        <v>16500</v>
      </c>
      <c r="N992">
        <v>38000</v>
      </c>
      <c r="O992">
        <v>9</v>
      </c>
      <c r="P992">
        <v>77</v>
      </c>
      <c r="Q992">
        <v>23</v>
      </c>
    </row>
    <row r="993" spans="1:17" x14ac:dyDescent="0.3">
      <c r="A993" t="s">
        <v>2581</v>
      </c>
      <c r="B993" t="s">
        <v>301</v>
      </c>
      <c r="C993" t="s">
        <v>1708</v>
      </c>
      <c r="E993">
        <v>5149</v>
      </c>
      <c r="F993" t="s">
        <v>662</v>
      </c>
      <c r="G993" t="s">
        <v>2168</v>
      </c>
      <c r="H993" t="s">
        <v>965</v>
      </c>
      <c r="I993">
        <v>77477</v>
      </c>
      <c r="J993" t="s">
        <v>2169</v>
      </c>
      <c r="M993">
        <v>6250</v>
      </c>
      <c r="N993">
        <v>31000</v>
      </c>
      <c r="O993">
        <v>7</v>
      </c>
      <c r="P993">
        <v>90</v>
      </c>
      <c r="Q993">
        <v>24</v>
      </c>
    </row>
    <row r="994" spans="1:17" x14ac:dyDescent="0.3">
      <c r="A994" t="s">
        <v>1698</v>
      </c>
      <c r="B994" t="s">
        <v>2582</v>
      </c>
      <c r="C994" t="s">
        <v>1708</v>
      </c>
      <c r="E994">
        <v>5019</v>
      </c>
      <c r="F994" t="s">
        <v>2583</v>
      </c>
      <c r="G994" t="s">
        <v>2584</v>
      </c>
      <c r="H994" t="s">
        <v>965</v>
      </c>
      <c r="I994">
        <v>77075</v>
      </c>
      <c r="J994" t="s">
        <v>2585</v>
      </c>
      <c r="K994">
        <v>8328156753</v>
      </c>
      <c r="M994">
        <v>30500</v>
      </c>
      <c r="N994">
        <v>33000</v>
      </c>
      <c r="O994">
        <v>19</v>
      </c>
      <c r="P994">
        <v>137</v>
      </c>
      <c r="Q994">
        <v>27</v>
      </c>
    </row>
    <row r="995" spans="1:17" x14ac:dyDescent="0.3">
      <c r="A995" t="s">
        <v>2586</v>
      </c>
      <c r="B995" t="s">
        <v>2587</v>
      </c>
      <c r="C995" t="s">
        <v>1708</v>
      </c>
      <c r="E995">
        <v>5155</v>
      </c>
      <c r="F995" t="s">
        <v>2233</v>
      </c>
      <c r="G995" t="s">
        <v>2234</v>
      </c>
      <c r="H995" t="s">
        <v>965</v>
      </c>
      <c r="I995">
        <v>77493</v>
      </c>
      <c r="J995" t="s">
        <v>2235</v>
      </c>
      <c r="K995" t="s">
        <v>2236</v>
      </c>
      <c r="M995">
        <v>37000</v>
      </c>
      <c r="N995">
        <v>37500</v>
      </c>
      <c r="O995">
        <v>42</v>
      </c>
      <c r="P995">
        <v>170</v>
      </c>
      <c r="Q995">
        <v>78</v>
      </c>
    </row>
    <row r="996" spans="1:17" x14ac:dyDescent="0.3">
      <c r="A996" t="s">
        <v>2588</v>
      </c>
      <c r="B996" t="s">
        <v>2589</v>
      </c>
      <c r="C996" t="s">
        <v>1708</v>
      </c>
      <c r="E996">
        <v>5155</v>
      </c>
      <c r="F996" t="s">
        <v>2233</v>
      </c>
      <c r="G996" t="s">
        <v>2234</v>
      </c>
      <c r="H996" t="s">
        <v>965</v>
      </c>
      <c r="I996">
        <v>77493</v>
      </c>
      <c r="J996" t="s">
        <v>2235</v>
      </c>
      <c r="K996" t="s">
        <v>2236</v>
      </c>
      <c r="M996">
        <v>37500</v>
      </c>
      <c r="N996">
        <v>37500</v>
      </c>
      <c r="O996">
        <v>42</v>
      </c>
      <c r="P996">
        <v>156</v>
      </c>
      <c r="Q996">
        <v>77</v>
      </c>
    </row>
    <row r="997" spans="1:17" x14ac:dyDescent="0.3">
      <c r="A997" t="s">
        <v>2590</v>
      </c>
      <c r="B997" t="s">
        <v>470</v>
      </c>
      <c r="C997" t="s">
        <v>1708</v>
      </c>
      <c r="E997">
        <v>5162</v>
      </c>
      <c r="F997" t="s">
        <v>644</v>
      </c>
      <c r="G997" t="s">
        <v>968</v>
      </c>
      <c r="H997" t="s">
        <v>965</v>
      </c>
      <c r="I997">
        <v>77477</v>
      </c>
      <c r="J997" t="s">
        <v>969</v>
      </c>
      <c r="K997" t="s">
        <v>970</v>
      </c>
      <c r="M997">
        <v>2300</v>
      </c>
      <c r="N997">
        <v>5500</v>
      </c>
      <c r="O997">
        <v>13</v>
      </c>
      <c r="P997">
        <v>49</v>
      </c>
      <c r="Q997">
        <v>16</v>
      </c>
    </row>
    <row r="998" spans="1:17" x14ac:dyDescent="0.3">
      <c r="A998" t="s">
        <v>2591</v>
      </c>
      <c r="B998" t="s">
        <v>2592</v>
      </c>
      <c r="C998" t="s">
        <v>1708</v>
      </c>
      <c r="E998">
        <v>5066</v>
      </c>
      <c r="F998" t="s">
        <v>1672</v>
      </c>
      <c r="G998" t="s">
        <v>1673</v>
      </c>
      <c r="H998" t="s">
        <v>965</v>
      </c>
      <c r="I998">
        <v>77515</v>
      </c>
      <c r="J998" t="s">
        <v>1674</v>
      </c>
      <c r="K998">
        <v>9796127045</v>
      </c>
      <c r="M998">
        <v>30000</v>
      </c>
      <c r="N998">
        <v>30000</v>
      </c>
      <c r="O998">
        <v>20</v>
      </c>
      <c r="P998">
        <v>109</v>
      </c>
      <c r="Q998">
        <v>45</v>
      </c>
    </row>
    <row r="999" spans="1:17" x14ac:dyDescent="0.3">
      <c r="A999" t="s">
        <v>945</v>
      </c>
      <c r="B999" t="s">
        <v>263</v>
      </c>
      <c r="D999" t="s">
        <v>950</v>
      </c>
      <c r="E999" t="s">
        <v>951</v>
      </c>
      <c r="F999" t="s">
        <v>655</v>
      </c>
      <c r="G999" t="s">
        <v>952</v>
      </c>
      <c r="H999" t="s">
        <v>953</v>
      </c>
      <c r="I999" t="s">
        <v>954</v>
      </c>
      <c r="J999" t="s">
        <v>955</v>
      </c>
      <c r="K999" t="s">
        <v>956</v>
      </c>
      <c r="L999" t="s">
        <v>957</v>
      </c>
      <c r="M999" t="s">
        <v>958</v>
      </c>
      <c r="N999" t="s">
        <v>959</v>
      </c>
      <c r="O999" t="s">
        <v>960</v>
      </c>
      <c r="P999" t="s">
        <v>961</v>
      </c>
      <c r="Q999" t="s">
        <v>962</v>
      </c>
    </row>
    <row r="1000" spans="1:17" x14ac:dyDescent="0.3">
      <c r="A1000" t="s">
        <v>445</v>
      </c>
      <c r="B1000" t="s">
        <v>1422</v>
      </c>
      <c r="C1000" t="s">
        <v>1709</v>
      </c>
      <c r="E1000">
        <v>5129</v>
      </c>
      <c r="F1000" t="s">
        <v>645</v>
      </c>
      <c r="G1000" t="s">
        <v>2268</v>
      </c>
      <c r="H1000" t="s">
        <v>2269</v>
      </c>
      <c r="I1000" t="s">
        <v>2270</v>
      </c>
      <c r="J1000" t="s">
        <v>2271</v>
      </c>
      <c r="K1000">
        <v>7765000046</v>
      </c>
      <c r="M1000">
        <v>7000</v>
      </c>
      <c r="N1000">
        <v>7000</v>
      </c>
      <c r="O1000">
        <v>33</v>
      </c>
      <c r="P1000">
        <v>195</v>
      </c>
      <c r="Q1000">
        <v>94</v>
      </c>
    </row>
    <row r="1001" spans="1:17" x14ac:dyDescent="0.3">
      <c r="A1001" t="s">
        <v>266</v>
      </c>
      <c r="B1001" t="s">
        <v>2593</v>
      </c>
      <c r="C1001" t="s">
        <v>1709</v>
      </c>
      <c r="E1001">
        <v>5227</v>
      </c>
      <c r="F1001" t="s">
        <v>2594</v>
      </c>
      <c r="G1001" t="s">
        <v>2595</v>
      </c>
      <c r="H1001" t="s">
        <v>965</v>
      </c>
      <c r="I1001">
        <v>77061</v>
      </c>
      <c r="J1001" t="s">
        <v>2596</v>
      </c>
      <c r="K1001" t="s">
        <v>2597</v>
      </c>
      <c r="M1001">
        <v>59000</v>
      </c>
      <c r="N1001">
        <v>59500</v>
      </c>
      <c r="O1001">
        <v>59</v>
      </c>
      <c r="P1001">
        <v>238</v>
      </c>
      <c r="Q1001">
        <v>59</v>
      </c>
    </row>
    <row r="1002" spans="1:17" x14ac:dyDescent="0.3">
      <c r="A1002">
        <v>4</v>
      </c>
      <c r="B1002" t="s">
        <v>1745</v>
      </c>
      <c r="C1002" t="s">
        <v>1709</v>
      </c>
      <c r="E1002">
        <v>5187</v>
      </c>
      <c r="F1002" t="s">
        <v>658</v>
      </c>
      <c r="G1002" t="s">
        <v>964</v>
      </c>
      <c r="H1002" t="s">
        <v>965</v>
      </c>
      <c r="I1002">
        <v>77705</v>
      </c>
      <c r="J1002" t="s">
        <v>966</v>
      </c>
      <c r="K1002">
        <v>8322973609</v>
      </c>
      <c r="M1002">
        <v>4100</v>
      </c>
      <c r="N1002">
        <v>4100</v>
      </c>
      <c r="O1002">
        <v>10</v>
      </c>
      <c r="P1002">
        <v>139</v>
      </c>
      <c r="Q1002">
        <v>22</v>
      </c>
    </row>
    <row r="1003" spans="1:17" x14ac:dyDescent="0.3">
      <c r="A1003">
        <v>5</v>
      </c>
      <c r="B1003" t="s">
        <v>1082</v>
      </c>
      <c r="C1003" t="s">
        <v>1709</v>
      </c>
      <c r="E1003">
        <v>5110</v>
      </c>
      <c r="F1003" t="s">
        <v>2598</v>
      </c>
      <c r="G1003" t="s">
        <v>2599</v>
      </c>
      <c r="H1003" t="s">
        <v>965</v>
      </c>
      <c r="I1003">
        <v>77498</v>
      </c>
      <c r="J1003" t="s">
        <v>2600</v>
      </c>
      <c r="K1003">
        <v>8322758876</v>
      </c>
      <c r="M1003">
        <v>1500</v>
      </c>
      <c r="N1003">
        <v>1500</v>
      </c>
      <c r="O1003">
        <v>7</v>
      </c>
      <c r="P1003">
        <v>45</v>
      </c>
      <c r="Q1003">
        <v>17</v>
      </c>
    </row>
    <row r="1004" spans="1:17" x14ac:dyDescent="0.3">
      <c r="A1004" t="s">
        <v>269</v>
      </c>
      <c r="B1004" t="s">
        <v>1863</v>
      </c>
      <c r="C1004" t="s">
        <v>1709</v>
      </c>
      <c r="E1004">
        <v>5129</v>
      </c>
      <c r="F1004" t="s">
        <v>645</v>
      </c>
      <c r="G1004" t="s">
        <v>2268</v>
      </c>
      <c r="H1004" t="s">
        <v>2269</v>
      </c>
      <c r="I1004" t="s">
        <v>2270</v>
      </c>
      <c r="J1004" t="s">
        <v>2271</v>
      </c>
      <c r="K1004">
        <v>7765000046</v>
      </c>
      <c r="M1004">
        <v>5500</v>
      </c>
      <c r="N1004">
        <v>5500</v>
      </c>
      <c r="O1004">
        <v>12</v>
      </c>
      <c r="P1004">
        <v>68</v>
      </c>
      <c r="Q1004">
        <v>13</v>
      </c>
    </row>
    <row r="1005" spans="1:17" x14ac:dyDescent="0.3">
      <c r="A1005">
        <v>6</v>
      </c>
      <c r="B1005" t="s">
        <v>1722</v>
      </c>
      <c r="C1005" t="s">
        <v>1709</v>
      </c>
      <c r="E1005">
        <v>5202</v>
      </c>
      <c r="F1005" t="s">
        <v>2601</v>
      </c>
      <c r="G1005" t="s">
        <v>2602</v>
      </c>
      <c r="H1005" t="s">
        <v>965</v>
      </c>
      <c r="I1005">
        <v>77081</v>
      </c>
      <c r="J1005" t="s">
        <v>2603</v>
      </c>
      <c r="K1005" t="s">
        <v>2604</v>
      </c>
      <c r="M1005">
        <v>1600</v>
      </c>
      <c r="N1005">
        <v>1600</v>
      </c>
      <c r="O1005">
        <v>19</v>
      </c>
      <c r="P1005">
        <v>93</v>
      </c>
      <c r="Q1005">
        <v>27</v>
      </c>
    </row>
    <row r="1006" spans="1:17" x14ac:dyDescent="0.3">
      <c r="A1006" t="s">
        <v>449</v>
      </c>
      <c r="B1006" t="s">
        <v>2605</v>
      </c>
      <c r="C1006" t="s">
        <v>1709</v>
      </c>
      <c r="E1006">
        <v>5129</v>
      </c>
      <c r="F1006" t="s">
        <v>645</v>
      </c>
      <c r="G1006" t="s">
        <v>2268</v>
      </c>
      <c r="H1006" t="s">
        <v>2269</v>
      </c>
      <c r="I1006" t="s">
        <v>2270</v>
      </c>
      <c r="J1006" t="s">
        <v>2271</v>
      </c>
      <c r="K1006">
        <v>7765000046</v>
      </c>
      <c r="M1006">
        <v>5500</v>
      </c>
      <c r="N1006">
        <v>5500</v>
      </c>
      <c r="O1006">
        <v>20</v>
      </c>
      <c r="P1006">
        <v>172</v>
      </c>
      <c r="Q1006">
        <v>26</v>
      </c>
    </row>
    <row r="1007" spans="1:17" x14ac:dyDescent="0.3">
      <c r="A1007" t="s">
        <v>271</v>
      </c>
      <c r="B1007" t="s">
        <v>2041</v>
      </c>
      <c r="C1007" t="s">
        <v>1709</v>
      </c>
      <c r="E1007">
        <v>5181</v>
      </c>
      <c r="F1007" t="s">
        <v>2606</v>
      </c>
      <c r="G1007" t="s">
        <v>2607</v>
      </c>
      <c r="H1007" t="s">
        <v>965</v>
      </c>
      <c r="I1007">
        <v>77493</v>
      </c>
      <c r="J1007" t="s">
        <v>2608</v>
      </c>
      <c r="K1007">
        <v>2816609202</v>
      </c>
      <c r="M1007">
        <v>25500</v>
      </c>
      <c r="N1007">
        <v>26500</v>
      </c>
      <c r="O1007">
        <v>49</v>
      </c>
      <c r="P1007">
        <v>192</v>
      </c>
      <c r="Q1007">
        <v>64</v>
      </c>
    </row>
    <row r="1008" spans="1:17" x14ac:dyDescent="0.3">
      <c r="A1008" t="s">
        <v>273</v>
      </c>
      <c r="B1008" t="s">
        <v>2609</v>
      </c>
      <c r="C1008" t="s">
        <v>1709</v>
      </c>
      <c r="E1008">
        <v>5095</v>
      </c>
      <c r="F1008" t="s">
        <v>668</v>
      </c>
      <c r="G1008" t="s">
        <v>2610</v>
      </c>
      <c r="H1008" t="s">
        <v>965</v>
      </c>
      <c r="I1008">
        <v>77377</v>
      </c>
      <c r="J1008" t="s">
        <v>2611</v>
      </c>
      <c r="K1008">
        <v>7029605668</v>
      </c>
      <c r="M1008">
        <v>88000</v>
      </c>
      <c r="N1008">
        <v>102000</v>
      </c>
      <c r="O1008">
        <v>52</v>
      </c>
      <c r="P1008">
        <v>252</v>
      </c>
      <c r="Q1008">
        <v>69</v>
      </c>
    </row>
    <row r="1009" spans="1:17" x14ac:dyDescent="0.3">
      <c r="A1009">
        <v>9</v>
      </c>
      <c r="B1009" t="s">
        <v>2612</v>
      </c>
      <c r="C1009" t="s">
        <v>1709</v>
      </c>
      <c r="E1009">
        <v>5151</v>
      </c>
      <c r="F1009" t="s">
        <v>2613</v>
      </c>
      <c r="G1009" t="s">
        <v>2614</v>
      </c>
      <c r="H1009" t="s">
        <v>965</v>
      </c>
      <c r="I1009">
        <v>77545</v>
      </c>
      <c r="J1009" t="s">
        <v>2615</v>
      </c>
      <c r="K1009">
        <v>2819246564</v>
      </c>
      <c r="M1009">
        <v>775</v>
      </c>
      <c r="N1009">
        <v>775</v>
      </c>
      <c r="O1009">
        <v>12</v>
      </c>
      <c r="P1009">
        <v>68</v>
      </c>
      <c r="Q1009">
        <v>27</v>
      </c>
    </row>
    <row r="1010" spans="1:17" x14ac:dyDescent="0.3">
      <c r="A1010" t="s">
        <v>275</v>
      </c>
      <c r="B1010" t="s">
        <v>2616</v>
      </c>
      <c r="C1010" t="s">
        <v>1709</v>
      </c>
      <c r="E1010">
        <v>5233</v>
      </c>
      <c r="F1010" t="s">
        <v>2617</v>
      </c>
      <c r="G1010" t="s">
        <v>2618</v>
      </c>
      <c r="H1010" t="s">
        <v>965</v>
      </c>
      <c r="I1010">
        <v>77089</v>
      </c>
      <c r="J1010" t="s">
        <v>2619</v>
      </c>
      <c r="K1010">
        <v>2818999801</v>
      </c>
      <c r="M1010">
        <v>55000</v>
      </c>
      <c r="N1010">
        <v>55000</v>
      </c>
      <c r="O1010">
        <v>41</v>
      </c>
      <c r="P1010">
        <v>284</v>
      </c>
      <c r="Q1010">
        <v>80</v>
      </c>
    </row>
    <row r="1011" spans="1:17" x14ac:dyDescent="0.3">
      <c r="A1011">
        <v>10</v>
      </c>
      <c r="B1011" t="s">
        <v>2620</v>
      </c>
      <c r="C1011" t="s">
        <v>1709</v>
      </c>
      <c r="E1011">
        <v>5218</v>
      </c>
      <c r="F1011" t="s">
        <v>678</v>
      </c>
      <c r="G1011" t="s">
        <v>2621</v>
      </c>
      <c r="H1011" t="s">
        <v>965</v>
      </c>
      <c r="I1011">
        <v>77494</v>
      </c>
      <c r="J1011" t="s">
        <v>2622</v>
      </c>
      <c r="K1011" t="s">
        <v>2623</v>
      </c>
      <c r="L1011" t="s">
        <v>2624</v>
      </c>
      <c r="M1011">
        <v>1500</v>
      </c>
      <c r="N1011">
        <v>1550</v>
      </c>
      <c r="O1011">
        <v>6</v>
      </c>
      <c r="P1011">
        <v>82</v>
      </c>
      <c r="Q1011">
        <v>25</v>
      </c>
    </row>
    <row r="1012" spans="1:17" x14ac:dyDescent="0.3">
      <c r="A1012" t="s">
        <v>277</v>
      </c>
      <c r="B1012" t="s">
        <v>2625</v>
      </c>
      <c r="C1012" t="s">
        <v>1709</v>
      </c>
      <c r="E1012">
        <v>5230</v>
      </c>
      <c r="F1012" t="s">
        <v>2626</v>
      </c>
      <c r="G1012" t="s">
        <v>2627</v>
      </c>
      <c r="H1012" t="s">
        <v>965</v>
      </c>
      <c r="I1012">
        <v>77388</v>
      </c>
      <c r="J1012" t="s">
        <v>2628</v>
      </c>
      <c r="K1012">
        <v>5516558783</v>
      </c>
      <c r="M1012">
        <v>32500</v>
      </c>
      <c r="N1012">
        <v>32500</v>
      </c>
      <c r="O1012">
        <v>68</v>
      </c>
      <c r="P1012">
        <v>297</v>
      </c>
      <c r="Q1012">
        <v>84</v>
      </c>
    </row>
    <row r="1013" spans="1:17" x14ac:dyDescent="0.3">
      <c r="A1013">
        <v>11</v>
      </c>
      <c r="B1013" t="s">
        <v>604</v>
      </c>
      <c r="C1013" t="s">
        <v>1709</v>
      </c>
      <c r="E1013">
        <v>5116</v>
      </c>
      <c r="F1013" t="s">
        <v>642</v>
      </c>
      <c r="G1013" t="s">
        <v>1677</v>
      </c>
      <c r="H1013" t="s">
        <v>965</v>
      </c>
      <c r="I1013">
        <v>77469</v>
      </c>
      <c r="J1013" t="s">
        <v>1678</v>
      </c>
      <c r="K1013">
        <v>7135454257</v>
      </c>
      <c r="M1013">
        <v>1500</v>
      </c>
      <c r="N1013">
        <v>1500</v>
      </c>
      <c r="O1013">
        <v>4</v>
      </c>
      <c r="P1013">
        <v>57</v>
      </c>
      <c r="Q1013">
        <v>10</v>
      </c>
    </row>
    <row r="1014" spans="1:17" x14ac:dyDescent="0.3">
      <c r="A1014" t="s">
        <v>451</v>
      </c>
      <c r="B1014" t="s">
        <v>1827</v>
      </c>
      <c r="C1014" t="s">
        <v>1709</v>
      </c>
      <c r="E1014">
        <v>5028</v>
      </c>
      <c r="F1014" t="s">
        <v>1555</v>
      </c>
      <c r="G1014" t="s">
        <v>1556</v>
      </c>
      <c r="H1014" t="s">
        <v>965</v>
      </c>
      <c r="I1014">
        <v>77336</v>
      </c>
      <c r="J1014" t="s">
        <v>1557</v>
      </c>
      <c r="K1014" t="s">
        <v>1558</v>
      </c>
      <c r="M1014">
        <v>850</v>
      </c>
      <c r="N1014">
        <v>975</v>
      </c>
      <c r="O1014">
        <v>6</v>
      </c>
      <c r="P1014">
        <v>128</v>
      </c>
      <c r="Q1014">
        <v>13</v>
      </c>
    </row>
    <row r="1015" spans="1:17" x14ac:dyDescent="0.3">
      <c r="A1015" t="s">
        <v>279</v>
      </c>
      <c r="B1015" t="s">
        <v>2052</v>
      </c>
      <c r="C1015" t="s">
        <v>1709</v>
      </c>
      <c r="E1015">
        <v>5129</v>
      </c>
      <c r="F1015" t="s">
        <v>645</v>
      </c>
      <c r="G1015" t="s">
        <v>2268</v>
      </c>
      <c r="H1015" t="s">
        <v>2269</v>
      </c>
      <c r="I1015" t="s">
        <v>2270</v>
      </c>
      <c r="J1015" t="s">
        <v>2271</v>
      </c>
      <c r="K1015">
        <v>7765000046</v>
      </c>
      <c r="M1015">
        <v>7250</v>
      </c>
      <c r="N1015">
        <v>7500</v>
      </c>
      <c r="O1015">
        <v>16</v>
      </c>
      <c r="P1015">
        <v>64</v>
      </c>
      <c r="Q1015">
        <v>17</v>
      </c>
    </row>
    <row r="1016" spans="1:17" x14ac:dyDescent="0.3">
      <c r="A1016">
        <v>13</v>
      </c>
      <c r="B1016" t="s">
        <v>2620</v>
      </c>
      <c r="C1016" t="s">
        <v>1709</v>
      </c>
      <c r="E1016">
        <v>5218</v>
      </c>
      <c r="F1016" t="s">
        <v>678</v>
      </c>
      <c r="G1016" t="s">
        <v>2621</v>
      </c>
      <c r="H1016" t="s">
        <v>965</v>
      </c>
      <c r="I1016">
        <v>77494</v>
      </c>
      <c r="J1016" t="s">
        <v>2622</v>
      </c>
      <c r="K1016" t="s">
        <v>2623</v>
      </c>
      <c r="L1016" t="s">
        <v>2624</v>
      </c>
      <c r="M1016">
        <v>1575</v>
      </c>
      <c r="N1016">
        <v>1575</v>
      </c>
      <c r="O1016">
        <v>9</v>
      </c>
      <c r="P1016">
        <v>62</v>
      </c>
      <c r="Q1016">
        <v>22</v>
      </c>
    </row>
    <row r="1017" spans="1:17" x14ac:dyDescent="0.3">
      <c r="A1017" t="s">
        <v>281</v>
      </c>
      <c r="B1017" t="s">
        <v>2629</v>
      </c>
      <c r="C1017" t="s">
        <v>1709</v>
      </c>
      <c r="E1017">
        <v>5232</v>
      </c>
      <c r="F1017" t="s">
        <v>1303</v>
      </c>
      <c r="G1017" t="s">
        <v>1304</v>
      </c>
      <c r="H1017" t="s">
        <v>965</v>
      </c>
      <c r="I1017">
        <v>77377</v>
      </c>
      <c r="J1017" t="s">
        <v>1305</v>
      </c>
      <c r="K1017">
        <v>7133053537</v>
      </c>
      <c r="M1017">
        <v>45500</v>
      </c>
      <c r="N1017">
        <v>45500</v>
      </c>
      <c r="O1017">
        <v>39</v>
      </c>
      <c r="P1017">
        <v>258</v>
      </c>
      <c r="Q1017">
        <v>64</v>
      </c>
    </row>
    <row r="1018" spans="1:17" x14ac:dyDescent="0.3">
      <c r="A1018" t="s">
        <v>286</v>
      </c>
      <c r="B1018" t="s">
        <v>2630</v>
      </c>
      <c r="C1018" t="s">
        <v>1709</v>
      </c>
      <c r="E1018">
        <v>5165</v>
      </c>
      <c r="F1018" t="s">
        <v>2631</v>
      </c>
      <c r="G1018" t="s">
        <v>2632</v>
      </c>
      <c r="H1018" t="s">
        <v>965</v>
      </c>
      <c r="I1018">
        <v>78155</v>
      </c>
      <c r="J1018" t="s">
        <v>2633</v>
      </c>
      <c r="K1018">
        <v>5123607034</v>
      </c>
      <c r="M1018">
        <v>7000</v>
      </c>
      <c r="N1018">
        <v>7000</v>
      </c>
      <c r="O1018">
        <v>24</v>
      </c>
      <c r="P1018">
        <v>217</v>
      </c>
      <c r="Q1018">
        <v>56</v>
      </c>
    </row>
    <row r="1019" spans="1:17" x14ac:dyDescent="0.3">
      <c r="A1019">
        <v>16</v>
      </c>
      <c r="B1019" t="s">
        <v>2634</v>
      </c>
      <c r="C1019" t="s">
        <v>1709</v>
      </c>
      <c r="E1019">
        <v>5235</v>
      </c>
      <c r="F1019" t="s">
        <v>663</v>
      </c>
      <c r="G1019" t="s">
        <v>2309</v>
      </c>
      <c r="H1019" t="s">
        <v>965</v>
      </c>
      <c r="I1019">
        <v>77081</v>
      </c>
      <c r="J1019" t="s">
        <v>2310</v>
      </c>
      <c r="K1019" t="s">
        <v>2311</v>
      </c>
      <c r="M1019">
        <v>1000</v>
      </c>
      <c r="N1019">
        <v>1000</v>
      </c>
      <c r="O1019">
        <v>18</v>
      </c>
      <c r="P1019">
        <v>51</v>
      </c>
      <c r="Q1019">
        <v>26</v>
      </c>
    </row>
    <row r="1020" spans="1:17" x14ac:dyDescent="0.3">
      <c r="A1020" t="s">
        <v>457</v>
      </c>
      <c r="B1020" t="s">
        <v>2635</v>
      </c>
      <c r="C1020" t="s">
        <v>1709</v>
      </c>
      <c r="E1020">
        <v>5085</v>
      </c>
      <c r="F1020" t="s">
        <v>2636</v>
      </c>
      <c r="G1020" t="s">
        <v>2637</v>
      </c>
      <c r="H1020" t="s">
        <v>965</v>
      </c>
      <c r="I1020">
        <v>77498</v>
      </c>
      <c r="J1020" t="s">
        <v>2638</v>
      </c>
      <c r="K1020">
        <v>8322830578</v>
      </c>
      <c r="M1020">
        <v>6000</v>
      </c>
      <c r="N1020">
        <v>6000</v>
      </c>
      <c r="O1020">
        <v>32</v>
      </c>
      <c r="P1020">
        <v>176</v>
      </c>
      <c r="Q1020">
        <v>28</v>
      </c>
    </row>
    <row r="1021" spans="1:17" x14ac:dyDescent="0.3">
      <c r="A1021">
        <v>17</v>
      </c>
      <c r="B1021" t="s">
        <v>2639</v>
      </c>
      <c r="C1021" t="s">
        <v>1709</v>
      </c>
      <c r="E1021">
        <v>5129</v>
      </c>
      <c r="F1021" t="s">
        <v>645</v>
      </c>
      <c r="G1021" t="s">
        <v>2268</v>
      </c>
      <c r="H1021" t="s">
        <v>2269</v>
      </c>
      <c r="I1021" t="s">
        <v>2270</v>
      </c>
      <c r="J1021" t="s">
        <v>2271</v>
      </c>
      <c r="K1021">
        <v>7765000046</v>
      </c>
      <c r="M1021">
        <v>975</v>
      </c>
      <c r="N1021">
        <v>975</v>
      </c>
      <c r="O1021">
        <v>12</v>
      </c>
      <c r="P1021">
        <v>35</v>
      </c>
      <c r="Q1021">
        <v>18</v>
      </c>
    </row>
    <row r="1022" spans="1:17" x14ac:dyDescent="0.3">
      <c r="A1022" t="s">
        <v>288</v>
      </c>
      <c r="B1022" t="s">
        <v>2640</v>
      </c>
      <c r="C1022" t="s">
        <v>1709</v>
      </c>
      <c r="E1022">
        <v>5232</v>
      </c>
      <c r="F1022" t="s">
        <v>1303</v>
      </c>
      <c r="G1022" t="s">
        <v>1304</v>
      </c>
      <c r="H1022" t="s">
        <v>965</v>
      </c>
      <c r="I1022">
        <v>77377</v>
      </c>
      <c r="J1022" t="s">
        <v>1305</v>
      </c>
      <c r="K1022">
        <v>7133053537</v>
      </c>
      <c r="M1022">
        <v>10500</v>
      </c>
      <c r="N1022">
        <v>12000</v>
      </c>
      <c r="O1022">
        <v>46</v>
      </c>
      <c r="P1022">
        <v>229</v>
      </c>
      <c r="Q1022">
        <v>59</v>
      </c>
    </row>
    <row r="1023" spans="1:17" x14ac:dyDescent="0.3">
      <c r="A1023">
        <v>18</v>
      </c>
      <c r="B1023" t="s">
        <v>2641</v>
      </c>
      <c r="C1023" t="s">
        <v>1709</v>
      </c>
      <c r="E1023">
        <v>5157</v>
      </c>
      <c r="F1023" t="s">
        <v>666</v>
      </c>
      <c r="G1023" t="s">
        <v>2642</v>
      </c>
      <c r="H1023" t="s">
        <v>965</v>
      </c>
      <c r="I1023">
        <v>77536</v>
      </c>
      <c r="J1023" t="s">
        <v>2643</v>
      </c>
      <c r="K1023">
        <v>8329442772</v>
      </c>
      <c r="M1023">
        <v>1550</v>
      </c>
      <c r="N1023">
        <v>1550</v>
      </c>
      <c r="O1023">
        <v>17</v>
      </c>
      <c r="P1023">
        <v>45</v>
      </c>
      <c r="Q1023">
        <v>13</v>
      </c>
    </row>
    <row r="1024" spans="1:17" x14ac:dyDescent="0.3">
      <c r="A1024" t="s">
        <v>290</v>
      </c>
      <c r="B1024" t="s">
        <v>620</v>
      </c>
      <c r="C1024" t="s">
        <v>1709</v>
      </c>
      <c r="E1024">
        <v>5213</v>
      </c>
      <c r="F1024" t="s">
        <v>644</v>
      </c>
      <c r="G1024" t="s">
        <v>968</v>
      </c>
      <c r="H1024" t="s">
        <v>965</v>
      </c>
      <c r="I1024">
        <v>77477</v>
      </c>
      <c r="J1024" t="s">
        <v>969</v>
      </c>
      <c r="K1024" t="s">
        <v>970</v>
      </c>
      <c r="M1024">
        <v>3400</v>
      </c>
      <c r="N1024">
        <v>7500</v>
      </c>
      <c r="O1024">
        <v>17</v>
      </c>
      <c r="P1024">
        <v>148</v>
      </c>
      <c r="Q1024">
        <v>50</v>
      </c>
    </row>
    <row r="1025" spans="1:17" x14ac:dyDescent="0.3">
      <c r="A1025">
        <v>19</v>
      </c>
      <c r="B1025" t="s">
        <v>2644</v>
      </c>
      <c r="C1025" t="s">
        <v>1709</v>
      </c>
      <c r="E1025">
        <v>5187</v>
      </c>
      <c r="F1025" t="s">
        <v>658</v>
      </c>
      <c r="G1025" t="s">
        <v>964</v>
      </c>
      <c r="H1025" t="s">
        <v>965</v>
      </c>
      <c r="I1025">
        <v>77705</v>
      </c>
      <c r="J1025" t="s">
        <v>966</v>
      </c>
      <c r="K1025">
        <v>8322973609</v>
      </c>
      <c r="M1025">
        <v>500</v>
      </c>
      <c r="N1025">
        <v>500</v>
      </c>
      <c r="O1025">
        <v>1</v>
      </c>
      <c r="P1025">
        <v>31</v>
      </c>
      <c r="Q1025">
        <v>3</v>
      </c>
    </row>
    <row r="1026" spans="1:17" x14ac:dyDescent="0.3">
      <c r="A1026" t="s">
        <v>370</v>
      </c>
      <c r="B1026" t="s">
        <v>1723</v>
      </c>
      <c r="C1026" t="s">
        <v>1709</v>
      </c>
      <c r="E1026">
        <v>5168</v>
      </c>
      <c r="F1026" t="s">
        <v>643</v>
      </c>
      <c r="G1026" t="s">
        <v>2275</v>
      </c>
      <c r="H1026" t="s">
        <v>965</v>
      </c>
      <c r="I1026">
        <v>77036</v>
      </c>
      <c r="J1026" t="s">
        <v>2276</v>
      </c>
      <c r="K1026">
        <v>3238646733</v>
      </c>
      <c r="M1026">
        <v>2000</v>
      </c>
      <c r="N1026">
        <v>2000</v>
      </c>
      <c r="O1026">
        <v>24</v>
      </c>
      <c r="P1026">
        <v>120</v>
      </c>
      <c r="Q1026">
        <v>27</v>
      </c>
    </row>
    <row r="1027" spans="1:17" x14ac:dyDescent="0.3">
      <c r="A1027">
        <v>20</v>
      </c>
      <c r="B1027" t="s">
        <v>2645</v>
      </c>
      <c r="C1027" t="s">
        <v>1709</v>
      </c>
      <c r="E1027">
        <v>5029</v>
      </c>
      <c r="F1027" t="s">
        <v>2646</v>
      </c>
      <c r="G1027" t="s">
        <v>2647</v>
      </c>
      <c r="H1027" t="s">
        <v>965</v>
      </c>
      <c r="I1027">
        <v>77089</v>
      </c>
      <c r="J1027" t="s">
        <v>2648</v>
      </c>
      <c r="K1027">
        <v>8324742563</v>
      </c>
      <c r="M1027">
        <v>1500</v>
      </c>
      <c r="N1027">
        <v>1500</v>
      </c>
      <c r="O1027">
        <v>18</v>
      </c>
      <c r="P1027">
        <v>52</v>
      </c>
      <c r="Q1027">
        <v>12</v>
      </c>
    </row>
    <row r="1028" spans="1:17" x14ac:dyDescent="0.3">
      <c r="A1028" t="s">
        <v>292</v>
      </c>
      <c r="B1028" t="s">
        <v>2649</v>
      </c>
      <c r="C1028" t="s">
        <v>1709</v>
      </c>
      <c r="E1028">
        <v>5213</v>
      </c>
      <c r="F1028" t="s">
        <v>644</v>
      </c>
      <c r="G1028" t="s">
        <v>968</v>
      </c>
      <c r="H1028" t="s">
        <v>965</v>
      </c>
      <c r="I1028">
        <v>77477</v>
      </c>
      <c r="J1028" t="s">
        <v>969</v>
      </c>
      <c r="K1028" t="s">
        <v>970</v>
      </c>
      <c r="M1028">
        <v>6250</v>
      </c>
      <c r="N1028">
        <v>6500</v>
      </c>
      <c r="O1028">
        <v>43</v>
      </c>
      <c r="P1028">
        <v>115</v>
      </c>
      <c r="Q1028">
        <v>54</v>
      </c>
    </row>
    <row r="1029" spans="1:17" x14ac:dyDescent="0.3">
      <c r="A1029">
        <v>21</v>
      </c>
      <c r="B1029" t="s">
        <v>2650</v>
      </c>
      <c r="C1029" t="s">
        <v>1709</v>
      </c>
      <c r="E1029">
        <v>5225</v>
      </c>
      <c r="F1029" t="s">
        <v>1957</v>
      </c>
      <c r="G1029" t="s">
        <v>1958</v>
      </c>
      <c r="H1029" t="s">
        <v>965</v>
      </c>
      <c r="I1029">
        <v>77379</v>
      </c>
      <c r="J1029" t="s">
        <v>1959</v>
      </c>
      <c r="K1029">
        <v>2817556242</v>
      </c>
      <c r="L1029">
        <v>2817556242</v>
      </c>
      <c r="M1029">
        <v>675</v>
      </c>
      <c r="N1029">
        <v>675</v>
      </c>
      <c r="O1029">
        <v>8</v>
      </c>
      <c r="P1029">
        <v>44</v>
      </c>
      <c r="Q1029">
        <v>13</v>
      </c>
    </row>
    <row r="1030" spans="1:17" x14ac:dyDescent="0.3">
      <c r="A1030" t="s">
        <v>462</v>
      </c>
      <c r="B1030" t="s">
        <v>2651</v>
      </c>
      <c r="C1030" t="s">
        <v>1709</v>
      </c>
      <c r="E1030">
        <v>5085</v>
      </c>
      <c r="F1030" t="s">
        <v>2636</v>
      </c>
      <c r="G1030" t="s">
        <v>2637</v>
      </c>
      <c r="H1030" t="s">
        <v>965</v>
      </c>
      <c r="I1030">
        <v>77498</v>
      </c>
      <c r="J1030" t="s">
        <v>2638</v>
      </c>
      <c r="K1030">
        <v>8322830578</v>
      </c>
      <c r="M1030">
        <v>775</v>
      </c>
      <c r="N1030">
        <v>775</v>
      </c>
      <c r="O1030">
        <v>11</v>
      </c>
      <c r="P1030">
        <v>52</v>
      </c>
      <c r="Q1030">
        <v>15</v>
      </c>
    </row>
    <row r="1031" spans="1:17" x14ac:dyDescent="0.3">
      <c r="A1031">
        <v>22</v>
      </c>
      <c r="B1031" t="s">
        <v>2652</v>
      </c>
      <c r="C1031" t="s">
        <v>1709</v>
      </c>
      <c r="E1031">
        <v>5116</v>
      </c>
      <c r="F1031" t="s">
        <v>642</v>
      </c>
      <c r="G1031" t="s">
        <v>1677</v>
      </c>
      <c r="H1031" t="s">
        <v>965</v>
      </c>
      <c r="I1031">
        <v>77469</v>
      </c>
      <c r="J1031" t="s">
        <v>1678</v>
      </c>
      <c r="K1031">
        <v>7135454257</v>
      </c>
      <c r="M1031">
        <v>2500</v>
      </c>
      <c r="N1031">
        <v>2500</v>
      </c>
      <c r="O1031">
        <v>15</v>
      </c>
      <c r="P1031">
        <v>33</v>
      </c>
      <c r="Q1031">
        <v>17</v>
      </c>
    </row>
    <row r="1032" spans="1:17" x14ac:dyDescent="0.3">
      <c r="A1032" t="s">
        <v>294</v>
      </c>
      <c r="B1032" t="s">
        <v>599</v>
      </c>
      <c r="C1032" t="s">
        <v>1709</v>
      </c>
      <c r="E1032">
        <v>5129</v>
      </c>
      <c r="F1032" t="s">
        <v>645</v>
      </c>
      <c r="G1032" t="s">
        <v>2268</v>
      </c>
      <c r="H1032" t="s">
        <v>2269</v>
      </c>
      <c r="I1032" t="s">
        <v>2270</v>
      </c>
      <c r="J1032" t="s">
        <v>2271</v>
      </c>
      <c r="K1032">
        <v>7765000046</v>
      </c>
      <c r="M1032">
        <v>5850</v>
      </c>
      <c r="N1032">
        <v>6000</v>
      </c>
      <c r="O1032">
        <v>16</v>
      </c>
      <c r="P1032">
        <v>72</v>
      </c>
      <c r="Q1032">
        <v>16</v>
      </c>
    </row>
    <row r="1033" spans="1:17" x14ac:dyDescent="0.3">
      <c r="A1033" t="s">
        <v>296</v>
      </c>
      <c r="B1033" t="s">
        <v>2653</v>
      </c>
      <c r="C1033" t="s">
        <v>1709</v>
      </c>
      <c r="E1033">
        <v>5025</v>
      </c>
      <c r="F1033" t="s">
        <v>2654</v>
      </c>
      <c r="G1033" t="s">
        <v>2655</v>
      </c>
      <c r="H1033" t="s">
        <v>965</v>
      </c>
      <c r="I1033">
        <v>77089</v>
      </c>
      <c r="J1033" t="s">
        <v>2656</v>
      </c>
      <c r="K1033">
        <v>8322490339</v>
      </c>
      <c r="M1033">
        <v>10500</v>
      </c>
      <c r="N1033">
        <v>10500</v>
      </c>
      <c r="O1033">
        <v>13</v>
      </c>
      <c r="P1033">
        <v>128</v>
      </c>
      <c r="Q1033">
        <v>17</v>
      </c>
    </row>
    <row r="1034" spans="1:17" x14ac:dyDescent="0.3">
      <c r="A1034">
        <v>24</v>
      </c>
      <c r="B1034" t="s">
        <v>597</v>
      </c>
      <c r="C1034" t="s">
        <v>1709</v>
      </c>
      <c r="E1034">
        <v>5129</v>
      </c>
      <c r="F1034" t="s">
        <v>645</v>
      </c>
      <c r="G1034" t="s">
        <v>2268</v>
      </c>
      <c r="H1034" t="s">
        <v>2269</v>
      </c>
      <c r="I1034" t="s">
        <v>2270</v>
      </c>
      <c r="J1034" t="s">
        <v>2271</v>
      </c>
      <c r="K1034">
        <v>7765000046</v>
      </c>
      <c r="M1034">
        <v>1000</v>
      </c>
      <c r="N1034">
        <v>3000</v>
      </c>
      <c r="O1034">
        <v>14</v>
      </c>
      <c r="P1034">
        <v>57</v>
      </c>
      <c r="Q1034">
        <v>18</v>
      </c>
    </row>
    <row r="1035" spans="1:17" x14ac:dyDescent="0.3">
      <c r="A1035" t="s">
        <v>298</v>
      </c>
      <c r="B1035" t="s">
        <v>2649</v>
      </c>
      <c r="C1035" t="s">
        <v>1709</v>
      </c>
      <c r="E1035">
        <v>5071</v>
      </c>
      <c r="F1035" t="s">
        <v>2657</v>
      </c>
      <c r="G1035" t="s">
        <v>2658</v>
      </c>
      <c r="H1035" t="s">
        <v>965</v>
      </c>
      <c r="I1035">
        <v>77072</v>
      </c>
      <c r="J1035" t="s">
        <v>2659</v>
      </c>
      <c r="K1035">
        <v>8325032811</v>
      </c>
      <c r="M1035">
        <v>4400</v>
      </c>
      <c r="N1035">
        <v>4400</v>
      </c>
      <c r="O1035">
        <v>38</v>
      </c>
      <c r="P1035">
        <v>71</v>
      </c>
      <c r="Q1035">
        <v>57</v>
      </c>
    </row>
    <row r="1036" spans="1:17" x14ac:dyDescent="0.3">
      <c r="A1036">
        <v>25</v>
      </c>
      <c r="B1036" t="s">
        <v>2660</v>
      </c>
      <c r="C1036" t="s">
        <v>1709</v>
      </c>
      <c r="E1036">
        <v>5226</v>
      </c>
      <c r="F1036" t="s">
        <v>1809</v>
      </c>
      <c r="G1036" t="s">
        <v>1810</v>
      </c>
      <c r="H1036" t="s">
        <v>965</v>
      </c>
      <c r="I1036">
        <v>77449</v>
      </c>
      <c r="J1036" t="s">
        <v>1811</v>
      </c>
      <c r="K1036">
        <v>2817775754</v>
      </c>
      <c r="M1036">
        <v>3500</v>
      </c>
      <c r="N1036">
        <v>3500</v>
      </c>
      <c r="O1036">
        <v>22</v>
      </c>
      <c r="P1036">
        <v>61</v>
      </c>
      <c r="Q1036">
        <v>28</v>
      </c>
    </row>
    <row r="1037" spans="1:17" x14ac:dyDescent="0.3">
      <c r="A1037" t="s">
        <v>300</v>
      </c>
      <c r="B1037" t="s">
        <v>2661</v>
      </c>
      <c r="C1037" t="s">
        <v>1709</v>
      </c>
      <c r="E1037">
        <v>5071</v>
      </c>
      <c r="F1037" t="s">
        <v>2657</v>
      </c>
      <c r="G1037" t="s">
        <v>2658</v>
      </c>
      <c r="H1037" t="s">
        <v>965</v>
      </c>
      <c r="I1037">
        <v>77072</v>
      </c>
      <c r="J1037" t="s">
        <v>2659</v>
      </c>
      <c r="K1037">
        <v>8325032811</v>
      </c>
      <c r="M1037">
        <v>8250</v>
      </c>
      <c r="N1037">
        <v>8250</v>
      </c>
      <c r="O1037">
        <v>47</v>
      </c>
      <c r="P1037">
        <v>97</v>
      </c>
      <c r="Q1037">
        <v>59</v>
      </c>
    </row>
    <row r="1038" spans="1:17" x14ac:dyDescent="0.3">
      <c r="A1038">
        <v>26</v>
      </c>
      <c r="B1038" t="s">
        <v>2645</v>
      </c>
      <c r="C1038" t="s">
        <v>1709</v>
      </c>
      <c r="E1038">
        <v>5025</v>
      </c>
      <c r="F1038" t="s">
        <v>2654</v>
      </c>
      <c r="G1038" t="s">
        <v>2655</v>
      </c>
      <c r="H1038" t="s">
        <v>965</v>
      </c>
      <c r="I1038">
        <v>77089</v>
      </c>
      <c r="J1038" t="s">
        <v>2656</v>
      </c>
      <c r="K1038">
        <v>8322490339</v>
      </c>
      <c r="M1038">
        <v>625</v>
      </c>
      <c r="N1038">
        <v>625</v>
      </c>
      <c r="O1038">
        <v>6</v>
      </c>
      <c r="P1038">
        <v>29</v>
      </c>
      <c r="Q1038">
        <v>12</v>
      </c>
    </row>
    <row r="1039" spans="1:17" x14ac:dyDescent="0.3">
      <c r="A1039" t="s">
        <v>464</v>
      </c>
      <c r="B1039" t="s">
        <v>611</v>
      </c>
      <c r="C1039" t="s">
        <v>1709</v>
      </c>
      <c r="E1039">
        <v>5168</v>
      </c>
      <c r="F1039" t="s">
        <v>643</v>
      </c>
      <c r="G1039" t="s">
        <v>2275</v>
      </c>
      <c r="H1039" t="s">
        <v>965</v>
      </c>
      <c r="I1039">
        <v>77036</v>
      </c>
      <c r="J1039" t="s">
        <v>2276</v>
      </c>
      <c r="K1039">
        <v>3238646733</v>
      </c>
      <c r="M1039">
        <v>7750</v>
      </c>
      <c r="N1039">
        <v>7750</v>
      </c>
      <c r="O1039">
        <v>40</v>
      </c>
      <c r="P1039">
        <v>103</v>
      </c>
      <c r="Q1039">
        <v>23</v>
      </c>
    </row>
    <row r="1040" spans="1:17" x14ac:dyDescent="0.3">
      <c r="A1040">
        <v>27</v>
      </c>
      <c r="B1040" t="s">
        <v>2662</v>
      </c>
      <c r="C1040" t="s">
        <v>1709</v>
      </c>
      <c r="E1040">
        <v>5202</v>
      </c>
      <c r="F1040" t="s">
        <v>2601</v>
      </c>
      <c r="G1040" t="s">
        <v>2602</v>
      </c>
      <c r="H1040" t="s">
        <v>965</v>
      </c>
      <c r="I1040">
        <v>77081</v>
      </c>
      <c r="J1040" t="s">
        <v>2603</v>
      </c>
      <c r="K1040" t="s">
        <v>2604</v>
      </c>
      <c r="M1040">
        <v>2200</v>
      </c>
      <c r="N1040">
        <v>2200</v>
      </c>
      <c r="O1040">
        <v>4</v>
      </c>
      <c r="P1040">
        <v>41</v>
      </c>
      <c r="Q1040">
        <v>8</v>
      </c>
    </row>
    <row r="1041" spans="1:17" x14ac:dyDescent="0.3">
      <c r="A1041" t="s">
        <v>302</v>
      </c>
      <c r="B1041" t="s">
        <v>2663</v>
      </c>
      <c r="C1041" t="s">
        <v>1709</v>
      </c>
      <c r="E1041">
        <v>5064</v>
      </c>
      <c r="F1041" t="s">
        <v>2664</v>
      </c>
      <c r="G1041" t="s">
        <v>2665</v>
      </c>
      <c r="H1041" t="s">
        <v>965</v>
      </c>
      <c r="I1041">
        <v>77479</v>
      </c>
      <c r="J1041" t="s">
        <v>2666</v>
      </c>
      <c r="K1041">
        <v>8322121448</v>
      </c>
      <c r="M1041">
        <v>12500</v>
      </c>
      <c r="N1041">
        <v>12500</v>
      </c>
      <c r="O1041">
        <v>9</v>
      </c>
      <c r="P1041">
        <v>121</v>
      </c>
      <c r="Q1041">
        <v>38</v>
      </c>
    </row>
    <row r="1042" spans="1:17" x14ac:dyDescent="0.3">
      <c r="A1042" t="s">
        <v>304</v>
      </c>
      <c r="B1042" t="s">
        <v>2667</v>
      </c>
      <c r="C1042" t="s">
        <v>1709</v>
      </c>
      <c r="E1042">
        <v>5071</v>
      </c>
      <c r="F1042" t="s">
        <v>2657</v>
      </c>
      <c r="G1042" t="s">
        <v>2658</v>
      </c>
      <c r="H1042" t="s">
        <v>965</v>
      </c>
      <c r="I1042">
        <v>77072</v>
      </c>
      <c r="J1042" t="s">
        <v>2659</v>
      </c>
      <c r="K1042">
        <v>8325032811</v>
      </c>
      <c r="M1042">
        <v>7000</v>
      </c>
      <c r="N1042">
        <v>7000</v>
      </c>
      <c r="O1042">
        <v>44</v>
      </c>
      <c r="P1042">
        <v>112</v>
      </c>
      <c r="Q1042">
        <v>57</v>
      </c>
    </row>
    <row r="1043" spans="1:17" x14ac:dyDescent="0.3">
      <c r="A1043" t="s">
        <v>306</v>
      </c>
      <c r="B1043" t="s">
        <v>2668</v>
      </c>
      <c r="C1043" t="s">
        <v>1709</v>
      </c>
      <c r="E1043">
        <v>5235</v>
      </c>
      <c r="F1043" t="s">
        <v>663</v>
      </c>
      <c r="G1043" t="s">
        <v>2309</v>
      </c>
      <c r="H1043" t="s">
        <v>965</v>
      </c>
      <c r="I1043">
        <v>77081</v>
      </c>
      <c r="J1043" t="s">
        <v>2310</v>
      </c>
      <c r="K1043" t="s">
        <v>2311</v>
      </c>
      <c r="M1043">
        <v>1200</v>
      </c>
      <c r="N1043">
        <v>1400</v>
      </c>
      <c r="O1043">
        <v>19</v>
      </c>
      <c r="P1043">
        <v>27</v>
      </c>
      <c r="Q1043">
        <v>13</v>
      </c>
    </row>
    <row r="1044" spans="1:17" x14ac:dyDescent="0.3">
      <c r="A1044" t="s">
        <v>308</v>
      </c>
      <c r="B1044" t="s">
        <v>2669</v>
      </c>
      <c r="C1044" t="s">
        <v>1709</v>
      </c>
      <c r="E1044">
        <v>5116</v>
      </c>
      <c r="F1044" t="s">
        <v>642</v>
      </c>
      <c r="G1044" t="s">
        <v>1677</v>
      </c>
      <c r="H1044" t="s">
        <v>965</v>
      </c>
      <c r="I1044">
        <v>77469</v>
      </c>
      <c r="J1044" t="s">
        <v>1678</v>
      </c>
      <c r="K1044">
        <v>7135454257</v>
      </c>
      <c r="M1044">
        <v>10000</v>
      </c>
      <c r="N1044">
        <v>10000</v>
      </c>
      <c r="O1044">
        <v>11</v>
      </c>
      <c r="P1044">
        <v>126</v>
      </c>
      <c r="Q1044">
        <v>29</v>
      </c>
    </row>
    <row r="1045" spans="1:17" x14ac:dyDescent="0.3">
      <c r="A1045" t="s">
        <v>926</v>
      </c>
      <c r="B1045" t="s">
        <v>2670</v>
      </c>
      <c r="C1045" t="s">
        <v>1709</v>
      </c>
      <c r="E1045">
        <v>5181</v>
      </c>
      <c r="F1045" t="s">
        <v>2606</v>
      </c>
      <c r="G1045" t="s">
        <v>2607</v>
      </c>
      <c r="H1045" t="s">
        <v>965</v>
      </c>
      <c r="I1045">
        <v>77493</v>
      </c>
      <c r="J1045" t="s">
        <v>2608</v>
      </c>
      <c r="K1045">
        <v>2816609202</v>
      </c>
      <c r="M1045">
        <v>76000</v>
      </c>
      <c r="N1045">
        <v>76500</v>
      </c>
      <c r="O1045">
        <v>54</v>
      </c>
      <c r="P1045">
        <v>206</v>
      </c>
      <c r="Q1045">
        <v>69</v>
      </c>
    </row>
    <row r="1046" spans="1:17" x14ac:dyDescent="0.3">
      <c r="A1046">
        <v>32</v>
      </c>
      <c r="B1046" t="s">
        <v>2671</v>
      </c>
      <c r="C1046" t="s">
        <v>1709</v>
      </c>
      <c r="E1046">
        <v>5166</v>
      </c>
      <c r="F1046" t="s">
        <v>2146</v>
      </c>
      <c r="G1046" t="s">
        <v>2147</v>
      </c>
      <c r="H1046" t="s">
        <v>965</v>
      </c>
      <c r="I1046">
        <v>75956</v>
      </c>
      <c r="J1046" t="s">
        <v>2148</v>
      </c>
      <c r="K1046">
        <v>4093842254</v>
      </c>
      <c r="L1046">
        <v>4093823362</v>
      </c>
      <c r="M1046">
        <v>500</v>
      </c>
      <c r="N1046">
        <v>500</v>
      </c>
      <c r="O1046">
        <v>1</v>
      </c>
      <c r="P1046">
        <v>47</v>
      </c>
      <c r="Q1046">
        <v>4</v>
      </c>
    </row>
    <row r="1047" spans="1:17" x14ac:dyDescent="0.3">
      <c r="A1047" t="s">
        <v>310</v>
      </c>
      <c r="B1047" t="s">
        <v>2672</v>
      </c>
      <c r="C1047" t="s">
        <v>1709</v>
      </c>
      <c r="E1047">
        <v>5173</v>
      </c>
      <c r="F1047" t="s">
        <v>2673</v>
      </c>
      <c r="G1047" t="s">
        <v>2674</v>
      </c>
      <c r="H1047" t="s">
        <v>965</v>
      </c>
      <c r="I1047">
        <v>77449</v>
      </c>
      <c r="J1047" t="s">
        <v>2675</v>
      </c>
      <c r="K1047">
        <v>7133409326</v>
      </c>
      <c r="M1047">
        <v>13000</v>
      </c>
      <c r="N1047">
        <v>13000</v>
      </c>
      <c r="O1047">
        <v>61</v>
      </c>
      <c r="P1047">
        <v>157</v>
      </c>
      <c r="Q1047">
        <v>47</v>
      </c>
    </row>
    <row r="1048" spans="1:17" x14ac:dyDescent="0.3">
      <c r="A1048">
        <v>35</v>
      </c>
      <c r="B1048" t="s">
        <v>2676</v>
      </c>
      <c r="C1048" t="s">
        <v>1709</v>
      </c>
      <c r="E1048">
        <v>5004</v>
      </c>
      <c r="F1048" t="s">
        <v>2677</v>
      </c>
      <c r="G1048" t="s">
        <v>2678</v>
      </c>
      <c r="H1048" t="s">
        <v>965</v>
      </c>
      <c r="I1048">
        <v>77077</v>
      </c>
      <c r="J1048" t="s">
        <v>2679</v>
      </c>
      <c r="K1048" t="s">
        <v>2680</v>
      </c>
      <c r="M1048">
        <v>500</v>
      </c>
      <c r="N1048">
        <v>500</v>
      </c>
      <c r="O1048">
        <v>1</v>
      </c>
      <c r="P1048">
        <v>23</v>
      </c>
      <c r="Q1048">
        <v>3</v>
      </c>
    </row>
    <row r="1049" spans="1:17" x14ac:dyDescent="0.3">
      <c r="A1049">
        <v>36</v>
      </c>
      <c r="B1049" t="s">
        <v>1821</v>
      </c>
      <c r="C1049" t="s">
        <v>1709</v>
      </c>
      <c r="E1049">
        <v>5204</v>
      </c>
      <c r="F1049" t="s">
        <v>2681</v>
      </c>
      <c r="G1049" t="s">
        <v>2682</v>
      </c>
      <c r="H1049" t="s">
        <v>965</v>
      </c>
      <c r="I1049">
        <v>77007</v>
      </c>
      <c r="J1049" t="s">
        <v>2683</v>
      </c>
      <c r="K1049">
        <v>8325917080</v>
      </c>
      <c r="M1049">
        <v>1200</v>
      </c>
      <c r="N1049">
        <v>1200</v>
      </c>
      <c r="O1049">
        <v>3</v>
      </c>
      <c r="P1049">
        <v>37</v>
      </c>
      <c r="Q1049">
        <v>13</v>
      </c>
    </row>
    <row r="1050" spans="1:17" x14ac:dyDescent="0.3">
      <c r="A1050" t="s">
        <v>469</v>
      </c>
      <c r="B1050" t="s">
        <v>2684</v>
      </c>
      <c r="C1050" t="s">
        <v>1709</v>
      </c>
      <c r="E1050">
        <v>5176</v>
      </c>
      <c r="F1050" t="s">
        <v>712</v>
      </c>
      <c r="G1050" t="s">
        <v>2685</v>
      </c>
      <c r="H1050" t="s">
        <v>965</v>
      </c>
      <c r="I1050">
        <v>77060</v>
      </c>
      <c r="J1050" t="s">
        <v>2686</v>
      </c>
      <c r="K1050">
        <v>8323910451</v>
      </c>
      <c r="M1050">
        <v>2400</v>
      </c>
      <c r="N1050">
        <v>2400</v>
      </c>
      <c r="O1050">
        <v>37</v>
      </c>
      <c r="P1050">
        <v>90</v>
      </c>
      <c r="Q1050">
        <v>21</v>
      </c>
    </row>
    <row r="1051" spans="1:17" x14ac:dyDescent="0.3">
      <c r="A1051">
        <v>37</v>
      </c>
      <c r="B1051" t="s">
        <v>2687</v>
      </c>
      <c r="C1051" t="s">
        <v>1709</v>
      </c>
      <c r="E1051">
        <v>5166</v>
      </c>
      <c r="F1051" t="s">
        <v>2146</v>
      </c>
      <c r="G1051" t="s">
        <v>2147</v>
      </c>
      <c r="H1051" t="s">
        <v>965</v>
      </c>
      <c r="I1051">
        <v>75956</v>
      </c>
      <c r="J1051" t="s">
        <v>2148</v>
      </c>
      <c r="K1051">
        <v>4093842254</v>
      </c>
      <c r="L1051">
        <v>4093823362</v>
      </c>
      <c r="M1051">
        <v>800</v>
      </c>
      <c r="N1051">
        <v>800</v>
      </c>
      <c r="O1051">
        <v>5</v>
      </c>
      <c r="P1051">
        <v>55</v>
      </c>
      <c r="Q1051">
        <v>4</v>
      </c>
    </row>
    <row r="1052" spans="1:17" x14ac:dyDescent="0.3">
      <c r="A1052" t="s">
        <v>402</v>
      </c>
      <c r="B1052" t="s">
        <v>2688</v>
      </c>
      <c r="C1052" t="s">
        <v>1709</v>
      </c>
      <c r="E1052">
        <v>5229</v>
      </c>
      <c r="F1052" t="s">
        <v>2689</v>
      </c>
      <c r="G1052" t="s">
        <v>2690</v>
      </c>
      <c r="H1052" t="s">
        <v>965</v>
      </c>
      <c r="I1052">
        <v>75791</v>
      </c>
      <c r="J1052" t="s">
        <v>2691</v>
      </c>
      <c r="K1052" t="s">
        <v>2692</v>
      </c>
      <c r="L1052" t="s">
        <v>2693</v>
      </c>
      <c r="M1052">
        <v>51000</v>
      </c>
      <c r="N1052">
        <v>51000</v>
      </c>
      <c r="O1052">
        <v>39</v>
      </c>
      <c r="P1052">
        <v>229</v>
      </c>
      <c r="Q1052">
        <v>62</v>
      </c>
    </row>
    <row r="1053" spans="1:17" x14ac:dyDescent="0.3">
      <c r="A1053">
        <v>38</v>
      </c>
      <c r="B1053" t="s">
        <v>2694</v>
      </c>
      <c r="C1053" t="s">
        <v>1709</v>
      </c>
      <c r="E1053">
        <v>5233</v>
      </c>
      <c r="F1053" t="s">
        <v>2617</v>
      </c>
      <c r="G1053" t="s">
        <v>2618</v>
      </c>
      <c r="H1053" t="s">
        <v>965</v>
      </c>
      <c r="I1053">
        <v>77089</v>
      </c>
      <c r="J1053" t="s">
        <v>2619</v>
      </c>
      <c r="K1053">
        <v>2818999801</v>
      </c>
      <c r="M1053">
        <v>7500</v>
      </c>
      <c r="N1053">
        <v>7500</v>
      </c>
      <c r="O1053">
        <v>41</v>
      </c>
      <c r="P1053">
        <v>105</v>
      </c>
      <c r="Q1053">
        <v>37</v>
      </c>
    </row>
    <row r="1054" spans="1:17" x14ac:dyDescent="0.3">
      <c r="A1054">
        <v>39</v>
      </c>
      <c r="B1054" t="s">
        <v>2695</v>
      </c>
      <c r="C1054" t="s">
        <v>1709</v>
      </c>
      <c r="E1054">
        <v>5001</v>
      </c>
      <c r="F1054" t="s">
        <v>2188</v>
      </c>
      <c r="G1054" t="s">
        <v>2189</v>
      </c>
      <c r="H1054" t="s">
        <v>965</v>
      </c>
      <c r="I1054">
        <v>77583</v>
      </c>
      <c r="J1054" t="s">
        <v>2190</v>
      </c>
      <c r="K1054">
        <v>8326387185</v>
      </c>
      <c r="M1054">
        <v>1200</v>
      </c>
      <c r="N1054">
        <v>1200</v>
      </c>
      <c r="O1054">
        <v>15</v>
      </c>
      <c r="P1054">
        <v>50</v>
      </c>
      <c r="Q1054">
        <v>19</v>
      </c>
    </row>
    <row r="1055" spans="1:17" x14ac:dyDescent="0.3">
      <c r="A1055" t="s">
        <v>2240</v>
      </c>
      <c r="B1055" t="s">
        <v>2696</v>
      </c>
      <c r="C1055" t="s">
        <v>1709</v>
      </c>
      <c r="E1055">
        <v>5169</v>
      </c>
      <c r="F1055" t="s">
        <v>694</v>
      </c>
      <c r="G1055" t="s">
        <v>2697</v>
      </c>
      <c r="H1055" t="s">
        <v>965</v>
      </c>
      <c r="I1055">
        <v>77477</v>
      </c>
      <c r="J1055" t="s">
        <v>2698</v>
      </c>
      <c r="K1055">
        <v>7759994244</v>
      </c>
      <c r="M1055">
        <v>3500</v>
      </c>
      <c r="N1055">
        <v>3500</v>
      </c>
      <c r="O1055">
        <v>15</v>
      </c>
      <c r="P1055">
        <v>40</v>
      </c>
      <c r="Q1055">
        <v>12</v>
      </c>
    </row>
    <row r="1056" spans="1:17" x14ac:dyDescent="0.3">
      <c r="A1056">
        <v>40</v>
      </c>
      <c r="B1056" t="s">
        <v>999</v>
      </c>
      <c r="C1056" t="s">
        <v>1709</v>
      </c>
      <c r="E1056">
        <v>5000</v>
      </c>
      <c r="F1056" t="s">
        <v>1672</v>
      </c>
      <c r="G1056" t="s">
        <v>1673</v>
      </c>
      <c r="H1056" t="s">
        <v>965</v>
      </c>
      <c r="I1056">
        <v>77515</v>
      </c>
      <c r="J1056" t="s">
        <v>1674</v>
      </c>
      <c r="K1056">
        <v>9796127045</v>
      </c>
      <c r="M1056">
        <v>575</v>
      </c>
      <c r="N1056">
        <v>575</v>
      </c>
      <c r="O1056">
        <v>4</v>
      </c>
      <c r="P1056">
        <v>47</v>
      </c>
      <c r="Q1056">
        <v>11</v>
      </c>
    </row>
    <row r="1057" spans="1:17" x14ac:dyDescent="0.3">
      <c r="A1057">
        <v>41</v>
      </c>
      <c r="B1057" t="s">
        <v>2699</v>
      </c>
      <c r="C1057" t="s">
        <v>1709</v>
      </c>
      <c r="E1057">
        <v>5216</v>
      </c>
      <c r="F1057" t="s">
        <v>2700</v>
      </c>
      <c r="G1057" t="s">
        <v>2701</v>
      </c>
      <c r="H1057" t="s">
        <v>965</v>
      </c>
      <c r="I1057">
        <v>77065</v>
      </c>
      <c r="J1057" t="s">
        <v>2702</v>
      </c>
      <c r="K1057" t="s">
        <v>2703</v>
      </c>
      <c r="M1057">
        <v>550</v>
      </c>
      <c r="N1057">
        <v>550</v>
      </c>
      <c r="O1057">
        <v>3</v>
      </c>
      <c r="P1057">
        <v>60</v>
      </c>
      <c r="Q1057">
        <v>10</v>
      </c>
    </row>
    <row r="1058" spans="1:17" x14ac:dyDescent="0.3">
      <c r="A1058" t="s">
        <v>471</v>
      </c>
      <c r="B1058" t="s">
        <v>2704</v>
      </c>
      <c r="C1058" t="s">
        <v>1709</v>
      </c>
      <c r="E1058">
        <v>5243</v>
      </c>
      <c r="F1058" t="s">
        <v>2705</v>
      </c>
      <c r="G1058" t="s">
        <v>2706</v>
      </c>
      <c r="H1058" t="s">
        <v>965</v>
      </c>
      <c r="I1058">
        <v>77063</v>
      </c>
      <c r="J1058" t="s">
        <v>2707</v>
      </c>
      <c r="K1058">
        <v>8329294592</v>
      </c>
      <c r="M1058">
        <v>10500</v>
      </c>
      <c r="N1058">
        <v>10500</v>
      </c>
      <c r="O1058">
        <v>49</v>
      </c>
      <c r="P1058">
        <v>151</v>
      </c>
      <c r="Q1058">
        <v>42</v>
      </c>
    </row>
    <row r="1059" spans="1:17" x14ac:dyDescent="0.3">
      <c r="A1059">
        <v>42</v>
      </c>
      <c r="B1059" t="s">
        <v>2708</v>
      </c>
      <c r="C1059" t="s">
        <v>1709</v>
      </c>
      <c r="E1059">
        <v>5048</v>
      </c>
      <c r="F1059" t="s">
        <v>669</v>
      </c>
      <c r="G1059" t="s">
        <v>1841</v>
      </c>
      <c r="H1059" t="s">
        <v>965</v>
      </c>
      <c r="I1059">
        <v>77498</v>
      </c>
      <c r="J1059" t="s">
        <v>1842</v>
      </c>
      <c r="K1059">
        <v>8326606807</v>
      </c>
      <c r="M1059">
        <v>1050</v>
      </c>
      <c r="N1059">
        <v>1050</v>
      </c>
      <c r="O1059">
        <v>9</v>
      </c>
      <c r="P1059">
        <v>35</v>
      </c>
      <c r="Q1059">
        <v>9</v>
      </c>
    </row>
    <row r="1060" spans="1:17" x14ac:dyDescent="0.3">
      <c r="A1060">
        <v>43</v>
      </c>
      <c r="B1060" t="s">
        <v>2709</v>
      </c>
      <c r="C1060" t="s">
        <v>1709</v>
      </c>
      <c r="E1060">
        <v>5173</v>
      </c>
      <c r="F1060" t="s">
        <v>2673</v>
      </c>
      <c r="G1060" t="s">
        <v>2674</v>
      </c>
      <c r="H1060" t="s">
        <v>965</v>
      </c>
      <c r="I1060">
        <v>77449</v>
      </c>
      <c r="J1060" t="s">
        <v>2675</v>
      </c>
      <c r="K1060">
        <v>7133409326</v>
      </c>
      <c r="M1060">
        <v>1250</v>
      </c>
      <c r="N1060">
        <v>1250</v>
      </c>
      <c r="O1060">
        <v>9</v>
      </c>
      <c r="P1060">
        <v>41</v>
      </c>
      <c r="Q1060">
        <v>17</v>
      </c>
    </row>
    <row r="1061" spans="1:17" x14ac:dyDescent="0.3">
      <c r="A1061">
        <v>44</v>
      </c>
      <c r="B1061" t="s">
        <v>604</v>
      </c>
      <c r="C1061" t="s">
        <v>1709</v>
      </c>
      <c r="E1061">
        <v>5241</v>
      </c>
      <c r="F1061" t="s">
        <v>693</v>
      </c>
      <c r="G1061" t="s">
        <v>2172</v>
      </c>
      <c r="H1061" t="s">
        <v>965</v>
      </c>
      <c r="I1061">
        <v>77479</v>
      </c>
      <c r="J1061" t="s">
        <v>2173</v>
      </c>
      <c r="K1061">
        <v>7132407121</v>
      </c>
      <c r="M1061">
        <v>1150</v>
      </c>
      <c r="N1061">
        <v>1150</v>
      </c>
      <c r="O1061">
        <v>7</v>
      </c>
      <c r="P1061">
        <v>25</v>
      </c>
      <c r="Q1061">
        <v>12</v>
      </c>
    </row>
    <row r="1062" spans="1:17" x14ac:dyDescent="0.3">
      <c r="A1062">
        <v>45</v>
      </c>
      <c r="B1062" t="s">
        <v>2384</v>
      </c>
      <c r="C1062" t="s">
        <v>1709</v>
      </c>
      <c r="E1062">
        <v>5058</v>
      </c>
      <c r="F1062" t="s">
        <v>702</v>
      </c>
      <c r="G1062" t="s">
        <v>1132</v>
      </c>
      <c r="H1062" t="s">
        <v>965</v>
      </c>
      <c r="I1062">
        <v>77407</v>
      </c>
      <c r="J1062" t="s">
        <v>1133</v>
      </c>
      <c r="K1062">
        <v>8324644119</v>
      </c>
      <c r="M1062">
        <v>1150</v>
      </c>
      <c r="N1062">
        <v>1150</v>
      </c>
      <c r="O1062">
        <v>16</v>
      </c>
      <c r="P1062">
        <v>23</v>
      </c>
      <c r="Q1062">
        <v>13</v>
      </c>
    </row>
    <row r="1063" spans="1:17" x14ac:dyDescent="0.3">
      <c r="A1063">
        <v>46</v>
      </c>
      <c r="B1063" t="s">
        <v>2710</v>
      </c>
      <c r="C1063" t="s">
        <v>1709</v>
      </c>
      <c r="E1063">
        <v>5183</v>
      </c>
      <c r="F1063" t="s">
        <v>2711</v>
      </c>
      <c r="G1063" t="s">
        <v>2712</v>
      </c>
      <c r="H1063" t="s">
        <v>965</v>
      </c>
      <c r="I1063">
        <v>77469</v>
      </c>
      <c r="J1063" t="s">
        <v>2713</v>
      </c>
      <c r="K1063">
        <v>2812163512</v>
      </c>
      <c r="M1063">
        <v>600</v>
      </c>
      <c r="N1063">
        <v>600</v>
      </c>
      <c r="O1063">
        <v>5</v>
      </c>
      <c r="P1063">
        <v>37</v>
      </c>
      <c r="Q1063">
        <v>14</v>
      </c>
    </row>
    <row r="1064" spans="1:17" x14ac:dyDescent="0.3">
      <c r="A1064" t="s">
        <v>475</v>
      </c>
      <c r="B1064" t="s">
        <v>2714</v>
      </c>
      <c r="C1064" t="s">
        <v>1709</v>
      </c>
      <c r="E1064">
        <v>5213</v>
      </c>
      <c r="F1064" t="s">
        <v>644</v>
      </c>
      <c r="G1064" t="s">
        <v>968</v>
      </c>
      <c r="H1064" t="s">
        <v>965</v>
      </c>
      <c r="I1064">
        <v>77477</v>
      </c>
      <c r="J1064" t="s">
        <v>969</v>
      </c>
      <c r="K1064" t="s">
        <v>970</v>
      </c>
      <c r="M1064">
        <v>7250</v>
      </c>
      <c r="N1064">
        <v>10000</v>
      </c>
      <c r="O1064">
        <v>22</v>
      </c>
      <c r="P1064">
        <v>156</v>
      </c>
      <c r="Q1064">
        <v>53</v>
      </c>
    </row>
    <row r="1065" spans="1:17" x14ac:dyDescent="0.3">
      <c r="A1065">
        <v>47</v>
      </c>
      <c r="B1065" t="s">
        <v>2384</v>
      </c>
      <c r="C1065" t="s">
        <v>1709</v>
      </c>
      <c r="E1065">
        <v>5060</v>
      </c>
      <c r="F1065" t="s">
        <v>2575</v>
      </c>
      <c r="G1065" t="s">
        <v>2576</v>
      </c>
      <c r="H1065" t="s">
        <v>965</v>
      </c>
      <c r="I1065">
        <v>77087</v>
      </c>
      <c r="J1065" t="s">
        <v>2577</v>
      </c>
      <c r="K1065">
        <v>2819142334</v>
      </c>
      <c r="L1065">
        <v>8325168738</v>
      </c>
      <c r="M1065">
        <v>1350</v>
      </c>
      <c r="N1065">
        <v>1400</v>
      </c>
      <c r="O1065">
        <v>11</v>
      </c>
      <c r="P1065">
        <v>26</v>
      </c>
      <c r="Q1065">
        <v>18</v>
      </c>
    </row>
    <row r="1066" spans="1:17" x14ac:dyDescent="0.3">
      <c r="A1066" t="s">
        <v>412</v>
      </c>
      <c r="B1066" t="s">
        <v>601</v>
      </c>
      <c r="C1066" t="s">
        <v>1709</v>
      </c>
      <c r="E1066">
        <v>5129</v>
      </c>
      <c r="F1066" t="s">
        <v>645</v>
      </c>
      <c r="G1066" t="s">
        <v>2268</v>
      </c>
      <c r="H1066" t="s">
        <v>2269</v>
      </c>
      <c r="I1066" t="s">
        <v>2270</v>
      </c>
      <c r="J1066" t="s">
        <v>2271</v>
      </c>
      <c r="K1066">
        <v>7765000046</v>
      </c>
      <c r="M1066">
        <v>5550</v>
      </c>
      <c r="N1066">
        <v>5550</v>
      </c>
      <c r="O1066">
        <v>27</v>
      </c>
      <c r="P1066">
        <v>51</v>
      </c>
      <c r="Q1066">
        <v>11</v>
      </c>
    </row>
    <row r="1067" spans="1:17" x14ac:dyDescent="0.3">
      <c r="A1067">
        <v>48</v>
      </c>
      <c r="B1067" t="s">
        <v>604</v>
      </c>
      <c r="C1067" t="s">
        <v>1709</v>
      </c>
      <c r="E1067">
        <v>5129</v>
      </c>
      <c r="F1067" t="s">
        <v>645</v>
      </c>
      <c r="G1067" t="s">
        <v>2268</v>
      </c>
      <c r="H1067" t="s">
        <v>2269</v>
      </c>
      <c r="I1067" t="s">
        <v>2270</v>
      </c>
      <c r="J1067" t="s">
        <v>2271</v>
      </c>
      <c r="K1067">
        <v>7765000046</v>
      </c>
      <c r="M1067">
        <v>1150</v>
      </c>
      <c r="N1067">
        <v>8000</v>
      </c>
      <c r="O1067">
        <v>5</v>
      </c>
      <c r="P1067">
        <v>23</v>
      </c>
      <c r="Q1067">
        <v>9</v>
      </c>
    </row>
    <row r="1068" spans="1:17" x14ac:dyDescent="0.3">
      <c r="A1068" t="s">
        <v>414</v>
      </c>
      <c r="B1068" t="s">
        <v>618</v>
      </c>
      <c r="C1068" t="s">
        <v>1709</v>
      </c>
      <c r="E1068">
        <v>5170</v>
      </c>
      <c r="F1068" t="s">
        <v>646</v>
      </c>
      <c r="G1068" t="s">
        <v>2715</v>
      </c>
      <c r="H1068" t="s">
        <v>2716</v>
      </c>
      <c r="I1068">
        <v>84094</v>
      </c>
      <c r="J1068" t="s">
        <v>2717</v>
      </c>
      <c r="K1068">
        <v>8018360895</v>
      </c>
      <c r="M1068">
        <v>7250</v>
      </c>
      <c r="N1068">
        <v>15000</v>
      </c>
      <c r="O1068">
        <v>7</v>
      </c>
      <c r="P1068">
        <v>89</v>
      </c>
      <c r="Q1068">
        <v>20</v>
      </c>
    </row>
    <row r="1069" spans="1:17" x14ac:dyDescent="0.3">
      <c r="A1069">
        <v>49</v>
      </c>
      <c r="B1069" t="s">
        <v>2718</v>
      </c>
      <c r="C1069" t="s">
        <v>1709</v>
      </c>
      <c r="E1069">
        <v>5168</v>
      </c>
      <c r="F1069" t="s">
        <v>643</v>
      </c>
      <c r="G1069" t="s">
        <v>2275</v>
      </c>
      <c r="H1069" t="s">
        <v>965</v>
      </c>
      <c r="I1069">
        <v>77036</v>
      </c>
      <c r="J1069" t="s">
        <v>2276</v>
      </c>
      <c r="K1069">
        <v>3238646733</v>
      </c>
      <c r="M1069">
        <v>6250</v>
      </c>
      <c r="N1069">
        <v>6250</v>
      </c>
      <c r="O1069">
        <v>8</v>
      </c>
      <c r="P1069">
        <v>45</v>
      </c>
      <c r="Q1069">
        <v>10</v>
      </c>
    </row>
    <row r="1070" spans="1:17" x14ac:dyDescent="0.3">
      <c r="A1070">
        <v>50</v>
      </c>
      <c r="B1070" t="s">
        <v>1176</v>
      </c>
      <c r="C1070" t="s">
        <v>1709</v>
      </c>
      <c r="E1070">
        <v>5243</v>
      </c>
      <c r="F1070" t="s">
        <v>2705</v>
      </c>
      <c r="G1070" t="s">
        <v>2706</v>
      </c>
      <c r="H1070" t="s">
        <v>965</v>
      </c>
      <c r="I1070">
        <v>77063</v>
      </c>
      <c r="J1070" t="s">
        <v>2707</v>
      </c>
      <c r="K1070">
        <v>8329294592</v>
      </c>
      <c r="M1070">
        <v>1550</v>
      </c>
      <c r="N1070">
        <v>1550</v>
      </c>
      <c r="O1070">
        <v>18</v>
      </c>
      <c r="P1070">
        <v>37</v>
      </c>
      <c r="Q1070">
        <v>12</v>
      </c>
    </row>
    <row r="1071" spans="1:17" x14ac:dyDescent="0.3">
      <c r="A1071" t="s">
        <v>418</v>
      </c>
      <c r="B1071" t="s">
        <v>2719</v>
      </c>
      <c r="C1071" t="s">
        <v>1709</v>
      </c>
      <c r="E1071">
        <v>5157</v>
      </c>
      <c r="F1071" t="s">
        <v>666</v>
      </c>
      <c r="G1071" t="s">
        <v>2642</v>
      </c>
      <c r="H1071" t="s">
        <v>965</v>
      </c>
      <c r="I1071">
        <v>77536</v>
      </c>
      <c r="J1071" t="s">
        <v>2643</v>
      </c>
      <c r="K1071">
        <v>8329442772</v>
      </c>
      <c r="M1071">
        <v>10500</v>
      </c>
      <c r="N1071">
        <v>10500</v>
      </c>
      <c r="O1071">
        <v>53</v>
      </c>
      <c r="P1071">
        <v>203</v>
      </c>
      <c r="Q1071">
        <v>82</v>
      </c>
    </row>
    <row r="1072" spans="1:17" x14ac:dyDescent="0.3">
      <c r="A1072">
        <v>51</v>
      </c>
      <c r="B1072" t="s">
        <v>1152</v>
      </c>
      <c r="C1072" t="s">
        <v>1709</v>
      </c>
      <c r="E1072">
        <v>5242</v>
      </c>
      <c r="F1072" t="s">
        <v>1249</v>
      </c>
      <c r="G1072" t="s">
        <v>1250</v>
      </c>
      <c r="H1072" t="s">
        <v>965</v>
      </c>
      <c r="I1072">
        <v>77581</v>
      </c>
      <c r="J1072" t="s">
        <v>1251</v>
      </c>
      <c r="K1072">
        <v>8328766812</v>
      </c>
      <c r="M1072">
        <v>1450</v>
      </c>
      <c r="N1072">
        <v>1600</v>
      </c>
      <c r="O1072">
        <v>17</v>
      </c>
      <c r="P1072">
        <v>66</v>
      </c>
      <c r="Q1072">
        <v>15</v>
      </c>
    </row>
    <row r="1073" spans="1:17" x14ac:dyDescent="0.3">
      <c r="A1073" t="s">
        <v>477</v>
      </c>
      <c r="B1073" t="s">
        <v>757</v>
      </c>
      <c r="C1073" t="s">
        <v>1709</v>
      </c>
      <c r="E1073">
        <v>5169</v>
      </c>
      <c r="F1073" t="s">
        <v>694</v>
      </c>
      <c r="G1073" t="s">
        <v>2697</v>
      </c>
      <c r="H1073" t="s">
        <v>965</v>
      </c>
      <c r="I1073">
        <v>77477</v>
      </c>
      <c r="J1073" t="s">
        <v>2698</v>
      </c>
      <c r="K1073">
        <v>7759994244</v>
      </c>
      <c r="M1073">
        <v>30000</v>
      </c>
      <c r="N1073">
        <v>30000</v>
      </c>
      <c r="O1073">
        <v>45</v>
      </c>
      <c r="P1073">
        <v>105</v>
      </c>
      <c r="Q1073">
        <v>55</v>
      </c>
    </row>
    <row r="1074" spans="1:17" x14ac:dyDescent="0.3">
      <c r="A1074">
        <v>52</v>
      </c>
      <c r="B1074" t="s">
        <v>605</v>
      </c>
      <c r="C1074" t="s">
        <v>1709</v>
      </c>
      <c r="E1074">
        <v>5129</v>
      </c>
      <c r="F1074" t="s">
        <v>645</v>
      </c>
      <c r="G1074" t="s">
        <v>2268</v>
      </c>
      <c r="H1074" t="s">
        <v>2269</v>
      </c>
      <c r="I1074" t="s">
        <v>2270</v>
      </c>
      <c r="J1074" t="s">
        <v>2271</v>
      </c>
      <c r="K1074">
        <v>7765000046</v>
      </c>
      <c r="M1074">
        <v>500</v>
      </c>
      <c r="N1074">
        <v>10000</v>
      </c>
      <c r="O1074">
        <v>1</v>
      </c>
      <c r="P1074">
        <v>21</v>
      </c>
      <c r="Q1074">
        <v>2</v>
      </c>
    </row>
    <row r="1075" spans="1:17" x14ac:dyDescent="0.3">
      <c r="A1075" t="s">
        <v>321</v>
      </c>
      <c r="B1075" t="s">
        <v>2720</v>
      </c>
      <c r="C1075" t="s">
        <v>1709</v>
      </c>
      <c r="E1075">
        <v>5157</v>
      </c>
      <c r="F1075" t="s">
        <v>666</v>
      </c>
      <c r="G1075" t="s">
        <v>2642</v>
      </c>
      <c r="H1075" t="s">
        <v>965</v>
      </c>
      <c r="I1075">
        <v>77536</v>
      </c>
      <c r="J1075" t="s">
        <v>2643</v>
      </c>
      <c r="K1075">
        <v>8329442772</v>
      </c>
      <c r="M1075">
        <v>5750</v>
      </c>
      <c r="N1075">
        <v>5750</v>
      </c>
      <c r="O1075">
        <v>40</v>
      </c>
      <c r="P1075">
        <v>80</v>
      </c>
      <c r="Q1075">
        <v>48</v>
      </c>
    </row>
    <row r="1076" spans="1:17" x14ac:dyDescent="0.3">
      <c r="A1076">
        <v>53</v>
      </c>
      <c r="B1076" t="s">
        <v>715</v>
      </c>
      <c r="C1076" t="s">
        <v>1709</v>
      </c>
      <c r="F1076" t="s">
        <v>649</v>
      </c>
      <c r="M1076">
        <v>0</v>
      </c>
      <c r="N1076">
        <v>0</v>
      </c>
      <c r="O1076">
        <v>0</v>
      </c>
      <c r="P1076">
        <v>31</v>
      </c>
      <c r="Q1076">
        <v>1</v>
      </c>
    </row>
    <row r="1077" spans="1:17" x14ac:dyDescent="0.3">
      <c r="A1077" t="s">
        <v>424</v>
      </c>
      <c r="B1077" t="s">
        <v>2721</v>
      </c>
      <c r="C1077" t="s">
        <v>1709</v>
      </c>
      <c r="E1077">
        <v>5213</v>
      </c>
      <c r="F1077" t="s">
        <v>644</v>
      </c>
      <c r="G1077" t="s">
        <v>968</v>
      </c>
      <c r="H1077" t="s">
        <v>965</v>
      </c>
      <c r="I1077">
        <v>77477</v>
      </c>
      <c r="J1077" t="s">
        <v>969</v>
      </c>
      <c r="K1077" t="s">
        <v>970</v>
      </c>
      <c r="M1077">
        <v>3900</v>
      </c>
      <c r="N1077">
        <v>4000</v>
      </c>
      <c r="O1077">
        <v>22</v>
      </c>
      <c r="P1077">
        <v>95</v>
      </c>
      <c r="Q1077">
        <v>16</v>
      </c>
    </row>
    <row r="1078" spans="1:17" x14ac:dyDescent="0.3">
      <c r="A1078">
        <v>54</v>
      </c>
      <c r="B1078" t="s">
        <v>971</v>
      </c>
      <c r="C1078" t="s">
        <v>1709</v>
      </c>
      <c r="E1078">
        <v>5151</v>
      </c>
      <c r="F1078" t="s">
        <v>2613</v>
      </c>
      <c r="G1078" t="s">
        <v>2614</v>
      </c>
      <c r="H1078" t="s">
        <v>965</v>
      </c>
      <c r="I1078">
        <v>77545</v>
      </c>
      <c r="J1078" t="s">
        <v>2615</v>
      </c>
      <c r="K1078">
        <v>2819246564</v>
      </c>
      <c r="M1078">
        <v>1050</v>
      </c>
      <c r="N1078">
        <v>1050</v>
      </c>
      <c r="O1078">
        <v>16</v>
      </c>
      <c r="P1078">
        <v>19</v>
      </c>
      <c r="Q1078">
        <v>16</v>
      </c>
    </row>
    <row r="1079" spans="1:17" x14ac:dyDescent="0.3">
      <c r="A1079" t="s">
        <v>929</v>
      </c>
      <c r="B1079" t="s">
        <v>2722</v>
      </c>
      <c r="C1079" t="s">
        <v>1709</v>
      </c>
      <c r="E1079">
        <v>5205</v>
      </c>
      <c r="F1079" t="s">
        <v>2723</v>
      </c>
      <c r="G1079" t="s">
        <v>2724</v>
      </c>
      <c r="H1079" t="s">
        <v>965</v>
      </c>
      <c r="I1079">
        <v>77096</v>
      </c>
      <c r="J1079" t="s">
        <v>2725</v>
      </c>
      <c r="K1079">
        <v>7134169109</v>
      </c>
      <c r="M1079">
        <v>2200</v>
      </c>
      <c r="N1079">
        <v>2200</v>
      </c>
      <c r="O1079">
        <v>25</v>
      </c>
      <c r="P1079">
        <v>72</v>
      </c>
      <c r="Q1079">
        <v>15</v>
      </c>
    </row>
    <row r="1080" spans="1:17" x14ac:dyDescent="0.3">
      <c r="A1080">
        <v>55</v>
      </c>
      <c r="B1080" t="s">
        <v>1128</v>
      </c>
      <c r="C1080" t="s">
        <v>1709</v>
      </c>
      <c r="E1080">
        <v>5235</v>
      </c>
      <c r="F1080" t="s">
        <v>663</v>
      </c>
      <c r="G1080" t="s">
        <v>2309</v>
      </c>
      <c r="H1080" t="s">
        <v>965</v>
      </c>
      <c r="I1080">
        <v>77081</v>
      </c>
      <c r="J1080" t="s">
        <v>2310</v>
      </c>
      <c r="K1080" t="s">
        <v>2311</v>
      </c>
      <c r="M1080">
        <v>800</v>
      </c>
      <c r="N1080">
        <v>800</v>
      </c>
      <c r="O1080">
        <v>3</v>
      </c>
      <c r="P1080">
        <v>27</v>
      </c>
      <c r="Q1080">
        <v>6</v>
      </c>
    </row>
    <row r="1081" spans="1:17" x14ac:dyDescent="0.3">
      <c r="A1081" t="s">
        <v>930</v>
      </c>
      <c r="B1081" t="s">
        <v>2726</v>
      </c>
      <c r="C1081" t="s">
        <v>1709</v>
      </c>
      <c r="E1081">
        <v>5189</v>
      </c>
      <c r="F1081" t="s">
        <v>1192</v>
      </c>
      <c r="G1081" t="s">
        <v>1193</v>
      </c>
      <c r="H1081" t="s">
        <v>965</v>
      </c>
      <c r="I1081">
        <v>77478</v>
      </c>
      <c r="J1081" t="s">
        <v>1194</v>
      </c>
      <c r="K1081">
        <v>8328594872</v>
      </c>
      <c r="M1081">
        <v>4400</v>
      </c>
      <c r="N1081">
        <v>4400</v>
      </c>
      <c r="O1081">
        <v>31</v>
      </c>
      <c r="P1081">
        <v>61</v>
      </c>
      <c r="Q1081">
        <v>20</v>
      </c>
    </row>
    <row r="1082" spans="1:17" x14ac:dyDescent="0.3">
      <c r="A1082">
        <v>56</v>
      </c>
      <c r="B1082" t="s">
        <v>1210</v>
      </c>
      <c r="C1082" t="s">
        <v>1709</v>
      </c>
      <c r="E1082">
        <v>5169</v>
      </c>
      <c r="F1082" t="s">
        <v>694</v>
      </c>
      <c r="G1082" t="s">
        <v>2697</v>
      </c>
      <c r="H1082" t="s">
        <v>965</v>
      </c>
      <c r="I1082">
        <v>77477</v>
      </c>
      <c r="J1082" t="s">
        <v>2698</v>
      </c>
      <c r="K1082">
        <v>7759994244</v>
      </c>
      <c r="M1082">
        <v>500</v>
      </c>
      <c r="N1082">
        <v>2700</v>
      </c>
      <c r="O1082">
        <v>2</v>
      </c>
      <c r="P1082">
        <v>38</v>
      </c>
      <c r="Q1082">
        <v>2</v>
      </c>
    </row>
    <row r="1083" spans="1:17" x14ac:dyDescent="0.3">
      <c r="A1083" t="s">
        <v>479</v>
      </c>
      <c r="B1083" t="s">
        <v>2727</v>
      </c>
      <c r="C1083" t="s">
        <v>1709</v>
      </c>
      <c r="E1083">
        <v>5233</v>
      </c>
      <c r="F1083" t="s">
        <v>2617</v>
      </c>
      <c r="G1083" t="s">
        <v>2618</v>
      </c>
      <c r="H1083" t="s">
        <v>965</v>
      </c>
      <c r="I1083">
        <v>77089</v>
      </c>
      <c r="J1083" t="s">
        <v>2619</v>
      </c>
      <c r="K1083">
        <v>2818999801</v>
      </c>
      <c r="M1083">
        <v>10500</v>
      </c>
      <c r="N1083">
        <v>10500</v>
      </c>
      <c r="O1083">
        <v>27</v>
      </c>
      <c r="P1083">
        <v>49</v>
      </c>
      <c r="Q1083">
        <v>13</v>
      </c>
    </row>
    <row r="1084" spans="1:17" x14ac:dyDescent="0.3">
      <c r="A1084">
        <v>57</v>
      </c>
      <c r="B1084" t="s">
        <v>1256</v>
      </c>
      <c r="C1084" t="s">
        <v>1709</v>
      </c>
      <c r="F1084" t="s">
        <v>649</v>
      </c>
      <c r="M1084">
        <v>0</v>
      </c>
      <c r="N1084">
        <v>0</v>
      </c>
      <c r="O1084">
        <v>0</v>
      </c>
      <c r="P1084">
        <v>59</v>
      </c>
      <c r="Q1084">
        <v>5</v>
      </c>
    </row>
    <row r="1085" spans="1:17" x14ac:dyDescent="0.3">
      <c r="A1085" t="s">
        <v>323</v>
      </c>
      <c r="B1085" t="s">
        <v>2728</v>
      </c>
      <c r="C1085" t="s">
        <v>1709</v>
      </c>
      <c r="E1085">
        <v>5243</v>
      </c>
      <c r="F1085" t="s">
        <v>2705</v>
      </c>
      <c r="G1085" t="s">
        <v>2706</v>
      </c>
      <c r="H1085" t="s">
        <v>965</v>
      </c>
      <c r="I1085">
        <v>77063</v>
      </c>
      <c r="J1085" t="s">
        <v>2707</v>
      </c>
      <c r="K1085">
        <v>8329294592</v>
      </c>
      <c r="M1085">
        <v>13000</v>
      </c>
      <c r="N1085">
        <v>13000</v>
      </c>
      <c r="O1085">
        <v>59</v>
      </c>
      <c r="P1085">
        <v>177</v>
      </c>
      <c r="Q1085">
        <v>45</v>
      </c>
    </row>
    <row r="1086" spans="1:17" x14ac:dyDescent="0.3">
      <c r="A1086" t="s">
        <v>420</v>
      </c>
      <c r="B1086" t="s">
        <v>2729</v>
      </c>
      <c r="C1086" t="s">
        <v>1709</v>
      </c>
      <c r="E1086">
        <v>5129</v>
      </c>
      <c r="F1086" t="s">
        <v>645</v>
      </c>
      <c r="G1086" t="s">
        <v>2268</v>
      </c>
      <c r="H1086" t="s">
        <v>2269</v>
      </c>
      <c r="I1086" t="s">
        <v>2270</v>
      </c>
      <c r="J1086" t="s">
        <v>2271</v>
      </c>
      <c r="K1086">
        <v>7765000046</v>
      </c>
      <c r="M1086">
        <v>6000</v>
      </c>
      <c r="N1086">
        <v>6000</v>
      </c>
      <c r="O1086">
        <v>6</v>
      </c>
      <c r="P1086">
        <v>24</v>
      </c>
      <c r="Q1086">
        <v>4</v>
      </c>
    </row>
    <row r="1087" spans="1:17" x14ac:dyDescent="0.3">
      <c r="A1087">
        <v>59</v>
      </c>
      <c r="B1087" t="s">
        <v>1286</v>
      </c>
      <c r="C1087" t="s">
        <v>1709</v>
      </c>
      <c r="E1087">
        <v>5168</v>
      </c>
      <c r="F1087" t="s">
        <v>643</v>
      </c>
      <c r="G1087" t="s">
        <v>2275</v>
      </c>
      <c r="H1087" t="s">
        <v>965</v>
      </c>
      <c r="I1087">
        <v>77036</v>
      </c>
      <c r="J1087" t="s">
        <v>2276</v>
      </c>
      <c r="K1087">
        <v>3238646733</v>
      </c>
      <c r="M1087">
        <v>525</v>
      </c>
      <c r="N1087">
        <v>525</v>
      </c>
      <c r="O1087">
        <v>2</v>
      </c>
      <c r="P1087">
        <v>36</v>
      </c>
      <c r="Q1087">
        <v>5</v>
      </c>
    </row>
    <row r="1088" spans="1:17" x14ac:dyDescent="0.3">
      <c r="A1088">
        <v>60</v>
      </c>
      <c r="B1088" t="s">
        <v>717</v>
      </c>
      <c r="C1088" t="s">
        <v>1709</v>
      </c>
      <c r="F1088" t="s">
        <v>649</v>
      </c>
      <c r="M1088">
        <v>0</v>
      </c>
      <c r="N1088">
        <v>0</v>
      </c>
      <c r="O1088">
        <v>0</v>
      </c>
      <c r="P1088">
        <v>18</v>
      </c>
      <c r="Q1088">
        <v>2</v>
      </c>
    </row>
    <row r="1089" spans="1:17" x14ac:dyDescent="0.3">
      <c r="A1089">
        <v>61</v>
      </c>
      <c r="B1089" t="s">
        <v>1344</v>
      </c>
      <c r="C1089" t="s">
        <v>1709</v>
      </c>
      <c r="E1089">
        <v>5187</v>
      </c>
      <c r="F1089" t="s">
        <v>658</v>
      </c>
      <c r="G1089" t="s">
        <v>964</v>
      </c>
      <c r="H1089" t="s">
        <v>965</v>
      </c>
      <c r="I1089">
        <v>77705</v>
      </c>
      <c r="J1089" t="s">
        <v>966</v>
      </c>
      <c r="K1089">
        <v>8322973609</v>
      </c>
      <c r="M1089">
        <v>500</v>
      </c>
      <c r="N1089">
        <v>500</v>
      </c>
      <c r="O1089">
        <v>1</v>
      </c>
      <c r="P1089">
        <v>31</v>
      </c>
      <c r="Q1089">
        <v>4</v>
      </c>
    </row>
    <row r="1090" spans="1:17" x14ac:dyDescent="0.3">
      <c r="A1090" t="s">
        <v>481</v>
      </c>
      <c r="B1090" t="s">
        <v>443</v>
      </c>
      <c r="C1090" t="s">
        <v>1709</v>
      </c>
      <c r="E1090">
        <v>5129</v>
      </c>
      <c r="F1090" t="s">
        <v>645</v>
      </c>
      <c r="G1090" t="s">
        <v>2268</v>
      </c>
      <c r="H1090" t="s">
        <v>2269</v>
      </c>
      <c r="I1090" t="s">
        <v>2270</v>
      </c>
      <c r="J1090" t="s">
        <v>2271</v>
      </c>
      <c r="K1090">
        <v>7765000046</v>
      </c>
      <c r="M1090">
        <v>7250</v>
      </c>
      <c r="N1090">
        <v>9000</v>
      </c>
      <c r="O1090">
        <v>17</v>
      </c>
      <c r="P1090">
        <v>47</v>
      </c>
      <c r="Q1090">
        <v>10</v>
      </c>
    </row>
    <row r="1091" spans="1:17" x14ac:dyDescent="0.3">
      <c r="A1091">
        <v>62</v>
      </c>
      <c r="B1091" t="s">
        <v>1481</v>
      </c>
      <c r="C1091" t="s">
        <v>1709</v>
      </c>
      <c r="E1091">
        <v>5195</v>
      </c>
      <c r="F1091" t="s">
        <v>2730</v>
      </c>
      <c r="G1091" t="s">
        <v>2731</v>
      </c>
      <c r="H1091" t="s">
        <v>965</v>
      </c>
      <c r="I1091">
        <v>77077</v>
      </c>
      <c r="J1091" t="s">
        <v>2732</v>
      </c>
      <c r="K1091">
        <v>3464293322</v>
      </c>
      <c r="M1091">
        <v>5000</v>
      </c>
      <c r="N1091">
        <v>5000</v>
      </c>
      <c r="O1091">
        <v>9</v>
      </c>
      <c r="P1091">
        <v>53</v>
      </c>
      <c r="Q1091">
        <v>21</v>
      </c>
    </row>
    <row r="1092" spans="1:17" x14ac:dyDescent="0.3">
      <c r="A1092">
        <v>63</v>
      </c>
      <c r="B1092" t="s">
        <v>985</v>
      </c>
      <c r="C1092" t="s">
        <v>1709</v>
      </c>
      <c r="F1092" t="s">
        <v>649</v>
      </c>
      <c r="M1092">
        <v>0</v>
      </c>
      <c r="N1092">
        <v>0</v>
      </c>
      <c r="O1092">
        <v>0</v>
      </c>
      <c r="P1092">
        <v>24</v>
      </c>
      <c r="Q1092">
        <v>1</v>
      </c>
    </row>
    <row r="1093" spans="1:17" x14ac:dyDescent="0.3">
      <c r="A1093">
        <v>64</v>
      </c>
      <c r="B1093" t="s">
        <v>1500</v>
      </c>
      <c r="C1093" t="s">
        <v>1709</v>
      </c>
      <c r="E1093">
        <v>5173</v>
      </c>
      <c r="F1093" t="s">
        <v>2673</v>
      </c>
      <c r="G1093" t="s">
        <v>2674</v>
      </c>
      <c r="H1093" t="s">
        <v>965</v>
      </c>
      <c r="I1093">
        <v>77449</v>
      </c>
      <c r="J1093" t="s">
        <v>2675</v>
      </c>
      <c r="K1093">
        <v>7133409326</v>
      </c>
      <c r="M1093">
        <v>525</v>
      </c>
      <c r="N1093">
        <v>525</v>
      </c>
      <c r="O1093">
        <v>2</v>
      </c>
      <c r="P1093">
        <v>44</v>
      </c>
      <c r="Q1093">
        <v>7</v>
      </c>
    </row>
    <row r="1094" spans="1:17" x14ac:dyDescent="0.3">
      <c r="A1094">
        <v>65</v>
      </c>
      <c r="B1094" t="s">
        <v>719</v>
      </c>
      <c r="C1094" t="s">
        <v>1709</v>
      </c>
      <c r="F1094" t="s">
        <v>649</v>
      </c>
      <c r="M1094">
        <v>0</v>
      </c>
      <c r="N1094">
        <v>0</v>
      </c>
      <c r="O1094">
        <v>0</v>
      </c>
      <c r="P1094">
        <v>31</v>
      </c>
      <c r="Q1094">
        <v>2</v>
      </c>
    </row>
    <row r="1095" spans="1:17" x14ac:dyDescent="0.3">
      <c r="A1095">
        <v>66</v>
      </c>
      <c r="B1095" t="s">
        <v>1467</v>
      </c>
      <c r="C1095" t="s">
        <v>1709</v>
      </c>
      <c r="E1095">
        <v>5129</v>
      </c>
      <c r="F1095" t="s">
        <v>645</v>
      </c>
      <c r="G1095" t="s">
        <v>2268</v>
      </c>
      <c r="H1095" t="s">
        <v>2269</v>
      </c>
      <c r="I1095" t="s">
        <v>2270</v>
      </c>
      <c r="J1095" t="s">
        <v>2271</v>
      </c>
      <c r="K1095">
        <v>7765000046</v>
      </c>
      <c r="M1095">
        <v>500</v>
      </c>
      <c r="N1095">
        <v>5000</v>
      </c>
      <c r="O1095">
        <v>1</v>
      </c>
      <c r="P1095">
        <v>16</v>
      </c>
      <c r="Q1095">
        <v>6</v>
      </c>
    </row>
    <row r="1096" spans="1:17" x14ac:dyDescent="0.3">
      <c r="A1096" t="s">
        <v>483</v>
      </c>
      <c r="B1096" t="s">
        <v>2733</v>
      </c>
      <c r="C1096" t="s">
        <v>1709</v>
      </c>
      <c r="E1096">
        <v>5213</v>
      </c>
      <c r="F1096" t="s">
        <v>644</v>
      </c>
      <c r="G1096" t="s">
        <v>968</v>
      </c>
      <c r="H1096" t="s">
        <v>965</v>
      </c>
      <c r="I1096">
        <v>77477</v>
      </c>
      <c r="J1096" t="s">
        <v>969</v>
      </c>
      <c r="K1096" t="s">
        <v>970</v>
      </c>
      <c r="M1096">
        <v>11000</v>
      </c>
      <c r="N1096">
        <v>20000</v>
      </c>
      <c r="O1096">
        <v>18</v>
      </c>
      <c r="P1096">
        <v>85</v>
      </c>
      <c r="Q1096">
        <v>41</v>
      </c>
    </row>
    <row r="1097" spans="1:17" x14ac:dyDescent="0.3">
      <c r="A1097">
        <v>67</v>
      </c>
      <c r="B1097" t="s">
        <v>1412</v>
      </c>
      <c r="C1097" t="s">
        <v>1709</v>
      </c>
      <c r="E1097">
        <v>5150</v>
      </c>
      <c r="F1097" t="s">
        <v>1050</v>
      </c>
      <c r="G1097" t="s">
        <v>1051</v>
      </c>
      <c r="H1097" t="s">
        <v>965</v>
      </c>
      <c r="I1097">
        <v>77009</v>
      </c>
      <c r="J1097" t="s">
        <v>1052</v>
      </c>
      <c r="K1097" t="s">
        <v>1053</v>
      </c>
      <c r="M1097">
        <v>500</v>
      </c>
      <c r="N1097">
        <v>500</v>
      </c>
      <c r="O1097">
        <v>1</v>
      </c>
      <c r="P1097">
        <v>23</v>
      </c>
      <c r="Q1097">
        <v>5</v>
      </c>
    </row>
    <row r="1098" spans="1:17" x14ac:dyDescent="0.3">
      <c r="A1098">
        <v>68</v>
      </c>
      <c r="B1098" t="s">
        <v>1159</v>
      </c>
      <c r="C1098" t="s">
        <v>1709</v>
      </c>
      <c r="E1098">
        <v>5178</v>
      </c>
      <c r="F1098" t="s">
        <v>2734</v>
      </c>
      <c r="G1098" t="s">
        <v>2735</v>
      </c>
      <c r="H1098" t="s">
        <v>965</v>
      </c>
      <c r="I1098">
        <v>77833</v>
      </c>
      <c r="J1098" t="s">
        <v>2736</v>
      </c>
      <c r="K1098">
        <v>9792772720</v>
      </c>
      <c r="M1098">
        <v>500</v>
      </c>
      <c r="N1098">
        <v>500</v>
      </c>
      <c r="O1098">
        <v>1</v>
      </c>
      <c r="P1098">
        <v>29</v>
      </c>
      <c r="Q1098">
        <v>3</v>
      </c>
    </row>
    <row r="1099" spans="1:17" x14ac:dyDescent="0.3">
      <c r="A1099">
        <v>69</v>
      </c>
      <c r="B1099" t="s">
        <v>1104</v>
      </c>
      <c r="C1099" t="s">
        <v>1709</v>
      </c>
      <c r="E1099">
        <v>5187</v>
      </c>
      <c r="F1099" t="s">
        <v>658</v>
      </c>
      <c r="G1099" t="s">
        <v>964</v>
      </c>
      <c r="H1099" t="s">
        <v>965</v>
      </c>
      <c r="I1099">
        <v>77705</v>
      </c>
      <c r="J1099" t="s">
        <v>966</v>
      </c>
      <c r="K1099">
        <v>8322973609</v>
      </c>
      <c r="M1099">
        <v>525</v>
      </c>
      <c r="N1099">
        <v>525</v>
      </c>
      <c r="O1099">
        <v>2</v>
      </c>
      <c r="P1099">
        <v>26</v>
      </c>
      <c r="Q1099">
        <v>5</v>
      </c>
    </row>
    <row r="1100" spans="1:17" x14ac:dyDescent="0.3">
      <c r="A1100">
        <v>70</v>
      </c>
      <c r="B1100" t="s">
        <v>1085</v>
      </c>
      <c r="C1100" t="s">
        <v>1709</v>
      </c>
      <c r="E1100">
        <v>5187</v>
      </c>
      <c r="F1100" t="s">
        <v>658</v>
      </c>
      <c r="G1100" t="s">
        <v>964</v>
      </c>
      <c r="H1100" t="s">
        <v>965</v>
      </c>
      <c r="I1100">
        <v>77705</v>
      </c>
      <c r="J1100" t="s">
        <v>966</v>
      </c>
      <c r="K1100">
        <v>8322973609</v>
      </c>
      <c r="M1100">
        <v>525</v>
      </c>
      <c r="N1100">
        <v>525</v>
      </c>
      <c r="O1100">
        <v>2</v>
      </c>
      <c r="P1100">
        <v>13</v>
      </c>
      <c r="Q1100">
        <v>9</v>
      </c>
    </row>
    <row r="1101" spans="1:17" x14ac:dyDescent="0.3">
      <c r="A1101">
        <v>71</v>
      </c>
      <c r="B1101" t="s">
        <v>1201</v>
      </c>
      <c r="C1101" t="s">
        <v>1709</v>
      </c>
      <c r="E1101">
        <v>5243</v>
      </c>
      <c r="F1101" t="s">
        <v>2705</v>
      </c>
      <c r="G1101" t="s">
        <v>2706</v>
      </c>
      <c r="H1101" t="s">
        <v>965</v>
      </c>
      <c r="I1101">
        <v>77063</v>
      </c>
      <c r="J1101" t="s">
        <v>2707</v>
      </c>
      <c r="K1101">
        <v>8329294592</v>
      </c>
      <c r="M1101">
        <v>525</v>
      </c>
      <c r="N1101">
        <v>525</v>
      </c>
      <c r="O1101">
        <v>2</v>
      </c>
      <c r="P1101">
        <v>20</v>
      </c>
      <c r="Q1101">
        <v>8</v>
      </c>
    </row>
    <row r="1102" spans="1:17" x14ac:dyDescent="0.3">
      <c r="A1102" t="s">
        <v>487</v>
      </c>
      <c r="B1102" t="s">
        <v>2737</v>
      </c>
      <c r="C1102" t="s">
        <v>1709</v>
      </c>
      <c r="E1102">
        <v>5064</v>
      </c>
      <c r="F1102" t="s">
        <v>2664</v>
      </c>
      <c r="G1102" t="s">
        <v>2665</v>
      </c>
      <c r="H1102" t="s">
        <v>965</v>
      </c>
      <c r="I1102">
        <v>77479</v>
      </c>
      <c r="J1102" t="s">
        <v>2666</v>
      </c>
      <c r="K1102">
        <v>8322121448</v>
      </c>
      <c r="M1102">
        <v>15500</v>
      </c>
      <c r="N1102">
        <v>15500</v>
      </c>
      <c r="O1102">
        <v>26</v>
      </c>
      <c r="P1102">
        <v>70</v>
      </c>
      <c r="Q1102">
        <v>27</v>
      </c>
    </row>
    <row r="1103" spans="1:17" x14ac:dyDescent="0.3">
      <c r="A1103">
        <v>72</v>
      </c>
      <c r="B1103" t="s">
        <v>1210</v>
      </c>
      <c r="C1103" t="s">
        <v>1709</v>
      </c>
      <c r="E1103">
        <v>5169</v>
      </c>
      <c r="F1103" t="s">
        <v>694</v>
      </c>
      <c r="G1103" t="s">
        <v>2697</v>
      </c>
      <c r="H1103" t="s">
        <v>965</v>
      </c>
      <c r="I1103">
        <v>77477</v>
      </c>
      <c r="J1103" t="s">
        <v>2698</v>
      </c>
      <c r="K1103">
        <v>7759994244</v>
      </c>
      <c r="M1103">
        <v>1850</v>
      </c>
      <c r="N1103">
        <v>1900</v>
      </c>
      <c r="O1103">
        <v>4</v>
      </c>
      <c r="P1103">
        <v>21</v>
      </c>
      <c r="Q1103">
        <v>5</v>
      </c>
    </row>
    <row r="1104" spans="1:17" x14ac:dyDescent="0.3">
      <c r="A1104">
        <v>73</v>
      </c>
      <c r="B1104" t="s">
        <v>1100</v>
      </c>
      <c r="C1104" t="s">
        <v>1709</v>
      </c>
      <c r="E1104">
        <v>5116</v>
      </c>
      <c r="F1104" t="s">
        <v>642</v>
      </c>
      <c r="G1104" t="s">
        <v>1677</v>
      </c>
      <c r="H1104" t="s">
        <v>965</v>
      </c>
      <c r="I1104">
        <v>77469</v>
      </c>
      <c r="J1104" t="s">
        <v>1678</v>
      </c>
      <c r="K1104">
        <v>7135454257</v>
      </c>
      <c r="M1104">
        <v>1100</v>
      </c>
      <c r="N1104">
        <v>1100</v>
      </c>
      <c r="O1104">
        <v>3</v>
      </c>
      <c r="P1104">
        <v>17</v>
      </c>
      <c r="Q1104">
        <v>4</v>
      </c>
    </row>
    <row r="1105" spans="1:17" x14ac:dyDescent="0.3">
      <c r="A1105">
        <v>74</v>
      </c>
      <c r="B1105" t="s">
        <v>1339</v>
      </c>
      <c r="C1105" t="s">
        <v>1709</v>
      </c>
      <c r="E1105">
        <v>5157</v>
      </c>
      <c r="F1105" t="s">
        <v>666</v>
      </c>
      <c r="G1105" t="s">
        <v>2642</v>
      </c>
      <c r="H1105" t="s">
        <v>965</v>
      </c>
      <c r="I1105">
        <v>77536</v>
      </c>
      <c r="J1105" t="s">
        <v>2643</v>
      </c>
      <c r="K1105">
        <v>8329442772</v>
      </c>
      <c r="M1105">
        <v>850</v>
      </c>
      <c r="N1105">
        <v>850</v>
      </c>
      <c r="O1105">
        <v>14</v>
      </c>
      <c r="P1105">
        <v>22</v>
      </c>
      <c r="Q1105">
        <v>11</v>
      </c>
    </row>
    <row r="1106" spans="1:17" x14ac:dyDescent="0.3">
      <c r="A1106">
        <v>75</v>
      </c>
      <c r="B1106" t="s">
        <v>720</v>
      </c>
      <c r="C1106" t="s">
        <v>1709</v>
      </c>
      <c r="F1106" t="s">
        <v>649</v>
      </c>
      <c r="M1106">
        <v>0</v>
      </c>
      <c r="N1106">
        <v>0</v>
      </c>
      <c r="O1106">
        <v>0</v>
      </c>
      <c r="P1106">
        <v>23</v>
      </c>
      <c r="Q1106">
        <v>3</v>
      </c>
    </row>
    <row r="1107" spans="1:17" x14ac:dyDescent="0.3">
      <c r="A1107">
        <v>76</v>
      </c>
      <c r="B1107" t="s">
        <v>1508</v>
      </c>
      <c r="C1107" t="s">
        <v>1709</v>
      </c>
      <c r="E1107">
        <v>5129</v>
      </c>
      <c r="F1107" t="s">
        <v>645</v>
      </c>
      <c r="G1107" t="s">
        <v>2268</v>
      </c>
      <c r="H1107" t="s">
        <v>2269</v>
      </c>
      <c r="I1107" t="s">
        <v>2270</v>
      </c>
      <c r="J1107" t="s">
        <v>2271</v>
      </c>
      <c r="K1107">
        <v>7765000046</v>
      </c>
      <c r="M1107">
        <v>700</v>
      </c>
      <c r="N1107">
        <v>10000</v>
      </c>
      <c r="O1107">
        <v>5</v>
      </c>
      <c r="P1107">
        <v>14</v>
      </c>
      <c r="Q1107">
        <v>6</v>
      </c>
    </row>
    <row r="1108" spans="1:17" x14ac:dyDescent="0.3">
      <c r="A1108" t="s">
        <v>473</v>
      </c>
      <c r="B1108" t="s">
        <v>2738</v>
      </c>
      <c r="C1108" t="s">
        <v>1709</v>
      </c>
      <c r="E1108">
        <v>5169</v>
      </c>
      <c r="F1108" t="s">
        <v>694</v>
      </c>
      <c r="G1108" t="s">
        <v>2697</v>
      </c>
      <c r="H1108" t="s">
        <v>965</v>
      </c>
      <c r="I1108">
        <v>77477</v>
      </c>
      <c r="J1108" t="s">
        <v>2698</v>
      </c>
      <c r="K1108">
        <v>7759994244</v>
      </c>
      <c r="M1108">
        <v>33350</v>
      </c>
      <c r="N1108">
        <v>43000</v>
      </c>
      <c r="O1108">
        <v>46</v>
      </c>
      <c r="P1108">
        <v>208</v>
      </c>
      <c r="Q1108">
        <v>102</v>
      </c>
    </row>
    <row r="1109" spans="1:17" x14ac:dyDescent="0.3">
      <c r="A1109">
        <v>77</v>
      </c>
      <c r="B1109" t="s">
        <v>1068</v>
      </c>
      <c r="C1109" t="s">
        <v>1709</v>
      </c>
      <c r="F1109" t="s">
        <v>649</v>
      </c>
      <c r="M1109">
        <v>0</v>
      </c>
      <c r="N1109">
        <v>0</v>
      </c>
      <c r="O1109">
        <v>0</v>
      </c>
      <c r="P1109">
        <v>12</v>
      </c>
      <c r="Q1109">
        <v>1</v>
      </c>
    </row>
    <row r="1110" spans="1:17" x14ac:dyDescent="0.3">
      <c r="A1110">
        <v>78</v>
      </c>
      <c r="B1110" t="s">
        <v>979</v>
      </c>
      <c r="C1110" t="s">
        <v>1709</v>
      </c>
      <c r="F1110" t="s">
        <v>649</v>
      </c>
      <c r="M1110">
        <v>0</v>
      </c>
      <c r="N1110">
        <v>0</v>
      </c>
      <c r="O1110">
        <v>0</v>
      </c>
      <c r="P1110">
        <v>9</v>
      </c>
      <c r="Q1110">
        <v>0</v>
      </c>
    </row>
    <row r="1111" spans="1:17" x14ac:dyDescent="0.3">
      <c r="A1111">
        <v>79</v>
      </c>
      <c r="B1111" t="s">
        <v>1058</v>
      </c>
      <c r="C1111" t="s">
        <v>1709</v>
      </c>
      <c r="E1111">
        <v>5204</v>
      </c>
      <c r="F1111" t="s">
        <v>2681</v>
      </c>
      <c r="G1111" t="s">
        <v>2682</v>
      </c>
      <c r="H1111" t="s">
        <v>965</v>
      </c>
      <c r="I1111">
        <v>77007</v>
      </c>
      <c r="J1111" t="s">
        <v>2683</v>
      </c>
      <c r="K1111">
        <v>8325917080</v>
      </c>
      <c r="M1111">
        <v>1000</v>
      </c>
      <c r="N1111">
        <v>1000</v>
      </c>
      <c r="O1111">
        <v>4</v>
      </c>
      <c r="P1111">
        <v>48</v>
      </c>
      <c r="Q1111">
        <v>17</v>
      </c>
    </row>
    <row r="1112" spans="1:17" x14ac:dyDescent="0.3">
      <c r="A1112">
        <v>80</v>
      </c>
      <c r="B1112" t="s">
        <v>723</v>
      </c>
      <c r="C1112" t="s">
        <v>1709</v>
      </c>
      <c r="F1112" t="s">
        <v>649</v>
      </c>
      <c r="M1112">
        <v>0</v>
      </c>
      <c r="N1112">
        <v>0</v>
      </c>
      <c r="O1112">
        <v>0</v>
      </c>
      <c r="P1112">
        <v>2</v>
      </c>
      <c r="Q1112">
        <v>0</v>
      </c>
    </row>
    <row r="1113" spans="1:17" x14ac:dyDescent="0.3">
      <c r="A1113">
        <v>81</v>
      </c>
      <c r="B1113" t="s">
        <v>1207</v>
      </c>
      <c r="C1113" t="s">
        <v>1709</v>
      </c>
      <c r="E1113">
        <v>5157</v>
      </c>
      <c r="F1113" t="s">
        <v>666</v>
      </c>
      <c r="G1113" t="s">
        <v>2642</v>
      </c>
      <c r="H1113" t="s">
        <v>965</v>
      </c>
      <c r="I1113">
        <v>77536</v>
      </c>
      <c r="J1113" t="s">
        <v>2643</v>
      </c>
      <c r="K1113">
        <v>8329442772</v>
      </c>
      <c r="M1113">
        <v>525</v>
      </c>
      <c r="N1113">
        <v>525</v>
      </c>
      <c r="O1113">
        <v>2</v>
      </c>
      <c r="P1113">
        <v>9</v>
      </c>
      <c r="Q1113">
        <v>5</v>
      </c>
    </row>
    <row r="1114" spans="1:17" x14ac:dyDescent="0.3">
      <c r="A1114">
        <v>82</v>
      </c>
      <c r="B1114" t="s">
        <v>2037</v>
      </c>
      <c r="C1114" t="s">
        <v>1709</v>
      </c>
      <c r="E1114">
        <v>5049</v>
      </c>
      <c r="F1114" t="s">
        <v>1574</v>
      </c>
      <c r="G1114" t="s">
        <v>1575</v>
      </c>
      <c r="H1114" t="s">
        <v>965</v>
      </c>
      <c r="I1114">
        <v>77459</v>
      </c>
      <c r="J1114" t="s">
        <v>1576</v>
      </c>
      <c r="K1114">
        <v>2813841667</v>
      </c>
      <c r="M1114">
        <v>500</v>
      </c>
      <c r="N1114">
        <v>500</v>
      </c>
      <c r="O1114">
        <v>1</v>
      </c>
      <c r="P1114">
        <v>6</v>
      </c>
      <c r="Q1114">
        <v>1</v>
      </c>
    </row>
    <row r="1115" spans="1:17" x14ac:dyDescent="0.3">
      <c r="A1115" t="s">
        <v>436</v>
      </c>
      <c r="B1115" t="s">
        <v>2739</v>
      </c>
      <c r="C1115" t="s">
        <v>1709</v>
      </c>
      <c r="E1115">
        <v>5243</v>
      </c>
      <c r="F1115" t="s">
        <v>2705</v>
      </c>
      <c r="G1115" t="s">
        <v>2706</v>
      </c>
      <c r="H1115" t="s">
        <v>965</v>
      </c>
      <c r="I1115">
        <v>77063</v>
      </c>
      <c r="J1115" t="s">
        <v>2707</v>
      </c>
      <c r="K1115">
        <v>8329294592</v>
      </c>
      <c r="M1115">
        <v>2900</v>
      </c>
      <c r="N1115">
        <v>2900</v>
      </c>
      <c r="O1115">
        <v>26</v>
      </c>
      <c r="P1115">
        <v>89</v>
      </c>
      <c r="Q1115">
        <v>30</v>
      </c>
    </row>
    <row r="1116" spans="1:17" x14ac:dyDescent="0.3">
      <c r="A1116">
        <v>83</v>
      </c>
      <c r="B1116" t="s">
        <v>2025</v>
      </c>
      <c r="C1116" t="s">
        <v>1709</v>
      </c>
      <c r="E1116">
        <v>5085</v>
      </c>
      <c r="F1116" t="s">
        <v>2636</v>
      </c>
      <c r="G1116" t="s">
        <v>2637</v>
      </c>
      <c r="H1116" t="s">
        <v>965</v>
      </c>
      <c r="I1116">
        <v>77498</v>
      </c>
      <c r="J1116" t="s">
        <v>2638</v>
      </c>
      <c r="K1116">
        <v>8322830578</v>
      </c>
      <c r="M1116">
        <v>500</v>
      </c>
      <c r="N1116">
        <v>500</v>
      </c>
      <c r="O1116">
        <v>1</v>
      </c>
      <c r="P1116">
        <v>8</v>
      </c>
      <c r="Q1116">
        <v>2</v>
      </c>
    </row>
    <row r="1117" spans="1:17" x14ac:dyDescent="0.3">
      <c r="A1117">
        <v>84</v>
      </c>
      <c r="B1117" t="s">
        <v>724</v>
      </c>
      <c r="C1117" t="s">
        <v>1709</v>
      </c>
      <c r="F1117" t="s">
        <v>649</v>
      </c>
      <c r="M1117">
        <v>0</v>
      </c>
      <c r="N1117">
        <v>0</v>
      </c>
      <c r="O1117">
        <v>0</v>
      </c>
      <c r="P1117">
        <v>21</v>
      </c>
      <c r="Q1117">
        <v>1</v>
      </c>
    </row>
    <row r="1118" spans="1:17" x14ac:dyDescent="0.3">
      <c r="A1118">
        <v>85</v>
      </c>
      <c r="B1118" t="s">
        <v>1972</v>
      </c>
      <c r="C1118" t="s">
        <v>1709</v>
      </c>
      <c r="E1118">
        <v>5229</v>
      </c>
      <c r="F1118" t="s">
        <v>2689</v>
      </c>
      <c r="G1118" t="s">
        <v>2690</v>
      </c>
      <c r="H1118" t="s">
        <v>965</v>
      </c>
      <c r="I1118">
        <v>75791</v>
      </c>
      <c r="J1118" t="s">
        <v>2691</v>
      </c>
      <c r="K1118" t="s">
        <v>2692</v>
      </c>
      <c r="L1118" t="s">
        <v>2693</v>
      </c>
      <c r="M1118">
        <v>525</v>
      </c>
      <c r="N1118">
        <v>525</v>
      </c>
      <c r="O1118">
        <v>2</v>
      </c>
      <c r="P1118">
        <v>13</v>
      </c>
      <c r="Q1118">
        <v>3</v>
      </c>
    </row>
    <row r="1119" spans="1:17" x14ac:dyDescent="0.3">
      <c r="A1119">
        <v>86</v>
      </c>
      <c r="B1119" t="s">
        <v>2014</v>
      </c>
      <c r="C1119" t="s">
        <v>1709</v>
      </c>
      <c r="E1119">
        <v>5129</v>
      </c>
      <c r="F1119" t="s">
        <v>645</v>
      </c>
      <c r="G1119" t="s">
        <v>2268</v>
      </c>
      <c r="H1119" t="s">
        <v>2269</v>
      </c>
      <c r="I1119" t="s">
        <v>2270</v>
      </c>
      <c r="J1119" t="s">
        <v>2271</v>
      </c>
      <c r="K1119">
        <v>7765000046</v>
      </c>
      <c r="M1119">
        <v>500</v>
      </c>
      <c r="N1119">
        <v>10000</v>
      </c>
      <c r="O1119">
        <v>1</v>
      </c>
      <c r="P1119">
        <v>23</v>
      </c>
      <c r="Q1119">
        <v>4</v>
      </c>
    </row>
    <row r="1120" spans="1:17" x14ac:dyDescent="0.3">
      <c r="A1120" t="s">
        <v>491</v>
      </c>
      <c r="B1120" t="s">
        <v>2740</v>
      </c>
      <c r="C1120" t="s">
        <v>1709</v>
      </c>
      <c r="E1120">
        <v>5233</v>
      </c>
      <c r="F1120" t="s">
        <v>2617</v>
      </c>
      <c r="G1120" t="s">
        <v>2618</v>
      </c>
      <c r="H1120" t="s">
        <v>965</v>
      </c>
      <c r="I1120">
        <v>77089</v>
      </c>
      <c r="J1120" t="s">
        <v>2619</v>
      </c>
      <c r="K1120">
        <v>2818999801</v>
      </c>
      <c r="M1120">
        <v>120500</v>
      </c>
      <c r="N1120">
        <v>120500</v>
      </c>
      <c r="O1120">
        <v>23</v>
      </c>
      <c r="P1120">
        <v>257</v>
      </c>
      <c r="Q1120">
        <v>75</v>
      </c>
    </row>
    <row r="1121" spans="1:17" x14ac:dyDescent="0.3">
      <c r="A1121">
        <v>87</v>
      </c>
      <c r="B1121" t="s">
        <v>725</v>
      </c>
      <c r="C1121" t="s">
        <v>1709</v>
      </c>
      <c r="F1121" t="s">
        <v>649</v>
      </c>
      <c r="M1121">
        <v>0</v>
      </c>
      <c r="N1121">
        <v>0</v>
      </c>
      <c r="O1121">
        <v>0</v>
      </c>
      <c r="P1121">
        <v>21</v>
      </c>
      <c r="Q1121">
        <v>3</v>
      </c>
    </row>
    <row r="1122" spans="1:17" x14ac:dyDescent="0.3">
      <c r="A1122">
        <v>88</v>
      </c>
      <c r="B1122" t="s">
        <v>726</v>
      </c>
      <c r="C1122" t="s">
        <v>1709</v>
      </c>
      <c r="F1122" t="s">
        <v>649</v>
      </c>
      <c r="M1122">
        <v>0</v>
      </c>
      <c r="N1122">
        <v>0</v>
      </c>
      <c r="O1122">
        <v>0</v>
      </c>
      <c r="P1122">
        <v>17</v>
      </c>
      <c r="Q1122">
        <v>1</v>
      </c>
    </row>
    <row r="1123" spans="1:17" x14ac:dyDescent="0.3">
      <c r="A1123" t="s">
        <v>751</v>
      </c>
      <c r="B1123" t="s">
        <v>2741</v>
      </c>
      <c r="C1123" t="s">
        <v>1709</v>
      </c>
      <c r="E1123">
        <v>5178</v>
      </c>
      <c r="F1123" t="s">
        <v>2734</v>
      </c>
      <c r="G1123" t="s">
        <v>2735</v>
      </c>
      <c r="H1123" t="s">
        <v>965</v>
      </c>
      <c r="I1123">
        <v>77833</v>
      </c>
      <c r="J1123" t="s">
        <v>2736</v>
      </c>
      <c r="K1123">
        <v>9792772720</v>
      </c>
      <c r="M1123">
        <v>4500</v>
      </c>
      <c r="N1123">
        <v>4500</v>
      </c>
      <c r="O1123">
        <v>15</v>
      </c>
      <c r="P1123">
        <v>98</v>
      </c>
      <c r="Q1123">
        <v>16</v>
      </c>
    </row>
    <row r="1124" spans="1:17" x14ac:dyDescent="0.3">
      <c r="A1124">
        <v>89</v>
      </c>
      <c r="B1124" t="s">
        <v>727</v>
      </c>
      <c r="C1124" t="s">
        <v>1709</v>
      </c>
      <c r="F1124" t="s">
        <v>649</v>
      </c>
      <c r="M1124">
        <v>0</v>
      </c>
      <c r="N1124">
        <v>0</v>
      </c>
      <c r="O1124">
        <v>0</v>
      </c>
      <c r="P1124">
        <v>16</v>
      </c>
      <c r="Q1124">
        <v>0</v>
      </c>
    </row>
    <row r="1125" spans="1:17" x14ac:dyDescent="0.3">
      <c r="A1125">
        <v>90</v>
      </c>
      <c r="B1125" t="s">
        <v>1994</v>
      </c>
      <c r="C1125" t="s">
        <v>1709</v>
      </c>
      <c r="E1125">
        <v>5193</v>
      </c>
      <c r="F1125" t="s">
        <v>2742</v>
      </c>
      <c r="G1125" t="s">
        <v>2743</v>
      </c>
      <c r="H1125" t="s">
        <v>965</v>
      </c>
      <c r="I1125">
        <v>77035</v>
      </c>
      <c r="J1125" t="s">
        <v>2744</v>
      </c>
      <c r="K1125">
        <v>2815417374</v>
      </c>
      <c r="M1125">
        <v>725</v>
      </c>
      <c r="N1125">
        <v>725</v>
      </c>
      <c r="O1125">
        <v>6</v>
      </c>
      <c r="P1125">
        <v>29</v>
      </c>
      <c r="Q1125">
        <v>4</v>
      </c>
    </row>
    <row r="1126" spans="1:17" x14ac:dyDescent="0.3">
      <c r="A1126">
        <v>91</v>
      </c>
      <c r="B1126" t="s">
        <v>728</v>
      </c>
      <c r="C1126" t="s">
        <v>1709</v>
      </c>
      <c r="E1126">
        <v>5129</v>
      </c>
      <c r="F1126" t="s">
        <v>645</v>
      </c>
      <c r="G1126" t="s">
        <v>2268</v>
      </c>
      <c r="H1126" t="s">
        <v>2269</v>
      </c>
      <c r="I1126" t="s">
        <v>2270</v>
      </c>
      <c r="J1126" t="s">
        <v>2271</v>
      </c>
      <c r="K1126">
        <v>7765000046</v>
      </c>
      <c r="M1126">
        <v>500</v>
      </c>
      <c r="N1126">
        <v>500</v>
      </c>
      <c r="O1126">
        <v>1</v>
      </c>
      <c r="P1126">
        <v>6</v>
      </c>
      <c r="Q1126">
        <v>2</v>
      </c>
    </row>
    <row r="1127" spans="1:17" x14ac:dyDescent="0.3">
      <c r="A1127" t="s">
        <v>493</v>
      </c>
      <c r="B1127" t="s">
        <v>2745</v>
      </c>
      <c r="C1127" t="s">
        <v>1709</v>
      </c>
      <c r="E1127">
        <v>5225</v>
      </c>
      <c r="F1127" t="s">
        <v>1957</v>
      </c>
      <c r="G1127" t="s">
        <v>1958</v>
      </c>
      <c r="H1127" t="s">
        <v>965</v>
      </c>
      <c r="I1127">
        <v>77379</v>
      </c>
      <c r="J1127" t="s">
        <v>1959</v>
      </c>
      <c r="K1127">
        <v>2817556242</v>
      </c>
      <c r="L1127">
        <v>2817556242</v>
      </c>
      <c r="M1127">
        <v>41500</v>
      </c>
      <c r="N1127">
        <v>41500</v>
      </c>
      <c r="O1127">
        <v>40</v>
      </c>
      <c r="P1127">
        <v>212</v>
      </c>
      <c r="Q1127">
        <v>90</v>
      </c>
    </row>
    <row r="1128" spans="1:17" x14ac:dyDescent="0.3">
      <c r="A1128">
        <v>92</v>
      </c>
      <c r="B1128" t="s">
        <v>1972</v>
      </c>
      <c r="C1128" t="s">
        <v>1709</v>
      </c>
      <c r="E1128">
        <v>5058</v>
      </c>
      <c r="F1128" t="s">
        <v>702</v>
      </c>
      <c r="G1128" t="s">
        <v>1132</v>
      </c>
      <c r="H1128" t="s">
        <v>965</v>
      </c>
      <c r="I1128">
        <v>77407</v>
      </c>
      <c r="J1128" t="s">
        <v>1133</v>
      </c>
      <c r="K1128">
        <v>8324644119</v>
      </c>
      <c r="M1128">
        <v>525</v>
      </c>
      <c r="N1128">
        <v>525</v>
      </c>
      <c r="O1128">
        <v>2</v>
      </c>
      <c r="P1128">
        <v>11</v>
      </c>
      <c r="Q1128">
        <v>2</v>
      </c>
    </row>
    <row r="1129" spans="1:17" x14ac:dyDescent="0.3">
      <c r="A1129">
        <v>93</v>
      </c>
      <c r="B1129" t="s">
        <v>1992</v>
      </c>
      <c r="C1129" t="s">
        <v>1709</v>
      </c>
      <c r="E1129">
        <v>5187</v>
      </c>
      <c r="F1129" t="s">
        <v>658</v>
      </c>
      <c r="G1129" t="s">
        <v>964</v>
      </c>
      <c r="H1129" t="s">
        <v>965</v>
      </c>
      <c r="I1129">
        <v>77705</v>
      </c>
      <c r="J1129" t="s">
        <v>966</v>
      </c>
      <c r="K1129">
        <v>8322973609</v>
      </c>
      <c r="M1129">
        <v>550</v>
      </c>
      <c r="N1129">
        <v>550</v>
      </c>
      <c r="O1129">
        <v>3</v>
      </c>
      <c r="P1129">
        <v>16</v>
      </c>
      <c r="Q1129">
        <v>6</v>
      </c>
    </row>
    <row r="1130" spans="1:17" x14ac:dyDescent="0.3">
      <c r="A1130">
        <v>94</v>
      </c>
      <c r="B1130" t="s">
        <v>728</v>
      </c>
      <c r="C1130" t="s">
        <v>1709</v>
      </c>
      <c r="F1130" t="s">
        <v>649</v>
      </c>
      <c r="M1130">
        <v>0</v>
      </c>
      <c r="N1130">
        <v>0</v>
      </c>
      <c r="O1130">
        <v>0</v>
      </c>
      <c r="P1130">
        <v>4</v>
      </c>
      <c r="Q1130">
        <v>0</v>
      </c>
    </row>
    <row r="1131" spans="1:17" x14ac:dyDescent="0.3">
      <c r="A1131">
        <v>95</v>
      </c>
      <c r="B1131" t="s">
        <v>729</v>
      </c>
      <c r="C1131" t="s">
        <v>1709</v>
      </c>
      <c r="F1131" t="s">
        <v>649</v>
      </c>
      <c r="M1131">
        <v>0</v>
      </c>
      <c r="N1131">
        <v>0</v>
      </c>
      <c r="O1131">
        <v>0</v>
      </c>
      <c r="P1131">
        <v>14</v>
      </c>
      <c r="Q1131">
        <v>0</v>
      </c>
    </row>
    <row r="1132" spans="1:17" x14ac:dyDescent="0.3">
      <c r="A1132">
        <v>96</v>
      </c>
      <c r="B1132" t="s">
        <v>1982</v>
      </c>
      <c r="C1132" t="s">
        <v>1709</v>
      </c>
      <c r="E1132">
        <v>5129</v>
      </c>
      <c r="F1132" t="s">
        <v>645</v>
      </c>
      <c r="G1132" t="s">
        <v>2268</v>
      </c>
      <c r="H1132" t="s">
        <v>2269</v>
      </c>
      <c r="I1132" t="s">
        <v>2270</v>
      </c>
      <c r="J1132" t="s">
        <v>2271</v>
      </c>
      <c r="K1132">
        <v>7765000046</v>
      </c>
      <c r="M1132">
        <v>500</v>
      </c>
      <c r="N1132">
        <v>10000</v>
      </c>
      <c r="O1132">
        <v>1</v>
      </c>
      <c r="P1132">
        <v>6</v>
      </c>
      <c r="Q1132">
        <v>1</v>
      </c>
    </row>
    <row r="1133" spans="1:17" x14ac:dyDescent="0.3">
      <c r="A1133" t="s">
        <v>495</v>
      </c>
      <c r="B1133" t="s">
        <v>2746</v>
      </c>
      <c r="C1133" t="s">
        <v>1709</v>
      </c>
      <c r="E1133">
        <v>5233</v>
      </c>
      <c r="F1133" t="s">
        <v>2617</v>
      </c>
      <c r="G1133" t="s">
        <v>2618</v>
      </c>
      <c r="H1133" t="s">
        <v>965</v>
      </c>
      <c r="I1133">
        <v>77089</v>
      </c>
      <c r="J1133" t="s">
        <v>2619</v>
      </c>
      <c r="K1133">
        <v>2818999801</v>
      </c>
      <c r="M1133">
        <v>75000</v>
      </c>
      <c r="N1133">
        <v>75000</v>
      </c>
      <c r="O1133">
        <v>55</v>
      </c>
      <c r="P1133">
        <v>262</v>
      </c>
      <c r="Q1133">
        <v>59</v>
      </c>
    </row>
    <row r="1134" spans="1:17" x14ac:dyDescent="0.3">
      <c r="A1134">
        <v>97</v>
      </c>
      <c r="B1134" t="s">
        <v>728</v>
      </c>
      <c r="C1134" t="s">
        <v>1709</v>
      </c>
      <c r="F1134" t="s">
        <v>649</v>
      </c>
      <c r="M1134">
        <v>0</v>
      </c>
      <c r="N1134">
        <v>0</v>
      </c>
      <c r="O1134">
        <v>0</v>
      </c>
      <c r="P1134">
        <v>5</v>
      </c>
      <c r="Q1134">
        <v>0</v>
      </c>
    </row>
    <row r="1135" spans="1:17" x14ac:dyDescent="0.3">
      <c r="A1135">
        <v>98</v>
      </c>
      <c r="B1135" t="s">
        <v>730</v>
      </c>
      <c r="C1135" t="s">
        <v>1709</v>
      </c>
      <c r="F1135" t="s">
        <v>649</v>
      </c>
      <c r="M1135">
        <v>0</v>
      </c>
      <c r="N1135">
        <v>0</v>
      </c>
      <c r="O1135">
        <v>0</v>
      </c>
      <c r="P1135">
        <v>6</v>
      </c>
      <c r="Q1135">
        <v>0</v>
      </c>
    </row>
    <row r="1136" spans="1:17" x14ac:dyDescent="0.3">
      <c r="A1136" t="s">
        <v>756</v>
      </c>
      <c r="B1136" t="s">
        <v>2747</v>
      </c>
      <c r="C1136" t="s">
        <v>1709</v>
      </c>
      <c r="E1136">
        <v>5243</v>
      </c>
      <c r="F1136" t="s">
        <v>2705</v>
      </c>
      <c r="G1136" t="s">
        <v>2706</v>
      </c>
      <c r="H1136" t="s">
        <v>965</v>
      </c>
      <c r="I1136">
        <v>77063</v>
      </c>
      <c r="J1136" t="s">
        <v>2707</v>
      </c>
      <c r="K1136">
        <v>8329294592</v>
      </c>
      <c r="M1136">
        <v>5850</v>
      </c>
      <c r="N1136">
        <v>5850</v>
      </c>
      <c r="O1136">
        <v>25</v>
      </c>
      <c r="P1136">
        <v>123</v>
      </c>
      <c r="Q1136">
        <v>47</v>
      </c>
    </row>
    <row r="1137" spans="1:17" x14ac:dyDescent="0.3">
      <c r="A1137">
        <v>99</v>
      </c>
      <c r="B1137" t="s">
        <v>1973</v>
      </c>
      <c r="C1137" t="s">
        <v>1709</v>
      </c>
      <c r="E1137">
        <v>5235</v>
      </c>
      <c r="F1137" t="s">
        <v>663</v>
      </c>
      <c r="G1137" t="s">
        <v>2309</v>
      </c>
      <c r="H1137" t="s">
        <v>965</v>
      </c>
      <c r="I1137">
        <v>77081</v>
      </c>
      <c r="J1137" t="s">
        <v>2310</v>
      </c>
      <c r="K1137" t="s">
        <v>2311</v>
      </c>
      <c r="M1137">
        <v>500</v>
      </c>
      <c r="N1137">
        <v>500</v>
      </c>
      <c r="O1137">
        <v>1</v>
      </c>
      <c r="P1137">
        <v>12</v>
      </c>
      <c r="Q1137">
        <v>1</v>
      </c>
    </row>
    <row r="1138" spans="1:17" x14ac:dyDescent="0.3">
      <c r="A1138">
        <v>100</v>
      </c>
      <c r="B1138" t="s">
        <v>1969</v>
      </c>
      <c r="C1138" t="s">
        <v>1709</v>
      </c>
      <c r="E1138">
        <v>5129</v>
      </c>
      <c r="F1138" t="s">
        <v>645</v>
      </c>
      <c r="G1138" t="s">
        <v>2268</v>
      </c>
      <c r="H1138" t="s">
        <v>2269</v>
      </c>
      <c r="I1138" t="s">
        <v>2270</v>
      </c>
      <c r="J1138" t="s">
        <v>2271</v>
      </c>
      <c r="K1138">
        <v>7765000046</v>
      </c>
      <c r="M1138">
        <v>500</v>
      </c>
      <c r="N1138">
        <v>500</v>
      </c>
      <c r="O1138">
        <v>1</v>
      </c>
      <c r="P1138">
        <v>8</v>
      </c>
      <c r="Q1138">
        <v>2</v>
      </c>
    </row>
    <row r="1139" spans="1:17" x14ac:dyDescent="0.3">
      <c r="A1139" t="s">
        <v>340</v>
      </c>
      <c r="B1139" t="s">
        <v>2748</v>
      </c>
      <c r="C1139" t="s">
        <v>1709</v>
      </c>
      <c r="E1139">
        <v>5213</v>
      </c>
      <c r="F1139" t="s">
        <v>644</v>
      </c>
      <c r="G1139" t="s">
        <v>968</v>
      </c>
      <c r="H1139" t="s">
        <v>965</v>
      </c>
      <c r="I1139">
        <v>77477</v>
      </c>
      <c r="J1139" t="s">
        <v>969</v>
      </c>
      <c r="K1139" t="s">
        <v>970</v>
      </c>
      <c r="M1139">
        <v>18500</v>
      </c>
      <c r="N1139">
        <v>20000</v>
      </c>
      <c r="O1139">
        <v>19</v>
      </c>
      <c r="P1139">
        <v>143</v>
      </c>
      <c r="Q1139">
        <v>64</v>
      </c>
    </row>
    <row r="1140" spans="1:17" x14ac:dyDescent="0.3">
      <c r="A1140">
        <v>101</v>
      </c>
      <c r="B1140" t="s">
        <v>1111</v>
      </c>
      <c r="C1140" t="s">
        <v>1709</v>
      </c>
      <c r="E1140">
        <v>5116</v>
      </c>
      <c r="F1140" t="s">
        <v>642</v>
      </c>
      <c r="G1140" t="s">
        <v>1677</v>
      </c>
      <c r="H1140" t="s">
        <v>965</v>
      </c>
      <c r="I1140">
        <v>77469</v>
      </c>
      <c r="J1140" t="s">
        <v>1678</v>
      </c>
      <c r="K1140">
        <v>7135454257</v>
      </c>
      <c r="M1140">
        <v>500</v>
      </c>
      <c r="N1140">
        <v>500</v>
      </c>
      <c r="O1140">
        <v>1</v>
      </c>
      <c r="P1140">
        <v>11</v>
      </c>
      <c r="Q1140">
        <v>6</v>
      </c>
    </row>
    <row r="1141" spans="1:17" x14ac:dyDescent="0.3">
      <c r="A1141" t="s">
        <v>497</v>
      </c>
      <c r="B1141" t="s">
        <v>2021</v>
      </c>
      <c r="C1141" t="s">
        <v>1709</v>
      </c>
      <c r="E1141">
        <v>5233</v>
      </c>
      <c r="F1141" t="s">
        <v>2617</v>
      </c>
      <c r="G1141" t="s">
        <v>2618</v>
      </c>
      <c r="H1141" t="s">
        <v>965</v>
      </c>
      <c r="I1141">
        <v>77089</v>
      </c>
      <c r="J1141" t="s">
        <v>2619</v>
      </c>
      <c r="K1141">
        <v>2818999801</v>
      </c>
      <c r="M1141">
        <v>9000</v>
      </c>
      <c r="N1141">
        <v>9000</v>
      </c>
      <c r="O1141">
        <v>26</v>
      </c>
      <c r="P1141">
        <v>98</v>
      </c>
      <c r="Q1141">
        <v>27</v>
      </c>
    </row>
    <row r="1142" spans="1:17" x14ac:dyDescent="0.3">
      <c r="A1142">
        <v>102</v>
      </c>
      <c r="B1142" t="s">
        <v>731</v>
      </c>
      <c r="C1142" t="s">
        <v>1709</v>
      </c>
      <c r="F1142" t="s">
        <v>649</v>
      </c>
      <c r="M1142">
        <v>0</v>
      </c>
      <c r="N1142">
        <v>0</v>
      </c>
      <c r="O1142">
        <v>0</v>
      </c>
      <c r="P1142">
        <v>3</v>
      </c>
      <c r="Q1142">
        <v>0</v>
      </c>
    </row>
    <row r="1143" spans="1:17" x14ac:dyDescent="0.3">
      <c r="A1143">
        <v>103</v>
      </c>
      <c r="B1143" t="s">
        <v>1946</v>
      </c>
      <c r="C1143" t="s">
        <v>1709</v>
      </c>
      <c r="F1143" t="s">
        <v>649</v>
      </c>
      <c r="M1143">
        <v>0</v>
      </c>
      <c r="N1143">
        <v>0</v>
      </c>
      <c r="O1143">
        <v>0</v>
      </c>
      <c r="P1143">
        <v>6</v>
      </c>
      <c r="Q1143">
        <v>1</v>
      </c>
    </row>
    <row r="1144" spans="1:17" x14ac:dyDescent="0.3">
      <c r="A1144" t="s">
        <v>1942</v>
      </c>
      <c r="B1144" t="s">
        <v>2749</v>
      </c>
      <c r="C1144" t="s">
        <v>1709</v>
      </c>
      <c r="E1144">
        <v>5166</v>
      </c>
      <c r="F1144" t="s">
        <v>2146</v>
      </c>
      <c r="G1144" t="s">
        <v>2147</v>
      </c>
      <c r="H1144" t="s">
        <v>965</v>
      </c>
      <c r="I1144">
        <v>75956</v>
      </c>
      <c r="J1144" t="s">
        <v>2148</v>
      </c>
      <c r="K1144">
        <v>4093842254</v>
      </c>
      <c r="L1144">
        <v>4093823362</v>
      </c>
      <c r="M1144">
        <v>10000</v>
      </c>
      <c r="N1144">
        <v>12500</v>
      </c>
      <c r="O1144">
        <v>34</v>
      </c>
      <c r="P1144">
        <v>66</v>
      </c>
      <c r="Q1144">
        <v>12</v>
      </c>
    </row>
    <row r="1145" spans="1:17" x14ac:dyDescent="0.3">
      <c r="A1145" t="s">
        <v>499</v>
      </c>
      <c r="B1145" t="s">
        <v>431</v>
      </c>
      <c r="C1145" t="s">
        <v>1709</v>
      </c>
      <c r="E1145">
        <v>5213</v>
      </c>
      <c r="F1145" t="s">
        <v>644</v>
      </c>
      <c r="G1145" t="s">
        <v>968</v>
      </c>
      <c r="H1145" t="s">
        <v>965</v>
      </c>
      <c r="I1145">
        <v>77477</v>
      </c>
      <c r="J1145" t="s">
        <v>969</v>
      </c>
      <c r="K1145" t="s">
        <v>970</v>
      </c>
      <c r="M1145">
        <v>8750</v>
      </c>
      <c r="N1145">
        <v>10000</v>
      </c>
      <c r="O1145">
        <v>19</v>
      </c>
      <c r="P1145">
        <v>90</v>
      </c>
      <c r="Q1145">
        <v>19</v>
      </c>
    </row>
    <row r="1146" spans="1:17" x14ac:dyDescent="0.3">
      <c r="A1146" t="s">
        <v>503</v>
      </c>
      <c r="B1146" t="s">
        <v>2021</v>
      </c>
      <c r="C1146" t="s">
        <v>1709</v>
      </c>
      <c r="E1146">
        <v>5233</v>
      </c>
      <c r="F1146" t="s">
        <v>2617</v>
      </c>
      <c r="G1146" t="s">
        <v>2618</v>
      </c>
      <c r="H1146" t="s">
        <v>965</v>
      </c>
      <c r="I1146">
        <v>77089</v>
      </c>
      <c r="J1146" t="s">
        <v>2619</v>
      </c>
      <c r="K1146">
        <v>2818999801</v>
      </c>
      <c r="M1146">
        <v>7500</v>
      </c>
      <c r="N1146">
        <v>7500</v>
      </c>
      <c r="O1146">
        <v>15</v>
      </c>
      <c r="P1146">
        <v>86</v>
      </c>
      <c r="Q1146">
        <v>29</v>
      </c>
    </row>
    <row r="1147" spans="1:17" x14ac:dyDescent="0.3">
      <c r="A1147" t="s">
        <v>770</v>
      </c>
      <c r="B1147" t="s">
        <v>2750</v>
      </c>
      <c r="C1147" t="s">
        <v>1709</v>
      </c>
      <c r="E1147">
        <v>5252</v>
      </c>
      <c r="F1147" t="s">
        <v>2751</v>
      </c>
      <c r="G1147" t="s">
        <v>2752</v>
      </c>
      <c r="H1147" t="s">
        <v>965</v>
      </c>
      <c r="I1147">
        <v>77021</v>
      </c>
      <c r="J1147" t="s">
        <v>2753</v>
      </c>
      <c r="K1147">
        <v>8327749794</v>
      </c>
      <c r="M1147">
        <v>30000</v>
      </c>
      <c r="N1147">
        <v>30000</v>
      </c>
      <c r="O1147">
        <v>32</v>
      </c>
      <c r="P1147">
        <v>119</v>
      </c>
      <c r="Q1147">
        <v>40</v>
      </c>
    </row>
    <row r="1148" spans="1:17" x14ac:dyDescent="0.3">
      <c r="A1148" t="s">
        <v>1267</v>
      </c>
      <c r="B1148" t="s">
        <v>2754</v>
      </c>
      <c r="C1148" t="s">
        <v>1709</v>
      </c>
      <c r="E1148">
        <v>5116</v>
      </c>
      <c r="F1148" t="s">
        <v>642</v>
      </c>
      <c r="G1148" t="s">
        <v>1677</v>
      </c>
      <c r="H1148" t="s">
        <v>965</v>
      </c>
      <c r="I1148">
        <v>77469</v>
      </c>
      <c r="J1148" t="s">
        <v>1678</v>
      </c>
      <c r="K1148">
        <v>7135454257</v>
      </c>
      <c r="M1148">
        <v>2500</v>
      </c>
      <c r="N1148">
        <v>2500</v>
      </c>
      <c r="O1148">
        <v>27</v>
      </c>
      <c r="P1148">
        <v>85</v>
      </c>
      <c r="Q1148">
        <v>26</v>
      </c>
    </row>
    <row r="1149" spans="1:17" x14ac:dyDescent="0.3">
      <c r="A1149" t="s">
        <v>505</v>
      </c>
      <c r="B1149" t="s">
        <v>2073</v>
      </c>
      <c r="C1149" t="s">
        <v>1709</v>
      </c>
      <c r="E1149">
        <v>5165</v>
      </c>
      <c r="F1149" t="s">
        <v>2631</v>
      </c>
      <c r="G1149" t="s">
        <v>2632</v>
      </c>
      <c r="H1149" t="s">
        <v>965</v>
      </c>
      <c r="I1149">
        <v>78155</v>
      </c>
      <c r="J1149" t="s">
        <v>2633</v>
      </c>
      <c r="K1149">
        <v>5123607034</v>
      </c>
      <c r="M1149">
        <v>15500</v>
      </c>
      <c r="N1149">
        <v>15500</v>
      </c>
      <c r="O1149">
        <v>46</v>
      </c>
      <c r="P1149">
        <v>64</v>
      </c>
      <c r="Q1149">
        <v>16</v>
      </c>
    </row>
    <row r="1150" spans="1:17" x14ac:dyDescent="0.3">
      <c r="A1150" t="s">
        <v>344</v>
      </c>
      <c r="B1150" t="s">
        <v>2755</v>
      </c>
      <c r="C1150" t="s">
        <v>1709</v>
      </c>
      <c r="E1150">
        <v>5169</v>
      </c>
      <c r="F1150" t="s">
        <v>694</v>
      </c>
      <c r="G1150" t="s">
        <v>2697</v>
      </c>
      <c r="H1150" t="s">
        <v>965</v>
      </c>
      <c r="I1150">
        <v>77477</v>
      </c>
      <c r="J1150" t="s">
        <v>2698</v>
      </c>
      <c r="K1150">
        <v>7759994244</v>
      </c>
      <c r="M1150">
        <v>2700</v>
      </c>
      <c r="N1150">
        <v>10000</v>
      </c>
      <c r="O1150">
        <v>25</v>
      </c>
      <c r="P1150">
        <v>55</v>
      </c>
      <c r="Q1150">
        <v>18</v>
      </c>
    </row>
    <row r="1151" spans="1:17" x14ac:dyDescent="0.3">
      <c r="A1151" t="s">
        <v>507</v>
      </c>
      <c r="B1151" t="s">
        <v>2084</v>
      </c>
      <c r="C1151" t="s">
        <v>1709</v>
      </c>
      <c r="E1151">
        <v>5168</v>
      </c>
      <c r="F1151" t="s">
        <v>643</v>
      </c>
      <c r="G1151" t="s">
        <v>2275</v>
      </c>
      <c r="H1151" t="s">
        <v>965</v>
      </c>
      <c r="I1151">
        <v>77036</v>
      </c>
      <c r="J1151" t="s">
        <v>2276</v>
      </c>
      <c r="K1151">
        <v>3238646733</v>
      </c>
      <c r="M1151">
        <v>18500</v>
      </c>
      <c r="N1151">
        <v>18500</v>
      </c>
      <c r="O1151">
        <v>16</v>
      </c>
      <c r="P1151">
        <v>74</v>
      </c>
      <c r="Q1151">
        <v>28</v>
      </c>
    </row>
    <row r="1152" spans="1:17" x14ac:dyDescent="0.3">
      <c r="A1152" t="s">
        <v>346</v>
      </c>
      <c r="B1152" t="s">
        <v>755</v>
      </c>
      <c r="C1152" t="s">
        <v>1709</v>
      </c>
      <c r="E1152">
        <v>5169</v>
      </c>
      <c r="F1152" t="s">
        <v>694</v>
      </c>
      <c r="G1152" t="s">
        <v>2697</v>
      </c>
      <c r="H1152" t="s">
        <v>965</v>
      </c>
      <c r="I1152">
        <v>77477</v>
      </c>
      <c r="J1152" t="s">
        <v>2698</v>
      </c>
      <c r="K1152">
        <v>7759994244</v>
      </c>
      <c r="M1152">
        <v>33000</v>
      </c>
      <c r="N1152">
        <v>34000</v>
      </c>
      <c r="O1152">
        <v>25</v>
      </c>
      <c r="P1152">
        <v>111</v>
      </c>
      <c r="Q1152">
        <v>27</v>
      </c>
    </row>
    <row r="1153" spans="1:17" x14ac:dyDescent="0.3">
      <c r="A1153" t="s">
        <v>780</v>
      </c>
      <c r="B1153" t="s">
        <v>2756</v>
      </c>
      <c r="C1153" t="s">
        <v>1709</v>
      </c>
      <c r="E1153">
        <v>5158</v>
      </c>
      <c r="F1153" t="s">
        <v>696</v>
      </c>
      <c r="G1153" t="s">
        <v>2409</v>
      </c>
      <c r="H1153" t="s">
        <v>965</v>
      </c>
      <c r="I1153">
        <v>77459</v>
      </c>
      <c r="J1153" t="s">
        <v>2410</v>
      </c>
      <c r="K1153">
        <v>9792035411</v>
      </c>
      <c r="M1153">
        <v>2500</v>
      </c>
      <c r="N1153">
        <v>2500</v>
      </c>
      <c r="O1153">
        <v>15</v>
      </c>
      <c r="P1153">
        <v>51</v>
      </c>
      <c r="Q1153">
        <v>17</v>
      </c>
    </row>
    <row r="1154" spans="1:17" x14ac:dyDescent="0.3">
      <c r="A1154" t="s">
        <v>510</v>
      </c>
      <c r="B1154" t="s">
        <v>2074</v>
      </c>
      <c r="C1154" t="s">
        <v>1709</v>
      </c>
      <c r="E1154">
        <v>5007</v>
      </c>
      <c r="F1154" t="s">
        <v>670</v>
      </c>
      <c r="G1154" t="s">
        <v>2757</v>
      </c>
      <c r="H1154" t="s">
        <v>965</v>
      </c>
      <c r="I1154">
        <v>78046</v>
      </c>
      <c r="J1154" t="s">
        <v>2758</v>
      </c>
      <c r="K1154">
        <v>3466417632</v>
      </c>
      <c r="M1154">
        <v>40000</v>
      </c>
      <c r="N1154">
        <v>40000</v>
      </c>
      <c r="O1154">
        <v>24</v>
      </c>
      <c r="P1154">
        <v>60</v>
      </c>
      <c r="Q1154">
        <v>12</v>
      </c>
    </row>
    <row r="1155" spans="1:17" x14ac:dyDescent="0.3">
      <c r="A1155" t="s">
        <v>348</v>
      </c>
      <c r="B1155" t="s">
        <v>2759</v>
      </c>
      <c r="C1155" t="s">
        <v>1709</v>
      </c>
      <c r="E1155">
        <v>5253</v>
      </c>
      <c r="F1155" t="s">
        <v>2760</v>
      </c>
      <c r="G1155" t="s">
        <v>2761</v>
      </c>
      <c r="H1155" t="s">
        <v>965</v>
      </c>
      <c r="I1155">
        <v>77095</v>
      </c>
      <c r="J1155" t="s">
        <v>2762</v>
      </c>
      <c r="K1155">
        <v>8326597208</v>
      </c>
      <c r="M1155">
        <v>18150</v>
      </c>
      <c r="N1155">
        <v>18150</v>
      </c>
      <c r="O1155">
        <v>23</v>
      </c>
      <c r="P1155">
        <v>74</v>
      </c>
      <c r="Q1155">
        <v>24</v>
      </c>
    </row>
    <row r="1156" spans="1:17" x14ac:dyDescent="0.3">
      <c r="A1156" t="s">
        <v>512</v>
      </c>
      <c r="B1156" t="s">
        <v>2763</v>
      </c>
      <c r="C1156" t="s">
        <v>1709</v>
      </c>
      <c r="E1156">
        <v>5007</v>
      </c>
      <c r="F1156" t="s">
        <v>670</v>
      </c>
      <c r="G1156" t="s">
        <v>2757</v>
      </c>
      <c r="H1156" t="s">
        <v>965</v>
      </c>
      <c r="I1156">
        <v>78046</v>
      </c>
      <c r="J1156" t="s">
        <v>2758</v>
      </c>
      <c r="K1156">
        <v>3466417632</v>
      </c>
      <c r="M1156">
        <v>25000</v>
      </c>
      <c r="N1156">
        <v>25000</v>
      </c>
      <c r="O1156">
        <v>24</v>
      </c>
      <c r="P1156">
        <v>57</v>
      </c>
      <c r="Q1156">
        <v>19</v>
      </c>
    </row>
    <row r="1157" spans="1:17" x14ac:dyDescent="0.3">
      <c r="A1157" t="s">
        <v>785</v>
      </c>
      <c r="B1157" t="s">
        <v>2764</v>
      </c>
      <c r="C1157" t="s">
        <v>1709</v>
      </c>
      <c r="E1157">
        <v>5224</v>
      </c>
      <c r="F1157" t="s">
        <v>2765</v>
      </c>
      <c r="G1157" t="s">
        <v>2766</v>
      </c>
      <c r="H1157" t="s">
        <v>965</v>
      </c>
      <c r="I1157">
        <v>77057</v>
      </c>
      <c r="J1157" t="s">
        <v>2767</v>
      </c>
      <c r="K1157" t="s">
        <v>2768</v>
      </c>
      <c r="M1157">
        <v>50000</v>
      </c>
      <c r="N1157">
        <v>50000</v>
      </c>
      <c r="O1157">
        <v>22</v>
      </c>
      <c r="P1157">
        <v>108</v>
      </c>
      <c r="Q1157">
        <v>35</v>
      </c>
    </row>
    <row r="1158" spans="1:17" x14ac:dyDescent="0.3">
      <c r="A1158" t="s">
        <v>514</v>
      </c>
      <c r="B1158" t="s">
        <v>441</v>
      </c>
      <c r="C1158" t="s">
        <v>1709</v>
      </c>
      <c r="E1158">
        <v>5129</v>
      </c>
      <c r="F1158" t="s">
        <v>645</v>
      </c>
      <c r="G1158" t="s">
        <v>2268</v>
      </c>
      <c r="H1158" t="s">
        <v>2269</v>
      </c>
      <c r="I1158" t="s">
        <v>2270</v>
      </c>
      <c r="J1158" t="s">
        <v>2271</v>
      </c>
      <c r="K1158">
        <v>7765000046</v>
      </c>
      <c r="M1158">
        <v>6750</v>
      </c>
      <c r="N1158">
        <v>7500</v>
      </c>
      <c r="O1158">
        <v>16</v>
      </c>
      <c r="P1158">
        <v>54</v>
      </c>
      <c r="Q1158">
        <v>22</v>
      </c>
    </row>
    <row r="1159" spans="1:17" x14ac:dyDescent="0.3">
      <c r="A1159" t="s">
        <v>2769</v>
      </c>
      <c r="B1159" t="s">
        <v>2770</v>
      </c>
      <c r="C1159" t="s">
        <v>1709</v>
      </c>
      <c r="E1159">
        <v>5248</v>
      </c>
      <c r="F1159" t="s">
        <v>1178</v>
      </c>
      <c r="G1159" t="s">
        <v>1179</v>
      </c>
      <c r="H1159" t="s">
        <v>965</v>
      </c>
      <c r="I1159">
        <v>77433</v>
      </c>
      <c r="J1159" t="s">
        <v>1180</v>
      </c>
      <c r="K1159" t="s">
        <v>1181</v>
      </c>
      <c r="M1159">
        <v>4900</v>
      </c>
      <c r="N1159">
        <v>4900</v>
      </c>
      <c r="O1159">
        <v>25</v>
      </c>
      <c r="P1159">
        <v>67</v>
      </c>
      <c r="Q1159">
        <v>16</v>
      </c>
    </row>
    <row r="1160" spans="1:17" x14ac:dyDescent="0.3">
      <c r="A1160" t="s">
        <v>516</v>
      </c>
      <c r="B1160" t="s">
        <v>439</v>
      </c>
      <c r="C1160" t="s">
        <v>1709</v>
      </c>
      <c r="E1160">
        <v>5129</v>
      </c>
      <c r="F1160" t="s">
        <v>645</v>
      </c>
      <c r="G1160" t="s">
        <v>2268</v>
      </c>
      <c r="H1160" t="s">
        <v>2269</v>
      </c>
      <c r="I1160" t="s">
        <v>2270</v>
      </c>
      <c r="J1160" t="s">
        <v>2271</v>
      </c>
      <c r="K1160">
        <v>7765000046</v>
      </c>
      <c r="M1160">
        <v>2200</v>
      </c>
      <c r="N1160">
        <v>6500</v>
      </c>
      <c r="O1160">
        <v>3</v>
      </c>
      <c r="P1160">
        <v>99</v>
      </c>
      <c r="Q1160">
        <v>25</v>
      </c>
    </row>
    <row r="1161" spans="1:17" x14ac:dyDescent="0.3">
      <c r="A1161" t="s">
        <v>519</v>
      </c>
      <c r="B1161" t="s">
        <v>2771</v>
      </c>
      <c r="C1161" t="s">
        <v>1709</v>
      </c>
      <c r="E1161">
        <v>5181</v>
      </c>
      <c r="F1161" t="s">
        <v>2606</v>
      </c>
      <c r="G1161" t="s">
        <v>2607</v>
      </c>
      <c r="H1161" t="s">
        <v>965</v>
      </c>
      <c r="I1161">
        <v>77493</v>
      </c>
      <c r="J1161" t="s">
        <v>2608</v>
      </c>
      <c r="K1161">
        <v>2816609202</v>
      </c>
      <c r="M1161">
        <v>24500</v>
      </c>
      <c r="N1161">
        <v>25500</v>
      </c>
      <c r="O1161">
        <v>41</v>
      </c>
      <c r="P1161">
        <v>109</v>
      </c>
      <c r="Q1161">
        <v>34</v>
      </c>
    </row>
    <row r="1162" spans="1:17" x14ac:dyDescent="0.3">
      <c r="A1162" t="s">
        <v>521</v>
      </c>
      <c r="B1162" t="s">
        <v>433</v>
      </c>
      <c r="C1162" t="s">
        <v>1709</v>
      </c>
      <c r="E1162">
        <v>5129</v>
      </c>
      <c r="F1162" t="s">
        <v>645</v>
      </c>
      <c r="G1162" t="s">
        <v>2268</v>
      </c>
      <c r="H1162" t="s">
        <v>2269</v>
      </c>
      <c r="I1162" t="s">
        <v>2270</v>
      </c>
      <c r="J1162" t="s">
        <v>2271</v>
      </c>
      <c r="K1162">
        <v>7765000046</v>
      </c>
      <c r="M1162">
        <v>7000</v>
      </c>
      <c r="N1162">
        <v>7000</v>
      </c>
      <c r="O1162">
        <v>43</v>
      </c>
      <c r="P1162">
        <v>72</v>
      </c>
      <c r="Q1162">
        <v>32</v>
      </c>
    </row>
    <row r="1163" spans="1:17" x14ac:dyDescent="0.3">
      <c r="A1163" t="s">
        <v>523</v>
      </c>
      <c r="B1163" t="s">
        <v>2772</v>
      </c>
      <c r="C1163" t="s">
        <v>1709</v>
      </c>
      <c r="E1163">
        <v>5187</v>
      </c>
      <c r="F1163" t="s">
        <v>658</v>
      </c>
      <c r="G1163" t="s">
        <v>964</v>
      </c>
      <c r="H1163" t="s">
        <v>965</v>
      </c>
      <c r="I1163">
        <v>77705</v>
      </c>
      <c r="J1163" t="s">
        <v>966</v>
      </c>
      <c r="K1163">
        <v>8322973609</v>
      </c>
      <c r="M1163">
        <v>700</v>
      </c>
      <c r="N1163">
        <v>700</v>
      </c>
      <c r="O1163">
        <v>9</v>
      </c>
      <c r="P1163">
        <v>44</v>
      </c>
      <c r="Q1163">
        <v>18</v>
      </c>
    </row>
    <row r="1164" spans="1:17" x14ac:dyDescent="0.3">
      <c r="A1164" t="s">
        <v>806</v>
      </c>
      <c r="B1164" t="s">
        <v>2773</v>
      </c>
      <c r="C1164" t="s">
        <v>1709</v>
      </c>
      <c r="E1164">
        <v>5178</v>
      </c>
      <c r="F1164" t="s">
        <v>2734</v>
      </c>
      <c r="G1164" t="s">
        <v>2735</v>
      </c>
      <c r="H1164" t="s">
        <v>965</v>
      </c>
      <c r="I1164">
        <v>77833</v>
      </c>
      <c r="J1164" t="s">
        <v>2736</v>
      </c>
      <c r="K1164">
        <v>9792772720</v>
      </c>
      <c r="M1164">
        <v>13000</v>
      </c>
      <c r="N1164">
        <v>13000</v>
      </c>
      <c r="O1164">
        <v>38</v>
      </c>
      <c r="P1164">
        <v>132</v>
      </c>
      <c r="Q1164">
        <v>49</v>
      </c>
    </row>
    <row r="1165" spans="1:17" x14ac:dyDescent="0.3">
      <c r="A1165" t="s">
        <v>1372</v>
      </c>
      <c r="B1165" t="s">
        <v>2774</v>
      </c>
      <c r="C1165" t="s">
        <v>1709</v>
      </c>
      <c r="E1165">
        <v>5129</v>
      </c>
      <c r="F1165" t="s">
        <v>645</v>
      </c>
      <c r="G1165" t="s">
        <v>2268</v>
      </c>
      <c r="H1165" t="s">
        <v>2269</v>
      </c>
      <c r="I1165" t="s">
        <v>2270</v>
      </c>
      <c r="J1165" t="s">
        <v>2271</v>
      </c>
      <c r="K1165">
        <v>7765000046</v>
      </c>
      <c r="M1165">
        <v>3100</v>
      </c>
      <c r="N1165">
        <v>5000</v>
      </c>
      <c r="O1165">
        <v>3</v>
      </c>
      <c r="P1165">
        <v>26</v>
      </c>
      <c r="Q1165">
        <v>7</v>
      </c>
    </row>
    <row r="1166" spans="1:17" x14ac:dyDescent="0.3">
      <c r="A1166" t="s">
        <v>525</v>
      </c>
      <c r="B1166" t="s">
        <v>2775</v>
      </c>
      <c r="C1166" t="s">
        <v>1709</v>
      </c>
      <c r="E1166">
        <v>5236</v>
      </c>
      <c r="F1166" t="s">
        <v>2776</v>
      </c>
      <c r="G1166" t="s">
        <v>2777</v>
      </c>
      <c r="H1166" t="s">
        <v>965</v>
      </c>
      <c r="I1166">
        <v>77043</v>
      </c>
      <c r="J1166" t="s">
        <v>2778</v>
      </c>
      <c r="K1166">
        <v>8327528411</v>
      </c>
      <c r="M1166">
        <v>1500</v>
      </c>
      <c r="N1166">
        <v>1500</v>
      </c>
      <c r="O1166">
        <v>21</v>
      </c>
      <c r="P1166">
        <v>26</v>
      </c>
      <c r="Q1166">
        <v>13</v>
      </c>
    </row>
    <row r="1167" spans="1:17" x14ac:dyDescent="0.3">
      <c r="A1167" t="s">
        <v>529</v>
      </c>
      <c r="B1167" t="s">
        <v>2779</v>
      </c>
      <c r="C1167" t="s">
        <v>1709</v>
      </c>
      <c r="E1167">
        <v>5229</v>
      </c>
      <c r="F1167" t="s">
        <v>2689</v>
      </c>
      <c r="G1167" t="s">
        <v>2690</v>
      </c>
      <c r="H1167" t="s">
        <v>965</v>
      </c>
      <c r="I1167">
        <v>75791</v>
      </c>
      <c r="J1167" t="s">
        <v>2691</v>
      </c>
      <c r="K1167" t="s">
        <v>2692</v>
      </c>
      <c r="L1167" t="s">
        <v>2693</v>
      </c>
      <c r="M1167">
        <v>17500</v>
      </c>
      <c r="N1167">
        <v>17500</v>
      </c>
      <c r="O1167">
        <v>29</v>
      </c>
      <c r="P1167">
        <v>106</v>
      </c>
      <c r="Q1167">
        <v>32</v>
      </c>
    </row>
    <row r="1168" spans="1:17" x14ac:dyDescent="0.3">
      <c r="A1168" t="s">
        <v>383</v>
      </c>
      <c r="B1168" t="s">
        <v>2780</v>
      </c>
      <c r="C1168" t="s">
        <v>1709</v>
      </c>
      <c r="E1168">
        <v>5168</v>
      </c>
      <c r="F1168" t="s">
        <v>643</v>
      </c>
      <c r="G1168" t="s">
        <v>2275</v>
      </c>
      <c r="H1168" t="s">
        <v>965</v>
      </c>
      <c r="I1168">
        <v>77036</v>
      </c>
      <c r="J1168" t="s">
        <v>2276</v>
      </c>
      <c r="K1168">
        <v>3238646733</v>
      </c>
      <c r="M1168">
        <v>51500</v>
      </c>
      <c r="N1168">
        <v>51500</v>
      </c>
      <c r="O1168">
        <v>21</v>
      </c>
      <c r="P1168">
        <v>157</v>
      </c>
      <c r="Q1168">
        <v>38</v>
      </c>
    </row>
    <row r="1169" spans="1:17" x14ac:dyDescent="0.3">
      <c r="A1169" t="s">
        <v>387</v>
      </c>
      <c r="B1169" t="s">
        <v>2781</v>
      </c>
      <c r="C1169" t="s">
        <v>1709</v>
      </c>
      <c r="E1169">
        <v>5248</v>
      </c>
      <c r="F1169" t="s">
        <v>1178</v>
      </c>
      <c r="G1169" t="s">
        <v>1179</v>
      </c>
      <c r="H1169" t="s">
        <v>965</v>
      </c>
      <c r="I1169">
        <v>77433</v>
      </c>
      <c r="J1169" t="s">
        <v>1180</v>
      </c>
      <c r="K1169" t="s">
        <v>1181</v>
      </c>
      <c r="M1169">
        <v>9500</v>
      </c>
      <c r="N1169">
        <v>9500</v>
      </c>
      <c r="O1169">
        <v>39</v>
      </c>
      <c r="P1169">
        <v>55</v>
      </c>
      <c r="Q1169">
        <v>13</v>
      </c>
    </row>
    <row r="1170" spans="1:17" x14ac:dyDescent="0.3">
      <c r="A1170" t="s">
        <v>2471</v>
      </c>
      <c r="B1170" t="s">
        <v>2782</v>
      </c>
      <c r="C1170" t="s">
        <v>1709</v>
      </c>
      <c r="E1170">
        <v>5169</v>
      </c>
      <c r="F1170" t="s">
        <v>694</v>
      </c>
      <c r="G1170" t="s">
        <v>2697</v>
      </c>
      <c r="H1170" t="s">
        <v>965</v>
      </c>
      <c r="I1170">
        <v>77477</v>
      </c>
      <c r="J1170" t="s">
        <v>2698</v>
      </c>
      <c r="K1170">
        <v>7759994244</v>
      </c>
      <c r="M1170">
        <v>2500</v>
      </c>
      <c r="N1170">
        <v>2500</v>
      </c>
      <c r="O1170">
        <v>25</v>
      </c>
      <c r="P1170">
        <v>47</v>
      </c>
      <c r="Q1170">
        <v>21</v>
      </c>
    </row>
    <row r="1171" spans="1:17" x14ac:dyDescent="0.3">
      <c r="A1171" t="s">
        <v>543</v>
      </c>
      <c r="B1171" t="s">
        <v>2783</v>
      </c>
      <c r="C1171" t="s">
        <v>1709</v>
      </c>
      <c r="E1171">
        <v>5227</v>
      </c>
      <c r="F1171" t="s">
        <v>2594</v>
      </c>
      <c r="G1171" t="s">
        <v>2595</v>
      </c>
      <c r="H1171" t="s">
        <v>965</v>
      </c>
      <c r="I1171">
        <v>77061</v>
      </c>
      <c r="J1171" t="s">
        <v>2596</v>
      </c>
      <c r="K1171" t="s">
        <v>2597</v>
      </c>
      <c r="M1171">
        <v>60000</v>
      </c>
      <c r="N1171">
        <v>60000</v>
      </c>
      <c r="O1171">
        <v>37</v>
      </c>
      <c r="P1171">
        <v>158</v>
      </c>
      <c r="Q1171">
        <v>55</v>
      </c>
    </row>
    <row r="1172" spans="1:17" x14ac:dyDescent="0.3">
      <c r="A1172" t="s">
        <v>1524</v>
      </c>
      <c r="B1172" t="s">
        <v>2784</v>
      </c>
      <c r="C1172" t="s">
        <v>1709</v>
      </c>
      <c r="E1172">
        <v>5187</v>
      </c>
      <c r="F1172" t="s">
        <v>658</v>
      </c>
      <c r="G1172" t="s">
        <v>964</v>
      </c>
      <c r="H1172" t="s">
        <v>965</v>
      </c>
      <c r="I1172">
        <v>77705</v>
      </c>
      <c r="J1172" t="s">
        <v>966</v>
      </c>
      <c r="K1172">
        <v>8322973609</v>
      </c>
      <c r="M1172">
        <v>1750</v>
      </c>
      <c r="N1172">
        <v>1850</v>
      </c>
      <c r="O1172">
        <v>12</v>
      </c>
      <c r="P1172">
        <v>26</v>
      </c>
      <c r="Q1172">
        <v>8</v>
      </c>
    </row>
    <row r="1173" spans="1:17" x14ac:dyDescent="0.3">
      <c r="A1173" t="s">
        <v>2785</v>
      </c>
      <c r="B1173" t="s">
        <v>2786</v>
      </c>
      <c r="C1173" t="s">
        <v>1709</v>
      </c>
      <c r="E1173">
        <v>5129</v>
      </c>
      <c r="F1173" t="s">
        <v>645</v>
      </c>
      <c r="G1173" t="s">
        <v>2268</v>
      </c>
      <c r="H1173" t="s">
        <v>2269</v>
      </c>
      <c r="I1173" t="s">
        <v>2270</v>
      </c>
      <c r="J1173" t="s">
        <v>2271</v>
      </c>
      <c r="K1173">
        <v>7765000046</v>
      </c>
      <c r="M1173">
        <v>7250</v>
      </c>
      <c r="N1173">
        <v>8500</v>
      </c>
      <c r="O1173">
        <v>6</v>
      </c>
      <c r="P1173">
        <v>21</v>
      </c>
      <c r="Q1173">
        <v>6</v>
      </c>
    </row>
    <row r="1174" spans="1:17" x14ac:dyDescent="0.3">
      <c r="A1174" t="s">
        <v>2787</v>
      </c>
      <c r="B1174" t="s">
        <v>2788</v>
      </c>
      <c r="C1174" t="s">
        <v>1709</v>
      </c>
      <c r="E1174">
        <v>5028</v>
      </c>
      <c r="F1174" t="s">
        <v>1555</v>
      </c>
      <c r="G1174" t="s">
        <v>1556</v>
      </c>
      <c r="H1174" t="s">
        <v>965</v>
      </c>
      <c r="I1174">
        <v>77336</v>
      </c>
      <c r="J1174" t="s">
        <v>1557</v>
      </c>
      <c r="K1174" t="s">
        <v>1558</v>
      </c>
      <c r="M1174">
        <v>5250</v>
      </c>
      <c r="N1174">
        <v>5250</v>
      </c>
      <c r="O1174">
        <v>25</v>
      </c>
      <c r="P1174">
        <v>122</v>
      </c>
      <c r="Q1174">
        <v>31</v>
      </c>
    </row>
    <row r="1175" spans="1:17" x14ac:dyDescent="0.3">
      <c r="A1175" t="s">
        <v>2526</v>
      </c>
      <c r="B1175" t="s">
        <v>611</v>
      </c>
      <c r="C1175" t="s">
        <v>1709</v>
      </c>
      <c r="E1175">
        <v>5168</v>
      </c>
      <c r="F1175" t="s">
        <v>643</v>
      </c>
      <c r="G1175" t="s">
        <v>2275</v>
      </c>
      <c r="H1175" t="s">
        <v>965</v>
      </c>
      <c r="I1175">
        <v>77036</v>
      </c>
      <c r="J1175" t="s">
        <v>2276</v>
      </c>
      <c r="K1175">
        <v>3238646733</v>
      </c>
      <c r="M1175">
        <v>8250</v>
      </c>
      <c r="N1175">
        <v>8250</v>
      </c>
      <c r="O1175">
        <v>46</v>
      </c>
      <c r="P1175">
        <v>108</v>
      </c>
      <c r="Q1175">
        <v>35</v>
      </c>
    </row>
    <row r="1176" spans="1:17" x14ac:dyDescent="0.3">
      <c r="A1176" t="s">
        <v>2789</v>
      </c>
      <c r="B1176" t="s">
        <v>2790</v>
      </c>
      <c r="C1176" t="s">
        <v>1709</v>
      </c>
      <c r="E1176">
        <v>5074</v>
      </c>
      <c r="F1176" t="s">
        <v>2791</v>
      </c>
      <c r="G1176" t="s">
        <v>2792</v>
      </c>
      <c r="H1176" t="s">
        <v>2716</v>
      </c>
      <c r="I1176">
        <v>84701</v>
      </c>
      <c r="J1176" t="s">
        <v>2793</v>
      </c>
      <c r="K1176">
        <v>4358931688</v>
      </c>
      <c r="M1176">
        <v>16000</v>
      </c>
      <c r="N1176">
        <v>16000</v>
      </c>
      <c r="O1176">
        <v>48</v>
      </c>
      <c r="P1176">
        <v>85</v>
      </c>
      <c r="Q1176">
        <v>25</v>
      </c>
    </row>
    <row r="1177" spans="1:17" x14ac:dyDescent="0.3">
      <c r="A1177" t="s">
        <v>2794</v>
      </c>
      <c r="B1177" t="s">
        <v>2795</v>
      </c>
      <c r="C1177" t="s">
        <v>1709</v>
      </c>
      <c r="E1177">
        <v>5119</v>
      </c>
      <c r="F1177" t="s">
        <v>1868</v>
      </c>
      <c r="G1177" t="s">
        <v>1869</v>
      </c>
      <c r="H1177" t="s">
        <v>965</v>
      </c>
      <c r="I1177">
        <v>77008</v>
      </c>
      <c r="J1177" t="s">
        <v>1870</v>
      </c>
      <c r="K1177">
        <v>7132026962</v>
      </c>
      <c r="M1177">
        <v>13500</v>
      </c>
      <c r="N1177">
        <v>13500</v>
      </c>
      <c r="O1177">
        <v>60</v>
      </c>
      <c r="P1177">
        <v>126</v>
      </c>
      <c r="Q1177">
        <v>47</v>
      </c>
    </row>
    <row r="1178" spans="1:17" x14ac:dyDescent="0.3">
      <c r="A1178" t="s">
        <v>590</v>
      </c>
      <c r="B1178" t="s">
        <v>2796</v>
      </c>
      <c r="C1178" t="s">
        <v>1709</v>
      </c>
      <c r="E1178">
        <v>5085</v>
      </c>
      <c r="F1178" t="s">
        <v>2636</v>
      </c>
      <c r="G1178" t="s">
        <v>2637</v>
      </c>
      <c r="H1178" t="s">
        <v>965</v>
      </c>
      <c r="I1178">
        <v>77498</v>
      </c>
      <c r="J1178" t="s">
        <v>2638</v>
      </c>
      <c r="K1178">
        <v>8322830578</v>
      </c>
      <c r="M1178">
        <v>5700</v>
      </c>
      <c r="N1178">
        <v>5700</v>
      </c>
      <c r="O1178">
        <v>26</v>
      </c>
      <c r="P1178">
        <v>73</v>
      </c>
      <c r="Q1178">
        <v>31</v>
      </c>
    </row>
    <row r="1179" spans="1:17" x14ac:dyDescent="0.3">
      <c r="A1179" t="s">
        <v>598</v>
      </c>
      <c r="B1179" t="s">
        <v>611</v>
      </c>
      <c r="C1179" t="s">
        <v>1709</v>
      </c>
      <c r="E1179">
        <v>5129</v>
      </c>
      <c r="F1179" t="s">
        <v>645</v>
      </c>
      <c r="G1179" t="s">
        <v>2268</v>
      </c>
      <c r="H1179" t="s">
        <v>2269</v>
      </c>
      <c r="I1179" t="s">
        <v>2270</v>
      </c>
      <c r="J1179" t="s">
        <v>2271</v>
      </c>
      <c r="K1179">
        <v>7765000046</v>
      </c>
      <c r="M1179">
        <v>5500</v>
      </c>
      <c r="N1179">
        <v>5750</v>
      </c>
      <c r="O1179">
        <v>43</v>
      </c>
      <c r="P1179">
        <v>120</v>
      </c>
      <c r="Q1179">
        <v>30</v>
      </c>
    </row>
    <row r="1180" spans="1:17" x14ac:dyDescent="0.3">
      <c r="A1180" t="s">
        <v>1572</v>
      </c>
      <c r="B1180" t="s">
        <v>2797</v>
      </c>
      <c r="C1180" t="s">
        <v>1709</v>
      </c>
      <c r="E1180">
        <v>5069</v>
      </c>
      <c r="F1180" t="s">
        <v>704</v>
      </c>
      <c r="G1180" t="s">
        <v>2142</v>
      </c>
      <c r="H1180" t="s">
        <v>965</v>
      </c>
      <c r="I1180">
        <v>77479</v>
      </c>
      <c r="J1180" t="s">
        <v>2143</v>
      </c>
      <c r="K1180" t="s">
        <v>2144</v>
      </c>
      <c r="M1180">
        <v>5500</v>
      </c>
      <c r="N1180">
        <v>5500</v>
      </c>
      <c r="O1180">
        <v>13</v>
      </c>
      <c r="P1180">
        <v>84</v>
      </c>
      <c r="Q1180">
        <v>30</v>
      </c>
    </row>
    <row r="1181" spans="1:17" x14ac:dyDescent="0.3">
      <c r="A1181" t="s">
        <v>2798</v>
      </c>
      <c r="B1181" t="s">
        <v>2799</v>
      </c>
      <c r="C1181" t="s">
        <v>1709</v>
      </c>
      <c r="E1181">
        <v>5178</v>
      </c>
      <c r="F1181" t="s">
        <v>2734</v>
      </c>
      <c r="G1181" t="s">
        <v>2735</v>
      </c>
      <c r="H1181" t="s">
        <v>965</v>
      </c>
      <c r="I1181">
        <v>77833</v>
      </c>
      <c r="J1181" t="s">
        <v>2736</v>
      </c>
      <c r="K1181">
        <v>9792772720</v>
      </c>
      <c r="M1181">
        <v>3300</v>
      </c>
      <c r="N1181">
        <v>3300</v>
      </c>
      <c r="O1181">
        <v>20</v>
      </c>
      <c r="P1181">
        <v>77</v>
      </c>
      <c r="Q1181">
        <v>18</v>
      </c>
    </row>
    <row r="1182" spans="1:17" x14ac:dyDescent="0.3">
      <c r="A1182" t="s">
        <v>2800</v>
      </c>
      <c r="B1182" t="s">
        <v>611</v>
      </c>
      <c r="C1182" t="s">
        <v>1709</v>
      </c>
      <c r="E1182">
        <v>5168</v>
      </c>
      <c r="F1182" t="s">
        <v>643</v>
      </c>
      <c r="G1182" t="s">
        <v>2275</v>
      </c>
      <c r="H1182" t="s">
        <v>965</v>
      </c>
      <c r="I1182">
        <v>77036</v>
      </c>
      <c r="J1182" t="s">
        <v>2276</v>
      </c>
      <c r="K1182">
        <v>3238646733</v>
      </c>
      <c r="M1182">
        <v>7750</v>
      </c>
      <c r="N1182">
        <v>7750</v>
      </c>
      <c r="O1182">
        <v>39</v>
      </c>
      <c r="P1182">
        <v>146</v>
      </c>
      <c r="Q1182">
        <v>27</v>
      </c>
    </row>
    <row r="1183" spans="1:17" x14ac:dyDescent="0.3">
      <c r="A1183" t="s">
        <v>612</v>
      </c>
      <c r="B1183" t="s">
        <v>2801</v>
      </c>
      <c r="C1183" t="s">
        <v>1709</v>
      </c>
      <c r="E1183">
        <v>5129</v>
      </c>
      <c r="F1183" t="s">
        <v>645</v>
      </c>
      <c r="G1183" t="s">
        <v>2268</v>
      </c>
      <c r="H1183" t="s">
        <v>2269</v>
      </c>
      <c r="I1183" t="s">
        <v>2270</v>
      </c>
      <c r="J1183" t="s">
        <v>2271</v>
      </c>
      <c r="K1183">
        <v>7765000046</v>
      </c>
      <c r="M1183">
        <v>5250</v>
      </c>
      <c r="N1183">
        <v>5500</v>
      </c>
      <c r="O1183">
        <v>25</v>
      </c>
      <c r="P1183">
        <v>105</v>
      </c>
      <c r="Q1183">
        <v>18</v>
      </c>
    </row>
    <row r="1184" spans="1:17" x14ac:dyDescent="0.3">
      <c r="A1184" t="s">
        <v>467</v>
      </c>
      <c r="B1184" t="s">
        <v>2802</v>
      </c>
      <c r="C1184" t="s">
        <v>1709</v>
      </c>
      <c r="E1184">
        <v>5150</v>
      </c>
      <c r="F1184" t="s">
        <v>1050</v>
      </c>
      <c r="G1184" t="s">
        <v>1051</v>
      </c>
      <c r="H1184" t="s">
        <v>965</v>
      </c>
      <c r="I1184">
        <v>77009</v>
      </c>
      <c r="J1184" t="s">
        <v>1052</v>
      </c>
      <c r="K1184" t="s">
        <v>1053</v>
      </c>
      <c r="M1184">
        <v>7000</v>
      </c>
      <c r="N1184">
        <v>7000</v>
      </c>
      <c r="O1184">
        <v>22</v>
      </c>
      <c r="P1184">
        <v>53</v>
      </c>
      <c r="Q1184">
        <v>22</v>
      </c>
    </row>
    <row r="1185" spans="1:17" x14ac:dyDescent="0.3">
      <c r="A1185" t="s">
        <v>2803</v>
      </c>
      <c r="B1185" t="s">
        <v>611</v>
      </c>
      <c r="C1185" t="s">
        <v>1709</v>
      </c>
      <c r="E1185">
        <v>5085</v>
      </c>
      <c r="F1185" t="s">
        <v>2636</v>
      </c>
      <c r="G1185" t="s">
        <v>2637</v>
      </c>
      <c r="H1185" t="s">
        <v>965</v>
      </c>
      <c r="I1185">
        <v>77498</v>
      </c>
      <c r="J1185" t="s">
        <v>2638</v>
      </c>
      <c r="K1185">
        <v>8322830578</v>
      </c>
      <c r="M1185">
        <v>6000</v>
      </c>
      <c r="N1185">
        <v>6000</v>
      </c>
      <c r="O1185">
        <v>39</v>
      </c>
      <c r="P1185">
        <v>83</v>
      </c>
      <c r="Q1185">
        <v>25</v>
      </c>
    </row>
    <row r="1186" spans="1:17" x14ac:dyDescent="0.3">
      <c r="A1186" t="s">
        <v>1649</v>
      </c>
      <c r="B1186" t="s">
        <v>2804</v>
      </c>
      <c r="C1186" t="s">
        <v>1709</v>
      </c>
      <c r="E1186">
        <v>5025</v>
      </c>
      <c r="F1186" t="s">
        <v>2654</v>
      </c>
      <c r="G1186" t="s">
        <v>2655</v>
      </c>
      <c r="H1186" t="s">
        <v>965</v>
      </c>
      <c r="I1186">
        <v>77089</v>
      </c>
      <c r="J1186" t="s">
        <v>2656</v>
      </c>
      <c r="K1186">
        <v>8322490339</v>
      </c>
      <c r="M1186">
        <v>7175</v>
      </c>
      <c r="N1186">
        <v>7175</v>
      </c>
      <c r="O1186">
        <v>27</v>
      </c>
      <c r="P1186">
        <v>61</v>
      </c>
      <c r="Q1186">
        <v>23</v>
      </c>
    </row>
    <row r="1187" spans="1:17" x14ac:dyDescent="0.3">
      <c r="A1187" t="s">
        <v>2805</v>
      </c>
      <c r="B1187" t="s">
        <v>2806</v>
      </c>
      <c r="C1187" t="s">
        <v>1709</v>
      </c>
      <c r="E1187">
        <v>5248</v>
      </c>
      <c r="F1187" t="s">
        <v>1178</v>
      </c>
      <c r="G1187" t="s">
        <v>1179</v>
      </c>
      <c r="H1187" t="s">
        <v>965</v>
      </c>
      <c r="I1187">
        <v>77433</v>
      </c>
      <c r="J1187" t="s">
        <v>1180</v>
      </c>
      <c r="K1187" t="s">
        <v>1181</v>
      </c>
      <c r="M1187">
        <v>8600</v>
      </c>
      <c r="N1187">
        <v>8600</v>
      </c>
      <c r="O1187">
        <v>41</v>
      </c>
      <c r="P1187">
        <v>167</v>
      </c>
      <c r="Q1187">
        <v>44</v>
      </c>
    </row>
    <row r="1188" spans="1:17" x14ac:dyDescent="0.3">
      <c r="A1188" t="s">
        <v>2807</v>
      </c>
      <c r="B1188" t="s">
        <v>2808</v>
      </c>
      <c r="C1188" t="s">
        <v>1709</v>
      </c>
      <c r="E1188">
        <v>5163</v>
      </c>
      <c r="F1188" t="s">
        <v>2809</v>
      </c>
      <c r="G1188" t="s">
        <v>2810</v>
      </c>
      <c r="H1188" t="s">
        <v>965</v>
      </c>
      <c r="I1188" t="s">
        <v>2811</v>
      </c>
      <c r="J1188" t="s">
        <v>2812</v>
      </c>
      <c r="K1188" t="s">
        <v>2813</v>
      </c>
      <c r="L1188" t="s">
        <v>2813</v>
      </c>
      <c r="M1188">
        <v>750</v>
      </c>
      <c r="N1188">
        <v>750</v>
      </c>
      <c r="O1188">
        <v>11</v>
      </c>
      <c r="P1188">
        <v>190</v>
      </c>
      <c r="Q1188">
        <v>17</v>
      </c>
    </row>
    <row r="1189" spans="1:17" x14ac:dyDescent="0.3">
      <c r="A1189" t="s">
        <v>1670</v>
      </c>
      <c r="B1189" t="s">
        <v>609</v>
      </c>
      <c r="C1189" t="s">
        <v>1709</v>
      </c>
      <c r="E1189">
        <v>5129</v>
      </c>
      <c r="F1189" t="s">
        <v>645</v>
      </c>
      <c r="G1189" t="s">
        <v>2268</v>
      </c>
      <c r="H1189" t="s">
        <v>2269</v>
      </c>
      <c r="I1189" t="s">
        <v>2270</v>
      </c>
      <c r="J1189" t="s">
        <v>2271</v>
      </c>
      <c r="K1189">
        <v>7765000046</v>
      </c>
      <c r="M1189">
        <v>6350</v>
      </c>
      <c r="N1189">
        <v>6500</v>
      </c>
      <c r="O1189">
        <v>28</v>
      </c>
      <c r="P1189">
        <v>35</v>
      </c>
      <c r="Q1189">
        <v>15</v>
      </c>
    </row>
    <row r="1190" spans="1:17" x14ac:dyDescent="0.3">
      <c r="A1190" t="s">
        <v>2543</v>
      </c>
      <c r="B1190" t="s">
        <v>613</v>
      </c>
      <c r="C1190" t="s">
        <v>1709</v>
      </c>
      <c r="E1190">
        <v>5129</v>
      </c>
      <c r="F1190" t="s">
        <v>645</v>
      </c>
      <c r="G1190" t="s">
        <v>2268</v>
      </c>
      <c r="H1190" t="s">
        <v>2269</v>
      </c>
      <c r="I1190" t="s">
        <v>2270</v>
      </c>
      <c r="J1190" t="s">
        <v>2271</v>
      </c>
      <c r="K1190">
        <v>7765000046</v>
      </c>
      <c r="M1190">
        <v>4100</v>
      </c>
      <c r="N1190">
        <v>5000</v>
      </c>
      <c r="O1190">
        <v>5</v>
      </c>
      <c r="P1190">
        <v>45</v>
      </c>
      <c r="Q1190">
        <v>22</v>
      </c>
    </row>
    <row r="1191" spans="1:17" x14ac:dyDescent="0.3">
      <c r="A1191" t="s">
        <v>2814</v>
      </c>
      <c r="B1191" t="s">
        <v>750</v>
      </c>
      <c r="C1191" t="s">
        <v>1709</v>
      </c>
      <c r="E1191">
        <v>5249</v>
      </c>
      <c r="F1191" t="s">
        <v>2815</v>
      </c>
      <c r="G1191" t="s">
        <v>2816</v>
      </c>
      <c r="H1191" t="s">
        <v>965</v>
      </c>
      <c r="I1191">
        <v>77407</v>
      </c>
      <c r="J1191" t="s">
        <v>2817</v>
      </c>
      <c r="K1191">
        <v>7132064800</v>
      </c>
      <c r="M1191">
        <v>20000</v>
      </c>
      <c r="N1191">
        <v>20000</v>
      </c>
      <c r="O1191">
        <v>31</v>
      </c>
      <c r="P1191">
        <v>175</v>
      </c>
      <c r="Q1191">
        <v>52</v>
      </c>
    </row>
    <row r="1192" spans="1:17" x14ac:dyDescent="0.3">
      <c r="A1192" t="s">
        <v>1675</v>
      </c>
      <c r="B1192" t="s">
        <v>2818</v>
      </c>
      <c r="C1192" t="s">
        <v>1709</v>
      </c>
      <c r="E1192">
        <v>5129</v>
      </c>
      <c r="F1192" t="s">
        <v>645</v>
      </c>
      <c r="G1192" t="s">
        <v>2268</v>
      </c>
      <c r="H1192" t="s">
        <v>2269</v>
      </c>
      <c r="I1192" t="s">
        <v>2270</v>
      </c>
      <c r="J1192" t="s">
        <v>2271</v>
      </c>
      <c r="K1192">
        <v>7765000046</v>
      </c>
      <c r="M1192">
        <v>6250</v>
      </c>
      <c r="N1192">
        <v>8000</v>
      </c>
      <c r="O1192">
        <v>3</v>
      </c>
      <c r="P1192">
        <v>31</v>
      </c>
      <c r="Q1192">
        <v>9</v>
      </c>
    </row>
    <row r="1193" spans="1:17" x14ac:dyDescent="0.3">
      <c r="A1193" t="s">
        <v>2819</v>
      </c>
      <c r="B1193" t="s">
        <v>593</v>
      </c>
      <c r="C1193" t="s">
        <v>1709</v>
      </c>
      <c r="E1193">
        <v>5129</v>
      </c>
      <c r="F1193" t="s">
        <v>645</v>
      </c>
      <c r="G1193" t="s">
        <v>2268</v>
      </c>
      <c r="H1193" t="s">
        <v>2269</v>
      </c>
      <c r="I1193" t="s">
        <v>2270</v>
      </c>
      <c r="J1193" t="s">
        <v>2271</v>
      </c>
      <c r="K1193">
        <v>7765000046</v>
      </c>
      <c r="M1193">
        <v>7750</v>
      </c>
      <c r="N1193">
        <v>9000</v>
      </c>
      <c r="O1193">
        <v>11</v>
      </c>
      <c r="P1193">
        <v>100</v>
      </c>
      <c r="Q1193">
        <v>43</v>
      </c>
    </row>
    <row r="1194" spans="1:17" x14ac:dyDescent="0.3">
      <c r="A1194" t="s">
        <v>2820</v>
      </c>
      <c r="B1194" t="s">
        <v>2821</v>
      </c>
      <c r="C1194" t="s">
        <v>1709</v>
      </c>
      <c r="E1194">
        <v>5001</v>
      </c>
      <c r="F1194" t="s">
        <v>2188</v>
      </c>
      <c r="G1194" t="s">
        <v>2189</v>
      </c>
      <c r="H1194" t="s">
        <v>965</v>
      </c>
      <c r="I1194">
        <v>77583</v>
      </c>
      <c r="J1194" t="s">
        <v>2190</v>
      </c>
      <c r="K1194">
        <v>8326387185</v>
      </c>
      <c r="M1194">
        <v>7750</v>
      </c>
      <c r="N1194">
        <v>7750</v>
      </c>
      <c r="O1194">
        <v>16</v>
      </c>
      <c r="P1194">
        <v>241</v>
      </c>
      <c r="Q1194">
        <v>42</v>
      </c>
    </row>
    <row r="1195" spans="1:17" x14ac:dyDescent="0.3">
      <c r="A1195" t="s">
        <v>2822</v>
      </c>
      <c r="B1195" t="s">
        <v>2823</v>
      </c>
      <c r="C1195" t="s">
        <v>1709</v>
      </c>
      <c r="E1195">
        <v>5255</v>
      </c>
      <c r="F1195" t="s">
        <v>2824</v>
      </c>
      <c r="G1195" t="s">
        <v>2825</v>
      </c>
      <c r="H1195" t="s">
        <v>965</v>
      </c>
      <c r="I1195">
        <v>77071</v>
      </c>
      <c r="J1195" t="s">
        <v>2826</v>
      </c>
      <c r="K1195" t="s">
        <v>2827</v>
      </c>
      <c r="M1195">
        <v>25000</v>
      </c>
      <c r="N1195">
        <v>25000</v>
      </c>
      <c r="O1195">
        <v>44</v>
      </c>
      <c r="P1195">
        <v>259</v>
      </c>
      <c r="Q1195">
        <v>56</v>
      </c>
    </row>
    <row r="1196" spans="1:17" x14ac:dyDescent="0.3">
      <c r="A1196" t="s">
        <v>2128</v>
      </c>
      <c r="B1196" t="s">
        <v>2828</v>
      </c>
      <c r="C1196" t="s">
        <v>1709</v>
      </c>
      <c r="E1196">
        <v>5257</v>
      </c>
      <c r="F1196" t="s">
        <v>2829</v>
      </c>
      <c r="G1196" t="s">
        <v>2830</v>
      </c>
      <c r="H1196" t="s">
        <v>965</v>
      </c>
      <c r="I1196">
        <v>77096</v>
      </c>
      <c r="J1196" t="s">
        <v>2831</v>
      </c>
      <c r="K1196" t="s">
        <v>2832</v>
      </c>
      <c r="M1196">
        <v>101250</v>
      </c>
      <c r="N1196">
        <v>101250</v>
      </c>
      <c r="O1196">
        <v>61</v>
      </c>
      <c r="P1196">
        <v>292</v>
      </c>
      <c r="Q1196">
        <v>87</v>
      </c>
    </row>
    <row r="1197" spans="1:17" x14ac:dyDescent="0.3">
      <c r="A1197" t="s">
        <v>2833</v>
      </c>
      <c r="B1197" t="s">
        <v>2834</v>
      </c>
      <c r="C1197" t="s">
        <v>1709</v>
      </c>
      <c r="E1197">
        <v>5165</v>
      </c>
      <c r="F1197" t="s">
        <v>2631</v>
      </c>
      <c r="G1197" t="s">
        <v>2632</v>
      </c>
      <c r="H1197" t="s">
        <v>965</v>
      </c>
      <c r="I1197">
        <v>78155</v>
      </c>
      <c r="J1197" t="s">
        <v>2633</v>
      </c>
      <c r="K1197">
        <v>5123607034</v>
      </c>
      <c r="M1197">
        <v>40000</v>
      </c>
      <c r="N1197">
        <v>40000</v>
      </c>
      <c r="O1197">
        <v>36</v>
      </c>
      <c r="P1197">
        <v>155</v>
      </c>
      <c r="Q1197">
        <v>46</v>
      </c>
    </row>
    <row r="1198" spans="1:17" x14ac:dyDescent="0.3">
      <c r="A1198" t="s">
        <v>2835</v>
      </c>
      <c r="B1198" t="s">
        <v>2625</v>
      </c>
      <c r="C1198" t="s">
        <v>1709</v>
      </c>
      <c r="E1198">
        <v>5029</v>
      </c>
      <c r="F1198" t="s">
        <v>2646</v>
      </c>
      <c r="G1198" t="s">
        <v>2647</v>
      </c>
      <c r="H1198" t="s">
        <v>965</v>
      </c>
      <c r="I1198">
        <v>77089</v>
      </c>
      <c r="J1198" t="s">
        <v>2648</v>
      </c>
      <c r="K1198">
        <v>8324742563</v>
      </c>
      <c r="M1198">
        <v>25000</v>
      </c>
      <c r="N1198">
        <v>25000</v>
      </c>
      <c r="O1198">
        <v>44</v>
      </c>
      <c r="P1198">
        <v>144</v>
      </c>
      <c r="Q1198">
        <v>73</v>
      </c>
    </row>
    <row r="1199" spans="1:17" x14ac:dyDescent="0.3">
      <c r="A1199" t="s">
        <v>2836</v>
      </c>
      <c r="B1199" t="s">
        <v>611</v>
      </c>
      <c r="C1199" t="s">
        <v>1709</v>
      </c>
      <c r="E1199">
        <v>5085</v>
      </c>
      <c r="F1199" t="s">
        <v>2636</v>
      </c>
      <c r="G1199" t="s">
        <v>2637</v>
      </c>
      <c r="H1199" t="s">
        <v>965</v>
      </c>
      <c r="I1199">
        <v>77498</v>
      </c>
      <c r="J1199" t="s">
        <v>2638</v>
      </c>
      <c r="K1199">
        <v>8322830578</v>
      </c>
      <c r="M1199">
        <v>5700</v>
      </c>
      <c r="N1199">
        <v>5700</v>
      </c>
      <c r="O1199">
        <v>30</v>
      </c>
      <c r="P1199">
        <v>81</v>
      </c>
      <c r="Q1199">
        <v>27</v>
      </c>
    </row>
    <row r="1200" spans="1:17" x14ac:dyDescent="0.3">
      <c r="A1200" t="s">
        <v>2837</v>
      </c>
      <c r="B1200" t="s">
        <v>611</v>
      </c>
      <c r="C1200" t="s">
        <v>1709</v>
      </c>
      <c r="E1200">
        <v>5073</v>
      </c>
      <c r="F1200" t="s">
        <v>2838</v>
      </c>
      <c r="G1200" t="s">
        <v>2839</v>
      </c>
      <c r="H1200" t="s">
        <v>965</v>
      </c>
      <c r="I1200">
        <v>77479</v>
      </c>
      <c r="J1200" t="s">
        <v>2840</v>
      </c>
      <c r="K1200">
        <v>3469018380</v>
      </c>
      <c r="M1200">
        <v>6250</v>
      </c>
      <c r="N1200">
        <v>6250</v>
      </c>
      <c r="O1200">
        <v>36</v>
      </c>
      <c r="P1200">
        <v>118</v>
      </c>
      <c r="Q1200">
        <v>23</v>
      </c>
    </row>
    <row r="1201" spans="1:17" x14ac:dyDescent="0.3">
      <c r="A1201" t="s">
        <v>2841</v>
      </c>
      <c r="B1201" t="s">
        <v>2740</v>
      </c>
      <c r="C1201" t="s">
        <v>1709</v>
      </c>
      <c r="E1201">
        <v>5219</v>
      </c>
      <c r="F1201" t="s">
        <v>2842</v>
      </c>
      <c r="G1201" t="s">
        <v>2843</v>
      </c>
      <c r="H1201" t="s">
        <v>965</v>
      </c>
      <c r="I1201">
        <v>77530</v>
      </c>
      <c r="J1201" t="s">
        <v>2844</v>
      </c>
      <c r="K1201">
        <v>3463155961</v>
      </c>
      <c r="M1201">
        <v>82000</v>
      </c>
      <c r="N1201">
        <v>82000</v>
      </c>
      <c r="O1201">
        <v>21</v>
      </c>
      <c r="P1201">
        <v>173</v>
      </c>
      <c r="Q1201">
        <v>28</v>
      </c>
    </row>
    <row r="1202" spans="1:17" x14ac:dyDescent="0.3">
      <c r="A1202" t="s">
        <v>2845</v>
      </c>
      <c r="B1202" t="s">
        <v>1539</v>
      </c>
      <c r="C1202" t="s">
        <v>1709</v>
      </c>
      <c r="E1202">
        <v>5229</v>
      </c>
      <c r="F1202" t="s">
        <v>2689</v>
      </c>
      <c r="G1202" t="s">
        <v>2690</v>
      </c>
      <c r="H1202" t="s">
        <v>965</v>
      </c>
      <c r="I1202">
        <v>75791</v>
      </c>
      <c r="J1202" t="s">
        <v>2691</v>
      </c>
      <c r="K1202" t="s">
        <v>2692</v>
      </c>
      <c r="L1202" t="s">
        <v>2693</v>
      </c>
      <c r="M1202">
        <v>26500</v>
      </c>
      <c r="N1202">
        <v>26500</v>
      </c>
      <c r="O1202">
        <v>64</v>
      </c>
      <c r="P1202">
        <v>144</v>
      </c>
      <c r="Q1202">
        <v>50</v>
      </c>
    </row>
    <row r="1203" spans="1:17" x14ac:dyDescent="0.3">
      <c r="A1203" t="s">
        <v>945</v>
      </c>
      <c r="B1203" t="s">
        <v>263</v>
      </c>
      <c r="D1203" t="s">
        <v>950</v>
      </c>
      <c r="E1203" t="s">
        <v>951</v>
      </c>
      <c r="F1203" t="s">
        <v>655</v>
      </c>
      <c r="G1203" t="s">
        <v>952</v>
      </c>
      <c r="H1203" t="s">
        <v>953</v>
      </c>
      <c r="I1203" t="s">
        <v>954</v>
      </c>
      <c r="J1203" t="s">
        <v>955</v>
      </c>
      <c r="K1203" t="s">
        <v>956</v>
      </c>
      <c r="L1203" t="s">
        <v>957</v>
      </c>
      <c r="M1203" t="s">
        <v>958</v>
      </c>
      <c r="N1203" t="s">
        <v>959</v>
      </c>
      <c r="O1203" t="s">
        <v>960</v>
      </c>
      <c r="P1203" t="s">
        <v>961</v>
      </c>
      <c r="Q1203" t="s">
        <v>962</v>
      </c>
    </row>
    <row r="1204" spans="1:17" x14ac:dyDescent="0.3">
      <c r="A1204">
        <v>2</v>
      </c>
      <c r="B1204" t="s">
        <v>447</v>
      </c>
      <c r="C1204" t="s">
        <v>1710</v>
      </c>
      <c r="E1204">
        <v>5159</v>
      </c>
      <c r="F1204" t="s">
        <v>658</v>
      </c>
      <c r="G1204" t="s">
        <v>964</v>
      </c>
      <c r="H1204" t="s">
        <v>965</v>
      </c>
      <c r="I1204">
        <v>77705</v>
      </c>
      <c r="J1204" t="s">
        <v>966</v>
      </c>
      <c r="K1204">
        <v>8322973609</v>
      </c>
      <c r="M1204">
        <v>625</v>
      </c>
      <c r="N1204">
        <v>625</v>
      </c>
      <c r="O1204">
        <v>6</v>
      </c>
      <c r="P1204">
        <v>77</v>
      </c>
      <c r="Q1204">
        <v>30</v>
      </c>
    </row>
    <row r="1205" spans="1:17" x14ac:dyDescent="0.3">
      <c r="A1205" t="s">
        <v>445</v>
      </c>
      <c r="B1205" t="s">
        <v>446</v>
      </c>
      <c r="C1205" t="s">
        <v>1710</v>
      </c>
      <c r="E1205">
        <v>5110</v>
      </c>
      <c r="F1205" t="s">
        <v>659</v>
      </c>
      <c r="G1205" t="s">
        <v>2318</v>
      </c>
      <c r="H1205" t="s">
        <v>965</v>
      </c>
      <c r="I1205">
        <v>77304</v>
      </c>
      <c r="J1205" t="s">
        <v>2319</v>
      </c>
      <c r="K1205">
        <v>9363333523</v>
      </c>
      <c r="M1205">
        <v>25000</v>
      </c>
      <c r="N1205">
        <v>25000</v>
      </c>
      <c r="O1205">
        <v>67</v>
      </c>
      <c r="P1205">
        <v>217</v>
      </c>
      <c r="Q1205">
        <v>71</v>
      </c>
    </row>
    <row r="1206" spans="1:17" x14ac:dyDescent="0.3">
      <c r="A1206">
        <v>3</v>
      </c>
      <c r="B1206" t="s">
        <v>448</v>
      </c>
      <c r="C1206" t="s">
        <v>1710</v>
      </c>
      <c r="F1206" t="s">
        <v>649</v>
      </c>
      <c r="M1206">
        <v>0</v>
      </c>
      <c r="N1206">
        <v>0</v>
      </c>
      <c r="O1206">
        <v>0</v>
      </c>
      <c r="P1206">
        <v>27</v>
      </c>
      <c r="Q1206">
        <v>2</v>
      </c>
    </row>
    <row r="1207" spans="1:17" x14ac:dyDescent="0.3">
      <c r="A1207" t="s">
        <v>266</v>
      </c>
      <c r="B1207" t="s">
        <v>267</v>
      </c>
      <c r="C1207" t="s">
        <v>1710</v>
      </c>
      <c r="E1207">
        <v>5200</v>
      </c>
      <c r="F1207" t="s">
        <v>672</v>
      </c>
      <c r="G1207" t="s">
        <v>2846</v>
      </c>
      <c r="H1207" t="s">
        <v>965</v>
      </c>
      <c r="I1207">
        <v>77080</v>
      </c>
      <c r="J1207" t="s">
        <v>2847</v>
      </c>
      <c r="K1207">
        <v>7134193019</v>
      </c>
      <c r="L1207">
        <v>7135979564</v>
      </c>
      <c r="M1207">
        <v>25500</v>
      </c>
      <c r="N1207">
        <v>25500</v>
      </c>
      <c r="O1207">
        <v>64</v>
      </c>
      <c r="P1207">
        <v>295</v>
      </c>
      <c r="Q1207">
        <v>70</v>
      </c>
    </row>
    <row r="1208" spans="1:17" x14ac:dyDescent="0.3">
      <c r="A1208">
        <v>4</v>
      </c>
      <c r="B1208" t="s">
        <v>453</v>
      </c>
      <c r="C1208" t="s">
        <v>1710</v>
      </c>
      <c r="E1208">
        <v>5002</v>
      </c>
      <c r="F1208" t="s">
        <v>660</v>
      </c>
      <c r="G1208" t="s">
        <v>2326</v>
      </c>
      <c r="H1208" t="s">
        <v>965</v>
      </c>
      <c r="I1208">
        <v>77511</v>
      </c>
      <c r="J1208" t="s">
        <v>2327</v>
      </c>
      <c r="K1208" t="s">
        <v>2328</v>
      </c>
      <c r="M1208">
        <v>2400</v>
      </c>
      <c r="N1208">
        <v>2500</v>
      </c>
      <c r="O1208">
        <v>17</v>
      </c>
      <c r="P1208">
        <v>47</v>
      </c>
      <c r="Q1208">
        <v>18</v>
      </c>
    </row>
    <row r="1209" spans="1:17" x14ac:dyDescent="0.3">
      <c r="A1209">
        <v>5</v>
      </c>
      <c r="B1209" t="s">
        <v>454</v>
      </c>
      <c r="C1209" t="s">
        <v>1710</v>
      </c>
      <c r="E1209">
        <v>5149</v>
      </c>
      <c r="F1209" t="s">
        <v>661</v>
      </c>
      <c r="G1209" t="s">
        <v>2206</v>
      </c>
      <c r="H1209" t="s">
        <v>965</v>
      </c>
      <c r="I1209">
        <v>78626</v>
      </c>
      <c r="J1209" t="s">
        <v>2207</v>
      </c>
      <c r="K1209">
        <v>2817748923</v>
      </c>
      <c r="M1209">
        <v>600</v>
      </c>
      <c r="N1209">
        <v>600</v>
      </c>
      <c r="O1209">
        <v>2</v>
      </c>
      <c r="P1209">
        <v>108</v>
      </c>
      <c r="Q1209">
        <v>6</v>
      </c>
    </row>
    <row r="1210" spans="1:17" x14ac:dyDescent="0.3">
      <c r="A1210" t="s">
        <v>269</v>
      </c>
      <c r="B1210" t="s">
        <v>270</v>
      </c>
      <c r="C1210" t="s">
        <v>1710</v>
      </c>
      <c r="E1210">
        <v>5110</v>
      </c>
      <c r="F1210" t="s">
        <v>659</v>
      </c>
      <c r="G1210" t="s">
        <v>2318</v>
      </c>
      <c r="H1210" t="s">
        <v>965</v>
      </c>
      <c r="I1210">
        <v>77304</v>
      </c>
      <c r="J1210" t="s">
        <v>2319</v>
      </c>
      <c r="K1210">
        <v>9363333523</v>
      </c>
      <c r="M1210">
        <v>14000</v>
      </c>
      <c r="N1210">
        <v>14000</v>
      </c>
      <c r="O1210">
        <v>37</v>
      </c>
      <c r="P1210">
        <v>86</v>
      </c>
      <c r="Q1210">
        <v>24</v>
      </c>
    </row>
    <row r="1211" spans="1:17" x14ac:dyDescent="0.3">
      <c r="A1211">
        <v>6</v>
      </c>
      <c r="B1211" t="s">
        <v>455</v>
      </c>
      <c r="C1211" t="s">
        <v>1710</v>
      </c>
      <c r="E1211">
        <v>5189</v>
      </c>
      <c r="F1211" t="s">
        <v>673</v>
      </c>
      <c r="G1211" t="s">
        <v>2848</v>
      </c>
      <c r="H1211" t="s">
        <v>965</v>
      </c>
      <c r="I1211">
        <v>77045</v>
      </c>
      <c r="J1211" t="s">
        <v>2849</v>
      </c>
      <c r="K1211">
        <v>8324873533</v>
      </c>
      <c r="L1211">
        <v>8324873533</v>
      </c>
      <c r="M1211">
        <v>1200</v>
      </c>
      <c r="N1211">
        <v>1200</v>
      </c>
      <c r="O1211">
        <v>8</v>
      </c>
      <c r="P1211">
        <v>68</v>
      </c>
      <c r="Q1211">
        <v>9</v>
      </c>
    </row>
    <row r="1212" spans="1:17" x14ac:dyDescent="0.3">
      <c r="A1212" t="s">
        <v>449</v>
      </c>
      <c r="B1212" t="s">
        <v>2850</v>
      </c>
      <c r="C1212" t="s">
        <v>1710</v>
      </c>
      <c r="E1212">
        <v>5159</v>
      </c>
      <c r="F1212" t="s">
        <v>658</v>
      </c>
      <c r="G1212" t="s">
        <v>964</v>
      </c>
      <c r="H1212" t="s">
        <v>965</v>
      </c>
      <c r="I1212">
        <v>77705</v>
      </c>
      <c r="J1212" t="s">
        <v>966</v>
      </c>
      <c r="K1212">
        <v>8322973609</v>
      </c>
      <c r="M1212">
        <v>500</v>
      </c>
      <c r="N1212">
        <v>500</v>
      </c>
      <c r="O1212">
        <v>1</v>
      </c>
      <c r="P1212">
        <v>73</v>
      </c>
      <c r="Q1212">
        <v>5</v>
      </c>
    </row>
    <row r="1213" spans="1:17" x14ac:dyDescent="0.3">
      <c r="A1213">
        <v>7</v>
      </c>
      <c r="B1213" t="s">
        <v>456</v>
      </c>
      <c r="C1213" t="s">
        <v>1710</v>
      </c>
      <c r="E1213">
        <v>5159</v>
      </c>
      <c r="F1213" t="s">
        <v>658</v>
      </c>
      <c r="G1213" t="s">
        <v>964</v>
      </c>
      <c r="H1213" t="s">
        <v>965</v>
      </c>
      <c r="I1213">
        <v>77705</v>
      </c>
      <c r="J1213" t="s">
        <v>966</v>
      </c>
      <c r="K1213">
        <v>8322973609</v>
      </c>
      <c r="M1213">
        <v>525</v>
      </c>
      <c r="N1213">
        <v>525</v>
      </c>
      <c r="O1213">
        <v>2</v>
      </c>
      <c r="P1213">
        <v>56</v>
      </c>
      <c r="Q1213">
        <v>6</v>
      </c>
    </row>
    <row r="1214" spans="1:17" x14ac:dyDescent="0.3">
      <c r="A1214" t="s">
        <v>271</v>
      </c>
      <c r="B1214" t="s">
        <v>272</v>
      </c>
      <c r="C1214" t="s">
        <v>1710</v>
      </c>
      <c r="E1214">
        <v>5075</v>
      </c>
      <c r="F1214" t="s">
        <v>662</v>
      </c>
      <c r="G1214" t="s">
        <v>2168</v>
      </c>
      <c r="H1214" t="s">
        <v>965</v>
      </c>
      <c r="I1214">
        <v>77477</v>
      </c>
      <c r="J1214" t="s">
        <v>2169</v>
      </c>
      <c r="M1214">
        <v>1750</v>
      </c>
      <c r="N1214">
        <v>4900</v>
      </c>
      <c r="O1214">
        <v>12</v>
      </c>
      <c r="P1214">
        <v>156</v>
      </c>
      <c r="Q1214">
        <v>27</v>
      </c>
    </row>
    <row r="1215" spans="1:17" x14ac:dyDescent="0.3">
      <c r="A1215">
        <v>8</v>
      </c>
      <c r="B1215" t="s">
        <v>459</v>
      </c>
      <c r="C1215" t="s">
        <v>1710</v>
      </c>
      <c r="E1215">
        <v>5117</v>
      </c>
      <c r="F1215" t="s">
        <v>663</v>
      </c>
      <c r="G1215" t="s">
        <v>2309</v>
      </c>
      <c r="H1215" t="s">
        <v>965</v>
      </c>
      <c r="I1215">
        <v>77081</v>
      </c>
      <c r="J1215" t="s">
        <v>2310</v>
      </c>
      <c r="K1215" t="s">
        <v>2311</v>
      </c>
      <c r="M1215">
        <v>1800</v>
      </c>
      <c r="N1215">
        <v>1800</v>
      </c>
      <c r="O1215">
        <v>11</v>
      </c>
      <c r="P1215">
        <v>91</v>
      </c>
      <c r="Q1215">
        <v>23</v>
      </c>
    </row>
    <row r="1216" spans="1:17" x14ac:dyDescent="0.3">
      <c r="A1216" t="s">
        <v>273</v>
      </c>
      <c r="B1216" t="s">
        <v>274</v>
      </c>
      <c r="C1216" t="s">
        <v>1710</v>
      </c>
      <c r="E1216">
        <v>5075</v>
      </c>
      <c r="F1216" t="s">
        <v>662</v>
      </c>
      <c r="G1216" t="s">
        <v>2168</v>
      </c>
      <c r="H1216" t="s">
        <v>965</v>
      </c>
      <c r="I1216">
        <v>77477</v>
      </c>
      <c r="J1216" t="s">
        <v>2169</v>
      </c>
      <c r="M1216">
        <v>1550</v>
      </c>
      <c r="N1216">
        <v>2000</v>
      </c>
      <c r="O1216">
        <v>7</v>
      </c>
      <c r="P1216">
        <v>95</v>
      </c>
      <c r="Q1216">
        <v>17</v>
      </c>
    </row>
    <row r="1217" spans="1:17" x14ac:dyDescent="0.3">
      <c r="A1217">
        <v>9</v>
      </c>
      <c r="B1217" t="s">
        <v>460</v>
      </c>
      <c r="C1217" t="s">
        <v>1710</v>
      </c>
      <c r="E1217">
        <v>5063</v>
      </c>
      <c r="F1217" t="s">
        <v>664</v>
      </c>
      <c r="G1217" t="s">
        <v>2851</v>
      </c>
      <c r="H1217" t="s">
        <v>965</v>
      </c>
      <c r="I1217">
        <v>77479</v>
      </c>
      <c r="J1217" t="s">
        <v>2852</v>
      </c>
      <c r="K1217">
        <v>8326058070</v>
      </c>
      <c r="M1217">
        <v>500</v>
      </c>
      <c r="N1217">
        <v>500</v>
      </c>
      <c r="O1217">
        <v>1</v>
      </c>
      <c r="P1217">
        <v>85</v>
      </c>
      <c r="Q1217">
        <v>11</v>
      </c>
    </row>
    <row r="1218" spans="1:17" x14ac:dyDescent="0.3">
      <c r="A1218" t="s">
        <v>275</v>
      </c>
      <c r="B1218" t="s">
        <v>276</v>
      </c>
      <c r="C1218" t="s">
        <v>1710</v>
      </c>
      <c r="E1218">
        <v>5015</v>
      </c>
      <c r="F1218" t="s">
        <v>666</v>
      </c>
      <c r="G1218" t="s">
        <v>2642</v>
      </c>
      <c r="H1218" t="s">
        <v>965</v>
      </c>
      <c r="I1218">
        <v>77536</v>
      </c>
      <c r="J1218" t="s">
        <v>2643</v>
      </c>
      <c r="K1218">
        <v>8329442772</v>
      </c>
      <c r="M1218">
        <v>2000</v>
      </c>
      <c r="N1218">
        <v>2000</v>
      </c>
      <c r="O1218">
        <v>18</v>
      </c>
      <c r="P1218">
        <v>63</v>
      </c>
      <c r="Q1218">
        <v>28</v>
      </c>
    </row>
    <row r="1219" spans="1:17" x14ac:dyDescent="0.3">
      <c r="A1219">
        <v>10</v>
      </c>
      <c r="B1219" t="s">
        <v>2853</v>
      </c>
      <c r="C1219" t="s">
        <v>1710</v>
      </c>
      <c r="E1219">
        <v>5028</v>
      </c>
      <c r="F1219" t="s">
        <v>665</v>
      </c>
      <c r="G1219" t="s">
        <v>1546</v>
      </c>
      <c r="H1219" t="s">
        <v>965</v>
      </c>
      <c r="I1219">
        <v>77057</v>
      </c>
      <c r="J1219" t="s">
        <v>1547</v>
      </c>
      <c r="K1219">
        <v>8328585866</v>
      </c>
      <c r="M1219">
        <v>1900</v>
      </c>
      <c r="N1219">
        <v>1900</v>
      </c>
      <c r="O1219">
        <v>12</v>
      </c>
      <c r="P1219">
        <v>55</v>
      </c>
      <c r="Q1219">
        <v>19</v>
      </c>
    </row>
    <row r="1220" spans="1:17" x14ac:dyDescent="0.3">
      <c r="A1220" t="s">
        <v>277</v>
      </c>
      <c r="B1220" t="s">
        <v>278</v>
      </c>
      <c r="C1220" t="s">
        <v>1710</v>
      </c>
      <c r="E1220">
        <v>5075</v>
      </c>
      <c r="F1220" t="s">
        <v>662</v>
      </c>
      <c r="G1220" t="s">
        <v>2168</v>
      </c>
      <c r="H1220" t="s">
        <v>965</v>
      </c>
      <c r="I1220">
        <v>77477</v>
      </c>
      <c r="J1220" t="s">
        <v>2169</v>
      </c>
      <c r="M1220">
        <v>1250</v>
      </c>
      <c r="N1220">
        <v>2000</v>
      </c>
      <c r="O1220">
        <v>4</v>
      </c>
      <c r="P1220">
        <v>59</v>
      </c>
      <c r="Q1220">
        <v>7</v>
      </c>
    </row>
    <row r="1221" spans="1:17" x14ac:dyDescent="0.3">
      <c r="A1221">
        <v>11</v>
      </c>
      <c r="B1221" t="s">
        <v>509</v>
      </c>
      <c r="C1221" t="s">
        <v>1710</v>
      </c>
      <c r="E1221">
        <v>5086</v>
      </c>
      <c r="F1221" t="s">
        <v>674</v>
      </c>
      <c r="G1221" t="s">
        <v>2854</v>
      </c>
      <c r="H1221" t="s">
        <v>965</v>
      </c>
      <c r="I1221">
        <v>77375</v>
      </c>
      <c r="J1221" t="s">
        <v>2855</v>
      </c>
      <c r="K1221">
        <v>2817279539</v>
      </c>
      <c r="M1221">
        <v>1050</v>
      </c>
      <c r="N1221">
        <v>1050</v>
      </c>
      <c r="O1221">
        <v>10</v>
      </c>
      <c r="P1221">
        <v>81</v>
      </c>
      <c r="Q1221">
        <v>11</v>
      </c>
    </row>
    <row r="1222" spans="1:17" x14ac:dyDescent="0.3">
      <c r="A1222" t="s">
        <v>451</v>
      </c>
      <c r="B1222" t="s">
        <v>1652</v>
      </c>
      <c r="C1222" t="s">
        <v>1710</v>
      </c>
      <c r="E1222">
        <v>5200</v>
      </c>
      <c r="F1222" t="s">
        <v>672</v>
      </c>
      <c r="G1222" t="s">
        <v>2846</v>
      </c>
      <c r="H1222" t="s">
        <v>965</v>
      </c>
      <c r="I1222">
        <v>77080</v>
      </c>
      <c r="J1222" t="s">
        <v>2847</v>
      </c>
      <c r="K1222">
        <v>7134193019</v>
      </c>
      <c r="L1222">
        <v>7135979564</v>
      </c>
      <c r="M1222">
        <v>7250</v>
      </c>
      <c r="N1222">
        <v>7250</v>
      </c>
      <c r="O1222">
        <v>22</v>
      </c>
      <c r="P1222">
        <v>135</v>
      </c>
      <c r="Q1222">
        <v>30</v>
      </c>
    </row>
    <row r="1223" spans="1:17" x14ac:dyDescent="0.3">
      <c r="A1223">
        <v>12</v>
      </c>
      <c r="B1223" t="s">
        <v>314</v>
      </c>
      <c r="C1223" t="s">
        <v>1710</v>
      </c>
      <c r="E1223">
        <v>5076</v>
      </c>
      <c r="F1223" t="s">
        <v>646</v>
      </c>
      <c r="G1223" t="s">
        <v>2715</v>
      </c>
      <c r="H1223" t="s">
        <v>2716</v>
      </c>
      <c r="I1223">
        <v>84094</v>
      </c>
      <c r="J1223" t="s">
        <v>2717</v>
      </c>
      <c r="K1223">
        <v>8018360895</v>
      </c>
      <c r="M1223">
        <v>2500</v>
      </c>
      <c r="N1223">
        <v>3000</v>
      </c>
      <c r="O1223">
        <v>17</v>
      </c>
      <c r="P1223">
        <v>57</v>
      </c>
      <c r="Q1223">
        <v>19</v>
      </c>
    </row>
    <row r="1224" spans="1:17" x14ac:dyDescent="0.3">
      <c r="A1224" t="s">
        <v>279</v>
      </c>
      <c r="B1224" t="s">
        <v>280</v>
      </c>
      <c r="C1224" t="s">
        <v>1710</v>
      </c>
      <c r="E1224">
        <v>5075</v>
      </c>
      <c r="F1224" t="s">
        <v>662</v>
      </c>
      <c r="G1224" t="s">
        <v>2168</v>
      </c>
      <c r="H1224" t="s">
        <v>965</v>
      </c>
      <c r="I1224">
        <v>77477</v>
      </c>
      <c r="J1224" t="s">
        <v>2169</v>
      </c>
      <c r="M1224">
        <v>1250</v>
      </c>
      <c r="N1224">
        <v>2000</v>
      </c>
      <c r="O1224">
        <v>3</v>
      </c>
      <c r="P1224">
        <v>48</v>
      </c>
      <c r="Q1224">
        <v>4</v>
      </c>
    </row>
    <row r="1225" spans="1:17" x14ac:dyDescent="0.3">
      <c r="A1225">
        <v>13</v>
      </c>
      <c r="B1225" t="s">
        <v>2344</v>
      </c>
      <c r="C1225" t="s">
        <v>1710</v>
      </c>
      <c r="E1225">
        <v>5076</v>
      </c>
      <c r="F1225" t="s">
        <v>646</v>
      </c>
      <c r="G1225" t="s">
        <v>2715</v>
      </c>
      <c r="H1225" t="s">
        <v>2716</v>
      </c>
      <c r="I1225">
        <v>84094</v>
      </c>
      <c r="J1225" t="s">
        <v>2717</v>
      </c>
      <c r="K1225">
        <v>8018360895</v>
      </c>
      <c r="M1225">
        <v>4500</v>
      </c>
      <c r="N1225">
        <v>6100</v>
      </c>
      <c r="O1225">
        <v>28</v>
      </c>
      <c r="P1225">
        <v>61</v>
      </c>
      <c r="Q1225">
        <v>17</v>
      </c>
    </row>
    <row r="1226" spans="1:17" x14ac:dyDescent="0.3">
      <c r="A1226" t="s">
        <v>281</v>
      </c>
      <c r="B1226" t="s">
        <v>282</v>
      </c>
      <c r="C1226" t="s">
        <v>1710</v>
      </c>
      <c r="E1226">
        <v>5075</v>
      </c>
      <c r="F1226" t="s">
        <v>662</v>
      </c>
      <c r="G1226" t="s">
        <v>2168</v>
      </c>
      <c r="H1226" t="s">
        <v>965</v>
      </c>
      <c r="I1226">
        <v>77477</v>
      </c>
      <c r="J1226" t="s">
        <v>2169</v>
      </c>
      <c r="M1226">
        <v>2100</v>
      </c>
      <c r="N1226">
        <v>3300</v>
      </c>
      <c r="O1226">
        <v>9</v>
      </c>
      <c r="P1226">
        <v>64</v>
      </c>
      <c r="Q1226">
        <v>8</v>
      </c>
    </row>
    <row r="1227" spans="1:17" x14ac:dyDescent="0.3">
      <c r="A1227">
        <v>14</v>
      </c>
      <c r="B1227" t="s">
        <v>316</v>
      </c>
      <c r="C1227" t="s">
        <v>1710</v>
      </c>
      <c r="E1227">
        <v>5076</v>
      </c>
      <c r="F1227" t="s">
        <v>646</v>
      </c>
      <c r="G1227" t="s">
        <v>2715</v>
      </c>
      <c r="H1227" t="s">
        <v>2716</v>
      </c>
      <c r="I1227">
        <v>84094</v>
      </c>
      <c r="J1227" t="s">
        <v>2717</v>
      </c>
      <c r="K1227">
        <v>8018360895</v>
      </c>
      <c r="M1227">
        <v>2100</v>
      </c>
      <c r="N1227">
        <v>3000</v>
      </c>
      <c r="O1227">
        <v>15</v>
      </c>
      <c r="P1227">
        <v>53</v>
      </c>
      <c r="Q1227">
        <v>7</v>
      </c>
    </row>
    <row r="1228" spans="1:17" x14ac:dyDescent="0.3">
      <c r="A1228" t="s">
        <v>284</v>
      </c>
      <c r="B1228" t="s">
        <v>285</v>
      </c>
      <c r="C1228" t="s">
        <v>1710</v>
      </c>
      <c r="E1228">
        <v>5205</v>
      </c>
      <c r="F1228" t="s">
        <v>675</v>
      </c>
      <c r="G1228" t="s">
        <v>2856</v>
      </c>
      <c r="H1228" t="s">
        <v>965</v>
      </c>
      <c r="I1228">
        <v>77407</v>
      </c>
      <c r="J1228" t="s">
        <v>2857</v>
      </c>
      <c r="K1228">
        <v>7138828150</v>
      </c>
      <c r="M1228">
        <v>3100</v>
      </c>
      <c r="N1228">
        <v>3200</v>
      </c>
      <c r="O1228">
        <v>11</v>
      </c>
      <c r="P1228">
        <v>218</v>
      </c>
      <c r="Q1228">
        <v>16</v>
      </c>
    </row>
    <row r="1229" spans="1:17" x14ac:dyDescent="0.3">
      <c r="A1229">
        <v>15</v>
      </c>
      <c r="B1229" t="s">
        <v>317</v>
      </c>
      <c r="C1229" t="s">
        <v>1710</v>
      </c>
      <c r="E1229">
        <v>5140</v>
      </c>
      <c r="F1229" t="s">
        <v>667</v>
      </c>
      <c r="G1229" t="s">
        <v>2858</v>
      </c>
      <c r="H1229" t="s">
        <v>965</v>
      </c>
      <c r="I1229">
        <v>77578</v>
      </c>
      <c r="J1229" t="s">
        <v>2859</v>
      </c>
      <c r="K1229">
        <v>9032167335</v>
      </c>
      <c r="L1229">
        <v>9032167335</v>
      </c>
      <c r="M1229">
        <v>800</v>
      </c>
      <c r="N1229">
        <v>800</v>
      </c>
      <c r="O1229">
        <v>4</v>
      </c>
      <c r="P1229">
        <v>18</v>
      </c>
      <c r="Q1229">
        <v>4</v>
      </c>
    </row>
    <row r="1230" spans="1:17" x14ac:dyDescent="0.3">
      <c r="A1230" t="s">
        <v>286</v>
      </c>
      <c r="B1230" t="s">
        <v>1755</v>
      </c>
      <c r="C1230" t="s">
        <v>1710</v>
      </c>
      <c r="E1230">
        <v>5113</v>
      </c>
      <c r="F1230" t="s">
        <v>670</v>
      </c>
      <c r="G1230" t="s">
        <v>2757</v>
      </c>
      <c r="H1230" t="s">
        <v>965</v>
      </c>
      <c r="I1230">
        <v>78046</v>
      </c>
      <c r="J1230" t="s">
        <v>2758</v>
      </c>
      <c r="K1230">
        <v>3466417632</v>
      </c>
      <c r="M1230">
        <v>8500</v>
      </c>
      <c r="N1230">
        <v>8500</v>
      </c>
      <c r="O1230">
        <v>20</v>
      </c>
      <c r="P1230">
        <v>61</v>
      </c>
      <c r="Q1230">
        <v>25</v>
      </c>
    </row>
    <row r="1231" spans="1:17" x14ac:dyDescent="0.3">
      <c r="A1231">
        <v>16</v>
      </c>
      <c r="B1231" t="s">
        <v>318</v>
      </c>
      <c r="C1231" t="s">
        <v>1710</v>
      </c>
      <c r="E1231">
        <v>5044</v>
      </c>
      <c r="F1231" t="s">
        <v>676</v>
      </c>
      <c r="G1231" t="s">
        <v>2860</v>
      </c>
      <c r="H1231" t="s">
        <v>965</v>
      </c>
      <c r="I1231">
        <v>77477</v>
      </c>
      <c r="J1231" t="s">
        <v>2861</v>
      </c>
      <c r="K1231">
        <v>7138945717</v>
      </c>
      <c r="M1231">
        <v>5250</v>
      </c>
      <c r="N1231">
        <v>5250</v>
      </c>
      <c r="O1231">
        <v>26</v>
      </c>
      <c r="P1231">
        <v>69</v>
      </c>
      <c r="Q1231">
        <v>23</v>
      </c>
    </row>
    <row r="1232" spans="1:17" x14ac:dyDescent="0.3">
      <c r="A1232" t="s">
        <v>457</v>
      </c>
      <c r="B1232" t="s">
        <v>2862</v>
      </c>
      <c r="C1232" t="s">
        <v>1710</v>
      </c>
      <c r="E1232">
        <v>5149</v>
      </c>
      <c r="F1232" t="s">
        <v>661</v>
      </c>
      <c r="G1232" t="s">
        <v>2206</v>
      </c>
      <c r="H1232" t="s">
        <v>965</v>
      </c>
      <c r="I1232">
        <v>78626</v>
      </c>
      <c r="J1232" t="s">
        <v>2207</v>
      </c>
      <c r="K1232">
        <v>2817748923</v>
      </c>
      <c r="M1232">
        <v>1050</v>
      </c>
      <c r="N1232">
        <v>1050</v>
      </c>
      <c r="O1232">
        <v>3</v>
      </c>
      <c r="P1232">
        <v>30</v>
      </c>
      <c r="Q1232">
        <v>8</v>
      </c>
    </row>
    <row r="1233" spans="1:17" x14ac:dyDescent="0.3">
      <c r="A1233">
        <v>17</v>
      </c>
      <c r="B1233" t="s">
        <v>2863</v>
      </c>
      <c r="C1233" t="s">
        <v>1710</v>
      </c>
      <c r="E1233">
        <v>5201</v>
      </c>
      <c r="F1233" t="s">
        <v>677</v>
      </c>
      <c r="G1233" t="s">
        <v>2864</v>
      </c>
      <c r="H1233" t="s">
        <v>965</v>
      </c>
      <c r="I1233">
        <v>77581</v>
      </c>
      <c r="J1233" t="s">
        <v>2865</v>
      </c>
      <c r="K1233" t="s">
        <v>2866</v>
      </c>
      <c r="M1233">
        <v>5250</v>
      </c>
      <c r="N1233">
        <v>5250</v>
      </c>
      <c r="O1233">
        <v>34</v>
      </c>
      <c r="P1233">
        <v>70</v>
      </c>
      <c r="Q1233">
        <v>28</v>
      </c>
    </row>
    <row r="1234" spans="1:17" x14ac:dyDescent="0.3">
      <c r="A1234" t="s">
        <v>288</v>
      </c>
      <c r="B1234" t="s">
        <v>289</v>
      </c>
      <c r="C1234" t="s">
        <v>1710</v>
      </c>
      <c r="E1234">
        <v>5141</v>
      </c>
      <c r="F1234" t="s">
        <v>678</v>
      </c>
      <c r="G1234" t="s">
        <v>2621</v>
      </c>
      <c r="H1234" t="s">
        <v>965</v>
      </c>
      <c r="I1234">
        <v>77494</v>
      </c>
      <c r="J1234" t="s">
        <v>2622</v>
      </c>
      <c r="K1234" t="s">
        <v>2623</v>
      </c>
      <c r="L1234" t="s">
        <v>2624</v>
      </c>
      <c r="M1234">
        <v>22000</v>
      </c>
      <c r="N1234">
        <v>22000</v>
      </c>
      <c r="O1234">
        <v>12</v>
      </c>
      <c r="P1234">
        <v>133</v>
      </c>
      <c r="Q1234">
        <v>25</v>
      </c>
    </row>
    <row r="1235" spans="1:17" x14ac:dyDescent="0.3">
      <c r="A1235">
        <v>18</v>
      </c>
      <c r="B1235" t="s">
        <v>1082</v>
      </c>
      <c r="C1235" t="s">
        <v>1710</v>
      </c>
      <c r="E1235">
        <v>5149</v>
      </c>
      <c r="F1235" t="s">
        <v>661</v>
      </c>
      <c r="G1235" t="s">
        <v>2206</v>
      </c>
      <c r="H1235" t="s">
        <v>965</v>
      </c>
      <c r="I1235">
        <v>78626</v>
      </c>
      <c r="J1235" t="s">
        <v>2207</v>
      </c>
      <c r="K1235">
        <v>2817748923</v>
      </c>
      <c r="M1235">
        <v>550</v>
      </c>
      <c r="N1235">
        <v>550</v>
      </c>
      <c r="O1235">
        <v>3</v>
      </c>
      <c r="P1235">
        <v>14</v>
      </c>
      <c r="Q1235">
        <v>9</v>
      </c>
    </row>
    <row r="1236" spans="1:17" x14ac:dyDescent="0.3">
      <c r="A1236" t="s">
        <v>290</v>
      </c>
      <c r="B1236" t="s">
        <v>291</v>
      </c>
      <c r="C1236" t="s">
        <v>1710</v>
      </c>
      <c r="E1236">
        <v>5205</v>
      </c>
      <c r="F1236" t="s">
        <v>675</v>
      </c>
      <c r="G1236" t="s">
        <v>2856</v>
      </c>
      <c r="H1236" t="s">
        <v>965</v>
      </c>
      <c r="I1236">
        <v>77407</v>
      </c>
      <c r="J1236" t="s">
        <v>2857</v>
      </c>
      <c r="K1236">
        <v>7138828150</v>
      </c>
      <c r="M1236">
        <v>2800</v>
      </c>
      <c r="N1236">
        <v>2800</v>
      </c>
      <c r="O1236">
        <v>24</v>
      </c>
      <c r="P1236">
        <v>53</v>
      </c>
      <c r="Q1236">
        <v>15</v>
      </c>
    </row>
    <row r="1237" spans="1:17" x14ac:dyDescent="0.3">
      <c r="A1237" t="s">
        <v>370</v>
      </c>
      <c r="B1237" t="s">
        <v>371</v>
      </c>
      <c r="C1237" t="s">
        <v>1710</v>
      </c>
      <c r="E1237">
        <v>5093</v>
      </c>
      <c r="F1237" t="s">
        <v>679</v>
      </c>
      <c r="G1237" t="s">
        <v>2867</v>
      </c>
      <c r="H1237" t="s">
        <v>965</v>
      </c>
      <c r="I1237">
        <v>77008</v>
      </c>
      <c r="J1237" t="s">
        <v>2868</v>
      </c>
      <c r="K1237">
        <v>9194551411</v>
      </c>
      <c r="M1237">
        <v>79000</v>
      </c>
      <c r="N1237">
        <v>79000</v>
      </c>
      <c r="O1237">
        <v>52</v>
      </c>
      <c r="P1237">
        <v>140</v>
      </c>
      <c r="Q1237">
        <v>40</v>
      </c>
    </row>
    <row r="1238" spans="1:17" x14ac:dyDescent="0.3">
      <c r="A1238">
        <v>20</v>
      </c>
      <c r="B1238" t="s">
        <v>399</v>
      </c>
      <c r="C1238" t="s">
        <v>1710</v>
      </c>
      <c r="F1238" t="s">
        <v>649</v>
      </c>
      <c r="M1238">
        <v>0</v>
      </c>
      <c r="N1238">
        <v>0</v>
      </c>
      <c r="O1238">
        <v>0</v>
      </c>
      <c r="P1238">
        <v>34</v>
      </c>
      <c r="Q1238">
        <v>9</v>
      </c>
    </row>
    <row r="1239" spans="1:17" x14ac:dyDescent="0.3">
      <c r="A1239" t="s">
        <v>292</v>
      </c>
      <c r="B1239" t="s">
        <v>293</v>
      </c>
      <c r="C1239" t="s">
        <v>1710</v>
      </c>
      <c r="E1239">
        <v>5131</v>
      </c>
      <c r="F1239" t="s">
        <v>668</v>
      </c>
      <c r="G1239" t="s">
        <v>2610</v>
      </c>
      <c r="H1239" t="s">
        <v>965</v>
      </c>
      <c r="I1239">
        <v>77377</v>
      </c>
      <c r="J1239" t="s">
        <v>2611</v>
      </c>
      <c r="K1239">
        <v>7029605668</v>
      </c>
      <c r="M1239">
        <v>2100</v>
      </c>
      <c r="N1239">
        <v>11200</v>
      </c>
      <c r="O1239">
        <v>9</v>
      </c>
      <c r="P1239">
        <v>97</v>
      </c>
      <c r="Q1239">
        <v>19</v>
      </c>
    </row>
    <row r="1240" spans="1:17" x14ac:dyDescent="0.3">
      <c r="A1240">
        <v>21</v>
      </c>
      <c r="B1240" t="s">
        <v>401</v>
      </c>
      <c r="C1240" t="s">
        <v>1710</v>
      </c>
      <c r="E1240">
        <v>5131</v>
      </c>
      <c r="F1240" t="s">
        <v>668</v>
      </c>
      <c r="G1240" t="s">
        <v>2610</v>
      </c>
      <c r="H1240" t="s">
        <v>965</v>
      </c>
      <c r="I1240">
        <v>77377</v>
      </c>
      <c r="J1240" t="s">
        <v>2611</v>
      </c>
      <c r="K1240">
        <v>7029605668</v>
      </c>
      <c r="M1240">
        <v>500</v>
      </c>
      <c r="N1240">
        <v>500</v>
      </c>
      <c r="O1240">
        <v>1</v>
      </c>
      <c r="P1240">
        <v>47</v>
      </c>
      <c r="Q1240">
        <v>6</v>
      </c>
    </row>
    <row r="1241" spans="1:17" x14ac:dyDescent="0.3">
      <c r="A1241" t="s">
        <v>462</v>
      </c>
      <c r="B1241" t="s">
        <v>1190</v>
      </c>
      <c r="C1241" t="s">
        <v>1710</v>
      </c>
      <c r="E1241">
        <v>5207</v>
      </c>
      <c r="F1241" t="s">
        <v>680</v>
      </c>
      <c r="G1241" t="s">
        <v>2869</v>
      </c>
      <c r="H1241" t="s">
        <v>965</v>
      </c>
      <c r="I1241">
        <v>77062</v>
      </c>
      <c r="J1241" t="s">
        <v>2870</v>
      </c>
      <c r="K1241">
        <v>2819482921</v>
      </c>
      <c r="M1241">
        <v>35000</v>
      </c>
      <c r="N1241">
        <v>35000</v>
      </c>
      <c r="O1241">
        <v>39</v>
      </c>
      <c r="P1241">
        <v>132</v>
      </c>
      <c r="Q1241">
        <v>29</v>
      </c>
    </row>
    <row r="1242" spans="1:17" x14ac:dyDescent="0.3">
      <c r="A1242">
        <v>22</v>
      </c>
      <c r="B1242" t="s">
        <v>568</v>
      </c>
      <c r="C1242" t="s">
        <v>1710</v>
      </c>
      <c r="E1242">
        <v>5159</v>
      </c>
      <c r="F1242" t="s">
        <v>658</v>
      </c>
      <c r="G1242" t="s">
        <v>964</v>
      </c>
      <c r="H1242" t="s">
        <v>965</v>
      </c>
      <c r="I1242">
        <v>77705</v>
      </c>
      <c r="J1242" t="s">
        <v>966</v>
      </c>
      <c r="K1242">
        <v>8322973609</v>
      </c>
      <c r="M1242">
        <v>600</v>
      </c>
      <c r="N1242">
        <v>600</v>
      </c>
      <c r="O1242">
        <v>5</v>
      </c>
      <c r="P1242">
        <v>27</v>
      </c>
      <c r="Q1242">
        <v>5</v>
      </c>
    </row>
    <row r="1243" spans="1:17" x14ac:dyDescent="0.3">
      <c r="A1243" t="s">
        <v>294</v>
      </c>
      <c r="B1243" t="s">
        <v>295</v>
      </c>
      <c r="C1243" t="s">
        <v>1710</v>
      </c>
      <c r="E1243">
        <v>5076</v>
      </c>
      <c r="F1243" t="s">
        <v>646</v>
      </c>
      <c r="G1243" t="s">
        <v>2715</v>
      </c>
      <c r="H1243" t="s">
        <v>2716</v>
      </c>
      <c r="I1243">
        <v>84094</v>
      </c>
      <c r="J1243" t="s">
        <v>2717</v>
      </c>
      <c r="K1243">
        <v>8018360895</v>
      </c>
      <c r="M1243">
        <v>14500</v>
      </c>
      <c r="N1243">
        <v>15000</v>
      </c>
      <c r="O1243">
        <v>23</v>
      </c>
      <c r="P1243">
        <v>155</v>
      </c>
      <c r="Q1243">
        <v>24</v>
      </c>
    </row>
    <row r="1244" spans="1:17" x14ac:dyDescent="0.3">
      <c r="A1244">
        <v>23</v>
      </c>
      <c r="B1244" t="s">
        <v>569</v>
      </c>
      <c r="C1244" t="s">
        <v>1710</v>
      </c>
      <c r="E1244">
        <v>5186</v>
      </c>
      <c r="F1244" t="s">
        <v>681</v>
      </c>
      <c r="G1244" t="s">
        <v>2871</v>
      </c>
      <c r="H1244" t="s">
        <v>965</v>
      </c>
      <c r="I1244">
        <v>77511</v>
      </c>
      <c r="J1244" t="s">
        <v>2872</v>
      </c>
      <c r="K1244">
        <v>8326401026</v>
      </c>
      <c r="M1244">
        <v>675</v>
      </c>
      <c r="N1244">
        <v>700</v>
      </c>
      <c r="O1244">
        <v>9</v>
      </c>
      <c r="P1244">
        <v>48</v>
      </c>
      <c r="Q1244">
        <v>16</v>
      </c>
    </row>
    <row r="1245" spans="1:17" x14ac:dyDescent="0.3">
      <c r="A1245" t="s">
        <v>296</v>
      </c>
      <c r="B1245" t="s">
        <v>297</v>
      </c>
      <c r="C1245" t="s">
        <v>1710</v>
      </c>
      <c r="E1245">
        <v>5131</v>
      </c>
      <c r="F1245" t="s">
        <v>668</v>
      </c>
      <c r="G1245" t="s">
        <v>2610</v>
      </c>
      <c r="H1245" t="s">
        <v>965</v>
      </c>
      <c r="I1245">
        <v>77377</v>
      </c>
      <c r="J1245" t="s">
        <v>2611</v>
      </c>
      <c r="K1245">
        <v>7029605668</v>
      </c>
      <c r="M1245">
        <v>2100</v>
      </c>
      <c r="N1245">
        <v>9200</v>
      </c>
      <c r="O1245">
        <v>10</v>
      </c>
      <c r="P1245">
        <v>89</v>
      </c>
      <c r="Q1245">
        <v>17</v>
      </c>
    </row>
    <row r="1246" spans="1:17" x14ac:dyDescent="0.3">
      <c r="A1246">
        <v>24</v>
      </c>
      <c r="B1246" t="s">
        <v>2873</v>
      </c>
      <c r="C1246" t="s">
        <v>1710</v>
      </c>
      <c r="E1246">
        <v>5015</v>
      </c>
      <c r="F1246" t="s">
        <v>666</v>
      </c>
      <c r="G1246" t="s">
        <v>2642</v>
      </c>
      <c r="H1246" t="s">
        <v>965</v>
      </c>
      <c r="I1246">
        <v>77536</v>
      </c>
      <c r="J1246" t="s">
        <v>2643</v>
      </c>
      <c r="K1246">
        <v>8329442772</v>
      </c>
      <c r="M1246">
        <v>2000</v>
      </c>
      <c r="N1246">
        <v>2000</v>
      </c>
      <c r="O1246">
        <v>24</v>
      </c>
      <c r="P1246">
        <v>83</v>
      </c>
      <c r="Q1246">
        <v>24</v>
      </c>
    </row>
    <row r="1247" spans="1:17" x14ac:dyDescent="0.3">
      <c r="A1247" t="s">
        <v>298</v>
      </c>
      <c r="B1247" t="s">
        <v>299</v>
      </c>
      <c r="C1247" t="s">
        <v>1710</v>
      </c>
      <c r="E1247">
        <v>5075</v>
      </c>
      <c r="F1247" t="s">
        <v>662</v>
      </c>
      <c r="G1247" t="s">
        <v>2168</v>
      </c>
      <c r="H1247" t="s">
        <v>965</v>
      </c>
      <c r="I1247">
        <v>77477</v>
      </c>
      <c r="J1247" t="s">
        <v>2169</v>
      </c>
      <c r="M1247">
        <v>14100</v>
      </c>
      <c r="N1247">
        <v>21000</v>
      </c>
      <c r="O1247">
        <v>39</v>
      </c>
      <c r="P1247">
        <v>115</v>
      </c>
      <c r="Q1247">
        <v>33</v>
      </c>
    </row>
    <row r="1248" spans="1:17" x14ac:dyDescent="0.3">
      <c r="A1248">
        <v>25</v>
      </c>
      <c r="B1248" t="s">
        <v>455</v>
      </c>
      <c r="C1248" t="s">
        <v>1710</v>
      </c>
      <c r="E1248">
        <v>5159</v>
      </c>
      <c r="F1248" t="s">
        <v>658</v>
      </c>
      <c r="G1248" t="s">
        <v>964</v>
      </c>
      <c r="H1248" t="s">
        <v>965</v>
      </c>
      <c r="I1248">
        <v>77705</v>
      </c>
      <c r="J1248" t="s">
        <v>966</v>
      </c>
      <c r="K1248">
        <v>8322973609</v>
      </c>
      <c r="M1248">
        <v>750</v>
      </c>
      <c r="N1248">
        <v>750</v>
      </c>
      <c r="O1248">
        <v>11</v>
      </c>
      <c r="P1248">
        <v>25</v>
      </c>
      <c r="Q1248">
        <v>6</v>
      </c>
    </row>
    <row r="1249" spans="1:17" x14ac:dyDescent="0.3">
      <c r="A1249" t="s">
        <v>300</v>
      </c>
      <c r="B1249" t="s">
        <v>301</v>
      </c>
      <c r="C1249" t="s">
        <v>1710</v>
      </c>
      <c r="E1249">
        <v>5054</v>
      </c>
      <c r="F1249" t="s">
        <v>682</v>
      </c>
      <c r="G1249" t="s">
        <v>1314</v>
      </c>
      <c r="H1249" t="s">
        <v>965</v>
      </c>
      <c r="I1249">
        <v>77450</v>
      </c>
      <c r="J1249" t="s">
        <v>1315</v>
      </c>
      <c r="K1249">
        <v>6469236179</v>
      </c>
      <c r="M1249">
        <v>9050</v>
      </c>
      <c r="N1249">
        <v>9050</v>
      </c>
      <c r="O1249">
        <v>19</v>
      </c>
      <c r="P1249">
        <v>80</v>
      </c>
      <c r="Q1249">
        <v>19</v>
      </c>
    </row>
    <row r="1250" spans="1:17" x14ac:dyDescent="0.3">
      <c r="A1250">
        <v>26</v>
      </c>
      <c r="B1250" t="s">
        <v>571</v>
      </c>
      <c r="C1250" t="s">
        <v>1710</v>
      </c>
      <c r="E1250">
        <v>5185</v>
      </c>
      <c r="F1250" t="s">
        <v>683</v>
      </c>
      <c r="G1250" t="s">
        <v>1125</v>
      </c>
      <c r="H1250" t="s">
        <v>965</v>
      </c>
      <c r="I1250">
        <v>77017</v>
      </c>
      <c r="J1250" t="s">
        <v>1126</v>
      </c>
      <c r="K1250">
        <v>8322771242</v>
      </c>
      <c r="M1250">
        <v>1650</v>
      </c>
      <c r="N1250">
        <v>1650</v>
      </c>
      <c r="O1250">
        <v>17</v>
      </c>
      <c r="P1250">
        <v>73</v>
      </c>
      <c r="Q1250">
        <v>20</v>
      </c>
    </row>
    <row r="1251" spans="1:17" x14ac:dyDescent="0.3">
      <c r="A1251" t="s">
        <v>464</v>
      </c>
      <c r="B1251" t="s">
        <v>465</v>
      </c>
      <c r="C1251" t="s">
        <v>1710</v>
      </c>
      <c r="E1251">
        <v>5167</v>
      </c>
      <c r="F1251" t="s">
        <v>684</v>
      </c>
      <c r="G1251" t="s">
        <v>2874</v>
      </c>
      <c r="H1251" t="s">
        <v>965</v>
      </c>
      <c r="I1251">
        <v>77546</v>
      </c>
      <c r="J1251" t="s">
        <v>2875</v>
      </c>
      <c r="K1251">
        <v>2812364575</v>
      </c>
      <c r="M1251">
        <v>36000</v>
      </c>
      <c r="N1251">
        <v>36000</v>
      </c>
      <c r="O1251">
        <v>49</v>
      </c>
      <c r="P1251">
        <v>172</v>
      </c>
      <c r="Q1251">
        <v>53</v>
      </c>
    </row>
    <row r="1252" spans="1:17" x14ac:dyDescent="0.3">
      <c r="A1252">
        <v>27</v>
      </c>
      <c r="B1252" t="s">
        <v>572</v>
      </c>
      <c r="C1252" t="s">
        <v>1710</v>
      </c>
      <c r="E1252">
        <v>5149</v>
      </c>
      <c r="F1252" t="s">
        <v>661</v>
      </c>
      <c r="G1252" t="s">
        <v>2206</v>
      </c>
      <c r="H1252" t="s">
        <v>965</v>
      </c>
      <c r="I1252">
        <v>78626</v>
      </c>
      <c r="J1252" t="s">
        <v>2207</v>
      </c>
      <c r="K1252">
        <v>2817748923</v>
      </c>
      <c r="M1252">
        <v>650</v>
      </c>
      <c r="N1252">
        <v>750</v>
      </c>
      <c r="O1252">
        <v>6</v>
      </c>
      <c r="P1252">
        <v>25</v>
      </c>
      <c r="Q1252">
        <v>9</v>
      </c>
    </row>
    <row r="1253" spans="1:17" x14ac:dyDescent="0.3">
      <c r="A1253" t="s">
        <v>302</v>
      </c>
      <c r="B1253" t="s">
        <v>303</v>
      </c>
      <c r="C1253" t="s">
        <v>1710</v>
      </c>
      <c r="E1253">
        <v>5001</v>
      </c>
      <c r="F1253" t="s">
        <v>685</v>
      </c>
      <c r="G1253" t="s">
        <v>2876</v>
      </c>
      <c r="H1253" t="s">
        <v>965</v>
      </c>
      <c r="I1253">
        <v>77478</v>
      </c>
      <c r="J1253" t="s">
        <v>2877</v>
      </c>
      <c r="K1253">
        <v>8328053433</v>
      </c>
      <c r="M1253">
        <v>17300</v>
      </c>
      <c r="N1253">
        <v>17300</v>
      </c>
      <c r="O1253">
        <v>48</v>
      </c>
      <c r="P1253">
        <v>173</v>
      </c>
      <c r="Q1253">
        <v>45</v>
      </c>
    </row>
    <row r="1254" spans="1:17" x14ac:dyDescent="0.3">
      <c r="A1254">
        <v>28</v>
      </c>
      <c r="B1254" t="s">
        <v>2878</v>
      </c>
      <c r="C1254" t="s">
        <v>1710</v>
      </c>
      <c r="E1254">
        <v>5198</v>
      </c>
      <c r="F1254" t="s">
        <v>686</v>
      </c>
      <c r="G1254" t="s">
        <v>1231</v>
      </c>
      <c r="H1254" t="s">
        <v>965</v>
      </c>
      <c r="I1254">
        <v>77578</v>
      </c>
      <c r="J1254" t="s">
        <v>1232</v>
      </c>
      <c r="K1254" t="s">
        <v>1233</v>
      </c>
      <c r="M1254">
        <v>2575</v>
      </c>
      <c r="N1254">
        <v>2575</v>
      </c>
      <c r="O1254">
        <v>19</v>
      </c>
      <c r="P1254">
        <v>46</v>
      </c>
      <c r="Q1254">
        <v>33</v>
      </c>
    </row>
    <row r="1255" spans="1:17" x14ac:dyDescent="0.3">
      <c r="A1255" t="s">
        <v>304</v>
      </c>
      <c r="B1255" t="s">
        <v>305</v>
      </c>
      <c r="C1255" t="s">
        <v>1710</v>
      </c>
      <c r="E1255">
        <v>5209</v>
      </c>
      <c r="F1255" t="s">
        <v>687</v>
      </c>
      <c r="G1255" t="s">
        <v>2879</v>
      </c>
      <c r="H1255" t="s">
        <v>965</v>
      </c>
      <c r="I1255">
        <v>77625</v>
      </c>
      <c r="J1255" t="s">
        <v>2880</v>
      </c>
      <c r="K1255" t="s">
        <v>2881</v>
      </c>
      <c r="M1255">
        <v>3100</v>
      </c>
      <c r="N1255">
        <v>8200</v>
      </c>
      <c r="O1255">
        <v>13</v>
      </c>
      <c r="P1255">
        <v>28</v>
      </c>
      <c r="Q1255">
        <v>9</v>
      </c>
    </row>
    <row r="1256" spans="1:17" x14ac:dyDescent="0.3">
      <c r="A1256">
        <v>29</v>
      </c>
      <c r="B1256" t="s">
        <v>2882</v>
      </c>
      <c r="C1256" t="s">
        <v>1710</v>
      </c>
      <c r="E1256">
        <v>5205</v>
      </c>
      <c r="F1256" t="s">
        <v>675</v>
      </c>
      <c r="G1256" t="s">
        <v>2856</v>
      </c>
      <c r="H1256" t="s">
        <v>965</v>
      </c>
      <c r="I1256">
        <v>77407</v>
      </c>
      <c r="J1256" t="s">
        <v>2857</v>
      </c>
      <c r="K1256">
        <v>7138828150</v>
      </c>
      <c r="M1256">
        <v>1850</v>
      </c>
      <c r="N1256">
        <v>1850</v>
      </c>
      <c r="O1256">
        <v>25</v>
      </c>
      <c r="P1256">
        <v>43</v>
      </c>
      <c r="Q1256">
        <v>22</v>
      </c>
    </row>
    <row r="1257" spans="1:17" x14ac:dyDescent="0.3">
      <c r="A1257" t="s">
        <v>306</v>
      </c>
      <c r="B1257" t="s">
        <v>307</v>
      </c>
      <c r="C1257" t="s">
        <v>1710</v>
      </c>
      <c r="E1257">
        <v>5044</v>
      </c>
      <c r="F1257" t="s">
        <v>676</v>
      </c>
      <c r="G1257" t="s">
        <v>2860</v>
      </c>
      <c r="H1257" t="s">
        <v>965</v>
      </c>
      <c r="I1257">
        <v>77477</v>
      </c>
      <c r="J1257" t="s">
        <v>2861</v>
      </c>
      <c r="K1257">
        <v>7138945717</v>
      </c>
      <c r="M1257">
        <v>2100</v>
      </c>
      <c r="N1257">
        <v>2500</v>
      </c>
      <c r="O1257">
        <v>20</v>
      </c>
      <c r="P1257">
        <v>34</v>
      </c>
      <c r="Q1257">
        <v>7</v>
      </c>
    </row>
    <row r="1258" spans="1:17" x14ac:dyDescent="0.3">
      <c r="A1258">
        <v>30</v>
      </c>
      <c r="B1258" t="s">
        <v>405</v>
      </c>
      <c r="C1258" t="s">
        <v>1710</v>
      </c>
      <c r="E1258">
        <v>5186</v>
      </c>
      <c r="F1258" t="s">
        <v>681</v>
      </c>
      <c r="G1258" t="s">
        <v>2871</v>
      </c>
      <c r="H1258" t="s">
        <v>965</v>
      </c>
      <c r="I1258">
        <v>77511</v>
      </c>
      <c r="J1258" t="s">
        <v>2872</v>
      </c>
      <c r="K1258">
        <v>8326401026</v>
      </c>
      <c r="M1258">
        <v>1850</v>
      </c>
      <c r="N1258">
        <v>1850</v>
      </c>
      <c r="O1258">
        <v>30</v>
      </c>
      <c r="P1258">
        <v>44</v>
      </c>
      <c r="Q1258">
        <v>25</v>
      </c>
    </row>
    <row r="1259" spans="1:17" x14ac:dyDescent="0.3">
      <c r="A1259" t="s">
        <v>308</v>
      </c>
      <c r="B1259" t="s">
        <v>309</v>
      </c>
      <c r="C1259" t="s">
        <v>1710</v>
      </c>
      <c r="E1259">
        <v>5076</v>
      </c>
      <c r="F1259" t="s">
        <v>646</v>
      </c>
      <c r="G1259" t="s">
        <v>2715</v>
      </c>
      <c r="H1259" t="s">
        <v>2716</v>
      </c>
      <c r="I1259">
        <v>84094</v>
      </c>
      <c r="J1259" t="s">
        <v>2717</v>
      </c>
      <c r="K1259">
        <v>8018360895</v>
      </c>
      <c r="M1259">
        <v>2150</v>
      </c>
      <c r="N1259">
        <v>3000</v>
      </c>
      <c r="O1259">
        <v>2</v>
      </c>
      <c r="P1259">
        <v>42</v>
      </c>
      <c r="Q1259">
        <v>8</v>
      </c>
    </row>
    <row r="1260" spans="1:17" x14ac:dyDescent="0.3">
      <c r="A1260">
        <v>31</v>
      </c>
      <c r="B1260" t="s">
        <v>2883</v>
      </c>
      <c r="C1260" t="s">
        <v>1710</v>
      </c>
      <c r="E1260">
        <v>5159</v>
      </c>
      <c r="F1260" t="s">
        <v>658</v>
      </c>
      <c r="G1260" t="s">
        <v>964</v>
      </c>
      <c r="H1260" t="s">
        <v>965</v>
      </c>
      <c r="I1260">
        <v>77705</v>
      </c>
      <c r="J1260" t="s">
        <v>966</v>
      </c>
      <c r="K1260">
        <v>8322973609</v>
      </c>
      <c r="M1260">
        <v>2600</v>
      </c>
      <c r="N1260">
        <v>2600</v>
      </c>
      <c r="O1260">
        <v>22</v>
      </c>
      <c r="P1260">
        <v>27</v>
      </c>
      <c r="Q1260">
        <v>21</v>
      </c>
    </row>
    <row r="1261" spans="1:17" x14ac:dyDescent="0.3">
      <c r="A1261">
        <v>32</v>
      </c>
      <c r="B1261" t="s">
        <v>406</v>
      </c>
      <c r="C1261" t="s">
        <v>1710</v>
      </c>
      <c r="E1261">
        <v>5110</v>
      </c>
      <c r="F1261" t="s">
        <v>659</v>
      </c>
      <c r="G1261" t="s">
        <v>2318</v>
      </c>
      <c r="H1261" t="s">
        <v>965</v>
      </c>
      <c r="I1261">
        <v>77304</v>
      </c>
      <c r="J1261" t="s">
        <v>2319</v>
      </c>
      <c r="K1261">
        <v>9363333523</v>
      </c>
      <c r="M1261">
        <v>2800</v>
      </c>
      <c r="N1261">
        <v>2800</v>
      </c>
      <c r="O1261">
        <v>24</v>
      </c>
      <c r="P1261">
        <v>63</v>
      </c>
      <c r="Q1261">
        <v>19</v>
      </c>
    </row>
    <row r="1262" spans="1:17" x14ac:dyDescent="0.3">
      <c r="A1262" t="s">
        <v>310</v>
      </c>
      <c r="B1262" t="s">
        <v>311</v>
      </c>
      <c r="C1262" t="s">
        <v>1710</v>
      </c>
      <c r="E1262">
        <v>5152</v>
      </c>
      <c r="F1262" t="s">
        <v>688</v>
      </c>
      <c r="G1262" t="s">
        <v>2884</v>
      </c>
      <c r="H1262" t="s">
        <v>965</v>
      </c>
      <c r="I1262">
        <v>77545</v>
      </c>
      <c r="J1262" t="s">
        <v>2885</v>
      </c>
      <c r="K1262">
        <v>3462198760</v>
      </c>
      <c r="M1262">
        <v>5750</v>
      </c>
      <c r="N1262">
        <v>5750</v>
      </c>
      <c r="O1262">
        <v>35</v>
      </c>
      <c r="P1262">
        <v>112</v>
      </c>
      <c r="Q1262">
        <v>27</v>
      </c>
    </row>
    <row r="1263" spans="1:17" x14ac:dyDescent="0.3">
      <c r="A1263">
        <v>33</v>
      </c>
      <c r="B1263" t="s">
        <v>575</v>
      </c>
      <c r="C1263" t="s">
        <v>1710</v>
      </c>
      <c r="E1263">
        <v>5176</v>
      </c>
      <c r="F1263" t="s">
        <v>689</v>
      </c>
      <c r="G1263" t="s">
        <v>1188</v>
      </c>
      <c r="H1263" t="s">
        <v>965</v>
      </c>
      <c r="I1263">
        <v>77469</v>
      </c>
      <c r="J1263" t="s">
        <v>1189</v>
      </c>
      <c r="K1263">
        <v>7133056434</v>
      </c>
      <c r="M1263">
        <v>2400</v>
      </c>
      <c r="N1263">
        <v>2600</v>
      </c>
      <c r="O1263">
        <v>16</v>
      </c>
      <c r="P1263">
        <v>31</v>
      </c>
      <c r="Q1263">
        <v>28</v>
      </c>
    </row>
    <row r="1264" spans="1:17" x14ac:dyDescent="0.3">
      <c r="A1264" t="s">
        <v>312</v>
      </c>
      <c r="B1264" t="s">
        <v>313</v>
      </c>
      <c r="C1264" t="s">
        <v>1710</v>
      </c>
      <c r="E1264">
        <v>5193</v>
      </c>
      <c r="F1264" t="s">
        <v>690</v>
      </c>
      <c r="G1264" t="s">
        <v>2081</v>
      </c>
      <c r="H1264" t="s">
        <v>965</v>
      </c>
      <c r="I1264">
        <v>77026</v>
      </c>
      <c r="J1264" t="s">
        <v>2082</v>
      </c>
      <c r="K1264">
        <v>7135487587</v>
      </c>
      <c r="M1264">
        <v>5850</v>
      </c>
      <c r="N1264">
        <v>7000</v>
      </c>
      <c r="O1264">
        <v>8</v>
      </c>
      <c r="P1264">
        <v>84</v>
      </c>
      <c r="Q1264">
        <v>19</v>
      </c>
    </row>
    <row r="1265" spans="1:17" x14ac:dyDescent="0.3">
      <c r="A1265">
        <v>34</v>
      </c>
      <c r="B1265" t="s">
        <v>2886</v>
      </c>
      <c r="C1265" t="s">
        <v>1710</v>
      </c>
      <c r="E1265">
        <v>5159</v>
      </c>
      <c r="F1265" t="s">
        <v>658</v>
      </c>
      <c r="G1265" t="s">
        <v>964</v>
      </c>
      <c r="H1265" t="s">
        <v>965</v>
      </c>
      <c r="I1265">
        <v>77705</v>
      </c>
      <c r="J1265" t="s">
        <v>966</v>
      </c>
      <c r="K1265">
        <v>8322973609</v>
      </c>
      <c r="M1265">
        <v>750</v>
      </c>
      <c r="N1265">
        <v>750</v>
      </c>
      <c r="O1265">
        <v>7</v>
      </c>
      <c r="P1265">
        <v>30</v>
      </c>
      <c r="Q1265">
        <v>12</v>
      </c>
    </row>
    <row r="1266" spans="1:17" x14ac:dyDescent="0.3">
      <c r="A1266" t="s">
        <v>372</v>
      </c>
      <c r="B1266" t="s">
        <v>373</v>
      </c>
      <c r="C1266" t="s">
        <v>1710</v>
      </c>
      <c r="E1266">
        <v>5139</v>
      </c>
      <c r="F1266" t="s">
        <v>691</v>
      </c>
      <c r="G1266" t="s">
        <v>2887</v>
      </c>
      <c r="H1266" t="s">
        <v>965</v>
      </c>
      <c r="I1266">
        <v>77705</v>
      </c>
      <c r="J1266" t="s">
        <v>2888</v>
      </c>
      <c r="K1266">
        <v>2812994635</v>
      </c>
      <c r="M1266">
        <v>40500</v>
      </c>
      <c r="N1266">
        <v>40500</v>
      </c>
      <c r="O1266">
        <v>38</v>
      </c>
      <c r="P1266">
        <v>77</v>
      </c>
      <c r="Q1266">
        <v>35</v>
      </c>
    </row>
    <row r="1267" spans="1:17" x14ac:dyDescent="0.3">
      <c r="A1267">
        <v>35</v>
      </c>
      <c r="B1267" t="s">
        <v>2889</v>
      </c>
      <c r="C1267" t="s">
        <v>1710</v>
      </c>
      <c r="E1267">
        <v>5134</v>
      </c>
      <c r="F1267" t="s">
        <v>692</v>
      </c>
      <c r="G1267" t="s">
        <v>2890</v>
      </c>
      <c r="H1267" t="s">
        <v>965</v>
      </c>
      <c r="I1267">
        <v>77469</v>
      </c>
      <c r="J1267" t="s">
        <v>2891</v>
      </c>
      <c r="K1267">
        <v>7035778819</v>
      </c>
      <c r="M1267">
        <v>1350</v>
      </c>
      <c r="N1267">
        <v>1400</v>
      </c>
      <c r="O1267">
        <v>16</v>
      </c>
      <c r="P1267">
        <v>62</v>
      </c>
      <c r="Q1267">
        <v>34</v>
      </c>
    </row>
    <row r="1268" spans="1:17" x14ac:dyDescent="0.3">
      <c r="A1268" t="s">
        <v>375</v>
      </c>
      <c r="B1268" t="s">
        <v>376</v>
      </c>
      <c r="C1268" t="s">
        <v>1710</v>
      </c>
      <c r="E1268">
        <v>5015</v>
      </c>
      <c r="F1268" t="s">
        <v>666</v>
      </c>
      <c r="G1268" t="s">
        <v>2642</v>
      </c>
      <c r="H1268" t="s">
        <v>965</v>
      </c>
      <c r="I1268">
        <v>77536</v>
      </c>
      <c r="J1268" t="s">
        <v>2643</v>
      </c>
      <c r="K1268">
        <v>8329442772</v>
      </c>
      <c r="M1268">
        <v>30500</v>
      </c>
      <c r="N1268">
        <v>30500</v>
      </c>
      <c r="O1268">
        <v>33</v>
      </c>
      <c r="P1268">
        <v>65</v>
      </c>
      <c r="Q1268">
        <v>17</v>
      </c>
    </row>
    <row r="1269" spans="1:17" x14ac:dyDescent="0.3">
      <c r="A1269">
        <v>36</v>
      </c>
      <c r="B1269" t="s">
        <v>2892</v>
      </c>
      <c r="C1269" t="s">
        <v>1710</v>
      </c>
      <c r="E1269">
        <v>5190</v>
      </c>
      <c r="F1269" t="s">
        <v>693</v>
      </c>
      <c r="G1269" t="s">
        <v>2172</v>
      </c>
      <c r="H1269" t="s">
        <v>965</v>
      </c>
      <c r="I1269">
        <v>77479</v>
      </c>
      <c r="J1269" t="s">
        <v>2173</v>
      </c>
      <c r="K1269">
        <v>7132407121</v>
      </c>
      <c r="M1269">
        <v>1050</v>
      </c>
      <c r="N1269">
        <v>1050</v>
      </c>
      <c r="O1269">
        <v>15</v>
      </c>
      <c r="P1269">
        <v>34</v>
      </c>
      <c r="Q1269">
        <v>30</v>
      </c>
    </row>
    <row r="1270" spans="1:17" x14ac:dyDescent="0.3">
      <c r="A1270" t="s">
        <v>469</v>
      </c>
      <c r="B1270" t="s">
        <v>470</v>
      </c>
      <c r="C1270" t="s">
        <v>1710</v>
      </c>
      <c r="E1270">
        <v>5002</v>
      </c>
      <c r="F1270" t="s">
        <v>660</v>
      </c>
      <c r="G1270" t="s">
        <v>2326</v>
      </c>
      <c r="H1270" t="s">
        <v>965</v>
      </c>
      <c r="I1270">
        <v>77511</v>
      </c>
      <c r="J1270" t="s">
        <v>2327</v>
      </c>
      <c r="K1270" t="s">
        <v>2328</v>
      </c>
      <c r="M1270">
        <v>3025</v>
      </c>
      <c r="N1270">
        <v>3025</v>
      </c>
      <c r="O1270">
        <v>14</v>
      </c>
      <c r="P1270">
        <v>38</v>
      </c>
      <c r="Q1270">
        <v>16</v>
      </c>
    </row>
    <row r="1271" spans="1:17" x14ac:dyDescent="0.3">
      <c r="A1271">
        <v>37</v>
      </c>
      <c r="B1271" t="s">
        <v>2893</v>
      </c>
      <c r="C1271" t="s">
        <v>1710</v>
      </c>
      <c r="E1271">
        <v>5205</v>
      </c>
      <c r="F1271" t="s">
        <v>675</v>
      </c>
      <c r="G1271" t="s">
        <v>2856</v>
      </c>
      <c r="H1271" t="s">
        <v>965</v>
      </c>
      <c r="I1271">
        <v>77407</v>
      </c>
      <c r="J1271" t="s">
        <v>2857</v>
      </c>
      <c r="K1271">
        <v>7138828150</v>
      </c>
      <c r="M1271">
        <v>1000</v>
      </c>
      <c r="N1271">
        <v>1000</v>
      </c>
      <c r="O1271">
        <v>12</v>
      </c>
      <c r="P1271">
        <v>56</v>
      </c>
      <c r="Q1271">
        <v>30</v>
      </c>
    </row>
    <row r="1272" spans="1:17" x14ac:dyDescent="0.3">
      <c r="A1272" t="s">
        <v>402</v>
      </c>
      <c r="B1272" t="s">
        <v>403</v>
      </c>
      <c r="C1272" t="s">
        <v>1710</v>
      </c>
      <c r="E1272">
        <v>5044</v>
      </c>
      <c r="F1272" t="s">
        <v>676</v>
      </c>
      <c r="G1272" t="s">
        <v>2860</v>
      </c>
      <c r="H1272" t="s">
        <v>965</v>
      </c>
      <c r="I1272">
        <v>77477</v>
      </c>
      <c r="J1272" t="s">
        <v>2861</v>
      </c>
      <c r="K1272">
        <v>7138945717</v>
      </c>
      <c r="M1272">
        <v>2300</v>
      </c>
      <c r="N1272">
        <v>2400</v>
      </c>
      <c r="O1272">
        <v>34</v>
      </c>
      <c r="P1272">
        <v>60</v>
      </c>
      <c r="Q1272">
        <v>30</v>
      </c>
    </row>
    <row r="1273" spans="1:17" x14ac:dyDescent="0.3">
      <c r="A1273">
        <v>38</v>
      </c>
      <c r="B1273" t="s">
        <v>579</v>
      </c>
      <c r="C1273" t="s">
        <v>1710</v>
      </c>
      <c r="E1273">
        <v>5190</v>
      </c>
      <c r="F1273" t="s">
        <v>693</v>
      </c>
      <c r="G1273" t="s">
        <v>2172</v>
      </c>
      <c r="H1273" t="s">
        <v>965</v>
      </c>
      <c r="I1273">
        <v>77479</v>
      </c>
      <c r="J1273" t="s">
        <v>2173</v>
      </c>
      <c r="K1273">
        <v>7132407121</v>
      </c>
      <c r="M1273">
        <v>950</v>
      </c>
      <c r="N1273">
        <v>950</v>
      </c>
      <c r="O1273">
        <v>14</v>
      </c>
      <c r="P1273">
        <v>67</v>
      </c>
      <c r="Q1273">
        <v>17</v>
      </c>
    </row>
    <row r="1274" spans="1:17" x14ac:dyDescent="0.3">
      <c r="A1274" t="s">
        <v>422</v>
      </c>
      <c r="B1274" t="s">
        <v>423</v>
      </c>
      <c r="C1274" t="s">
        <v>1710</v>
      </c>
      <c r="E1274">
        <v>5163</v>
      </c>
      <c r="F1274" t="s">
        <v>694</v>
      </c>
      <c r="G1274" t="s">
        <v>2697</v>
      </c>
      <c r="H1274" t="s">
        <v>965</v>
      </c>
      <c r="I1274">
        <v>77477</v>
      </c>
      <c r="J1274" t="s">
        <v>2698</v>
      </c>
      <c r="K1274">
        <v>7759994244</v>
      </c>
      <c r="M1274">
        <v>4100</v>
      </c>
      <c r="N1274">
        <v>4100</v>
      </c>
      <c r="O1274">
        <v>27</v>
      </c>
      <c r="P1274">
        <v>44</v>
      </c>
      <c r="Q1274">
        <v>18</v>
      </c>
    </row>
    <row r="1275" spans="1:17" x14ac:dyDescent="0.3">
      <c r="A1275">
        <v>39</v>
      </c>
      <c r="B1275" t="s">
        <v>2894</v>
      </c>
      <c r="C1275" t="s">
        <v>1710</v>
      </c>
      <c r="E1275">
        <v>5183</v>
      </c>
      <c r="F1275" t="s">
        <v>695</v>
      </c>
      <c r="G1275" t="s">
        <v>1829</v>
      </c>
      <c r="H1275" t="s">
        <v>965</v>
      </c>
      <c r="I1275">
        <v>77459</v>
      </c>
      <c r="J1275" t="s">
        <v>1830</v>
      </c>
      <c r="K1275">
        <v>2817708008</v>
      </c>
      <c r="M1275">
        <v>1200</v>
      </c>
      <c r="N1275">
        <v>1200</v>
      </c>
      <c r="O1275">
        <v>8</v>
      </c>
      <c r="P1275">
        <v>34</v>
      </c>
      <c r="Q1275">
        <v>15</v>
      </c>
    </row>
    <row r="1276" spans="1:17" x14ac:dyDescent="0.3">
      <c r="A1276">
        <v>40</v>
      </c>
      <c r="B1276" t="s">
        <v>581</v>
      </c>
      <c r="C1276" t="s">
        <v>1710</v>
      </c>
      <c r="E1276">
        <v>5149</v>
      </c>
      <c r="F1276" t="s">
        <v>661</v>
      </c>
      <c r="G1276" t="s">
        <v>2206</v>
      </c>
      <c r="H1276" t="s">
        <v>965</v>
      </c>
      <c r="I1276">
        <v>78626</v>
      </c>
      <c r="J1276" t="s">
        <v>2207</v>
      </c>
      <c r="K1276">
        <v>2817748923</v>
      </c>
      <c r="M1276">
        <v>625</v>
      </c>
      <c r="N1276">
        <v>625</v>
      </c>
      <c r="O1276">
        <v>4</v>
      </c>
      <c r="P1276">
        <v>34</v>
      </c>
      <c r="Q1276">
        <v>7</v>
      </c>
    </row>
    <row r="1277" spans="1:17" x14ac:dyDescent="0.3">
      <c r="A1277">
        <v>41</v>
      </c>
      <c r="B1277" t="s">
        <v>2895</v>
      </c>
      <c r="C1277" t="s">
        <v>1710</v>
      </c>
      <c r="E1277">
        <v>5117</v>
      </c>
      <c r="F1277" t="s">
        <v>663</v>
      </c>
      <c r="G1277" t="s">
        <v>2309</v>
      </c>
      <c r="H1277" t="s">
        <v>965</v>
      </c>
      <c r="I1277">
        <v>77081</v>
      </c>
      <c r="J1277" t="s">
        <v>2310</v>
      </c>
      <c r="K1277" t="s">
        <v>2311</v>
      </c>
      <c r="M1277">
        <v>600</v>
      </c>
      <c r="N1277">
        <v>800</v>
      </c>
      <c r="O1277">
        <v>5</v>
      </c>
      <c r="P1277">
        <v>25</v>
      </c>
      <c r="Q1277">
        <v>11</v>
      </c>
    </row>
    <row r="1278" spans="1:17" x14ac:dyDescent="0.3">
      <c r="A1278" t="s">
        <v>471</v>
      </c>
      <c r="B1278" t="s">
        <v>472</v>
      </c>
      <c r="C1278" t="s">
        <v>1710</v>
      </c>
      <c r="E1278">
        <v>5207</v>
      </c>
      <c r="F1278" t="s">
        <v>680</v>
      </c>
      <c r="G1278" t="s">
        <v>2869</v>
      </c>
      <c r="H1278" t="s">
        <v>965</v>
      </c>
      <c r="I1278">
        <v>77062</v>
      </c>
      <c r="J1278" t="s">
        <v>2870</v>
      </c>
      <c r="K1278">
        <v>2819482921</v>
      </c>
      <c r="M1278">
        <v>11000</v>
      </c>
      <c r="N1278">
        <v>11000</v>
      </c>
      <c r="O1278">
        <v>18</v>
      </c>
      <c r="P1278">
        <v>103</v>
      </c>
      <c r="Q1278">
        <v>14</v>
      </c>
    </row>
    <row r="1279" spans="1:17" x14ac:dyDescent="0.3">
      <c r="A1279">
        <v>42</v>
      </c>
      <c r="B1279" t="s">
        <v>971</v>
      </c>
      <c r="C1279" t="s">
        <v>1710</v>
      </c>
      <c r="E1279">
        <v>5044</v>
      </c>
      <c r="F1279" t="s">
        <v>676</v>
      </c>
      <c r="G1279" t="s">
        <v>2860</v>
      </c>
      <c r="H1279" t="s">
        <v>965</v>
      </c>
      <c r="I1279">
        <v>77477</v>
      </c>
      <c r="J1279" t="s">
        <v>2861</v>
      </c>
      <c r="K1279">
        <v>7138945717</v>
      </c>
      <c r="M1279">
        <v>1050</v>
      </c>
      <c r="N1279">
        <v>1050</v>
      </c>
      <c r="O1279">
        <v>15</v>
      </c>
      <c r="P1279">
        <v>18</v>
      </c>
      <c r="Q1279">
        <v>17</v>
      </c>
    </row>
    <row r="1280" spans="1:17" x14ac:dyDescent="0.3">
      <c r="A1280" t="s">
        <v>583</v>
      </c>
      <c r="B1280" t="s">
        <v>584</v>
      </c>
      <c r="C1280" t="s">
        <v>1710</v>
      </c>
      <c r="E1280">
        <v>5131</v>
      </c>
      <c r="F1280" t="s">
        <v>668</v>
      </c>
      <c r="G1280" t="s">
        <v>2610</v>
      </c>
      <c r="H1280" t="s">
        <v>965</v>
      </c>
      <c r="I1280">
        <v>77377</v>
      </c>
      <c r="J1280" t="s">
        <v>2611</v>
      </c>
      <c r="K1280">
        <v>7029605668</v>
      </c>
      <c r="M1280">
        <v>2400</v>
      </c>
      <c r="N1280">
        <v>2400</v>
      </c>
      <c r="O1280">
        <v>14</v>
      </c>
      <c r="P1280">
        <v>41</v>
      </c>
      <c r="Q1280">
        <v>12</v>
      </c>
    </row>
    <row r="1281" spans="1:17" x14ac:dyDescent="0.3">
      <c r="A1281" t="s">
        <v>408</v>
      </c>
      <c r="B1281" t="s">
        <v>2896</v>
      </c>
      <c r="C1281" t="s">
        <v>1710</v>
      </c>
      <c r="E1281">
        <v>5131</v>
      </c>
      <c r="F1281" t="s">
        <v>668</v>
      </c>
      <c r="G1281" t="s">
        <v>2610</v>
      </c>
      <c r="H1281" t="s">
        <v>965</v>
      </c>
      <c r="I1281">
        <v>77377</v>
      </c>
      <c r="J1281" t="s">
        <v>2611</v>
      </c>
      <c r="K1281">
        <v>7029605668</v>
      </c>
      <c r="M1281">
        <v>2600</v>
      </c>
      <c r="N1281">
        <v>11300</v>
      </c>
      <c r="O1281">
        <v>18</v>
      </c>
      <c r="P1281">
        <v>76</v>
      </c>
      <c r="Q1281">
        <v>11</v>
      </c>
    </row>
    <row r="1282" spans="1:17" x14ac:dyDescent="0.3">
      <c r="A1282">
        <v>44</v>
      </c>
      <c r="B1282" t="s">
        <v>587</v>
      </c>
      <c r="C1282" t="s">
        <v>1710</v>
      </c>
      <c r="E1282">
        <v>5030</v>
      </c>
      <c r="F1282" t="s">
        <v>669</v>
      </c>
      <c r="G1282" t="s">
        <v>1841</v>
      </c>
      <c r="H1282" t="s">
        <v>965</v>
      </c>
      <c r="I1282">
        <v>77498</v>
      </c>
      <c r="J1282" t="s">
        <v>1842</v>
      </c>
      <c r="K1282">
        <v>8326606807</v>
      </c>
      <c r="M1282">
        <v>500</v>
      </c>
      <c r="N1282">
        <v>500</v>
      </c>
      <c r="O1282">
        <v>1</v>
      </c>
      <c r="P1282">
        <v>43</v>
      </c>
      <c r="Q1282">
        <v>1</v>
      </c>
    </row>
    <row r="1283" spans="1:17" x14ac:dyDescent="0.3">
      <c r="A1283" t="s">
        <v>319</v>
      </c>
      <c r="B1283" t="s">
        <v>320</v>
      </c>
      <c r="C1283" t="s">
        <v>1710</v>
      </c>
      <c r="E1283">
        <v>5076</v>
      </c>
      <c r="F1283" t="s">
        <v>646</v>
      </c>
      <c r="G1283" t="s">
        <v>2715</v>
      </c>
      <c r="H1283" t="s">
        <v>2716</v>
      </c>
      <c r="I1283">
        <v>84094</v>
      </c>
      <c r="J1283" t="s">
        <v>2717</v>
      </c>
      <c r="K1283">
        <v>8018360895</v>
      </c>
      <c r="M1283">
        <v>2100</v>
      </c>
      <c r="N1283">
        <v>2100</v>
      </c>
      <c r="O1283">
        <v>13</v>
      </c>
      <c r="P1283">
        <v>44</v>
      </c>
      <c r="Q1283">
        <v>13</v>
      </c>
    </row>
    <row r="1284" spans="1:17" x14ac:dyDescent="0.3">
      <c r="A1284" t="s">
        <v>410</v>
      </c>
      <c r="B1284" t="s">
        <v>411</v>
      </c>
      <c r="C1284" t="s">
        <v>1710</v>
      </c>
      <c r="E1284">
        <v>5163</v>
      </c>
      <c r="F1284" t="s">
        <v>694</v>
      </c>
      <c r="G1284" t="s">
        <v>2697</v>
      </c>
      <c r="H1284" t="s">
        <v>965</v>
      </c>
      <c r="I1284">
        <v>77477</v>
      </c>
      <c r="J1284" t="s">
        <v>2698</v>
      </c>
      <c r="K1284">
        <v>7759994244</v>
      </c>
      <c r="M1284">
        <v>33833</v>
      </c>
      <c r="N1284">
        <v>34833</v>
      </c>
      <c r="O1284">
        <v>29</v>
      </c>
      <c r="P1284">
        <v>72</v>
      </c>
      <c r="Q1284">
        <v>18</v>
      </c>
    </row>
    <row r="1285" spans="1:17" x14ac:dyDescent="0.3">
      <c r="A1285" t="s">
        <v>475</v>
      </c>
      <c r="B1285" t="s">
        <v>2473</v>
      </c>
      <c r="C1285" t="s">
        <v>1710</v>
      </c>
      <c r="E1285">
        <v>5076</v>
      </c>
      <c r="F1285" t="s">
        <v>646</v>
      </c>
      <c r="G1285" t="s">
        <v>2715</v>
      </c>
      <c r="H1285" t="s">
        <v>2716</v>
      </c>
      <c r="I1285">
        <v>84094</v>
      </c>
      <c r="J1285" t="s">
        <v>2717</v>
      </c>
      <c r="K1285">
        <v>8018360895</v>
      </c>
      <c r="M1285">
        <v>2875</v>
      </c>
      <c r="N1285">
        <v>4500</v>
      </c>
      <c r="O1285">
        <v>28</v>
      </c>
      <c r="P1285">
        <v>109</v>
      </c>
      <c r="Q1285">
        <v>23</v>
      </c>
    </row>
    <row r="1286" spans="1:17" x14ac:dyDescent="0.3">
      <c r="A1286" t="s">
        <v>412</v>
      </c>
      <c r="B1286" t="s">
        <v>2897</v>
      </c>
      <c r="C1286" t="s">
        <v>1710</v>
      </c>
      <c r="E1286">
        <v>5163</v>
      </c>
      <c r="F1286" t="s">
        <v>694</v>
      </c>
      <c r="G1286" t="s">
        <v>2697</v>
      </c>
      <c r="H1286" t="s">
        <v>965</v>
      </c>
      <c r="I1286">
        <v>77477</v>
      </c>
      <c r="J1286" t="s">
        <v>2698</v>
      </c>
      <c r="K1286">
        <v>7759994244</v>
      </c>
      <c r="M1286">
        <v>11000</v>
      </c>
      <c r="N1286">
        <v>12500</v>
      </c>
      <c r="O1286">
        <v>12</v>
      </c>
      <c r="P1286">
        <v>82</v>
      </c>
      <c r="Q1286">
        <v>8</v>
      </c>
    </row>
    <row r="1287" spans="1:17" x14ac:dyDescent="0.3">
      <c r="A1287" t="s">
        <v>414</v>
      </c>
      <c r="B1287" t="s">
        <v>2898</v>
      </c>
      <c r="C1287" t="s">
        <v>1710</v>
      </c>
      <c r="E1287">
        <v>5163</v>
      </c>
      <c r="F1287" t="s">
        <v>694</v>
      </c>
      <c r="G1287" t="s">
        <v>2697</v>
      </c>
      <c r="H1287" t="s">
        <v>965</v>
      </c>
      <c r="I1287">
        <v>77477</v>
      </c>
      <c r="J1287" t="s">
        <v>2698</v>
      </c>
      <c r="K1287">
        <v>7759994244</v>
      </c>
      <c r="M1287">
        <v>18000</v>
      </c>
      <c r="N1287">
        <v>18500</v>
      </c>
      <c r="O1287">
        <v>37</v>
      </c>
      <c r="P1287">
        <v>79</v>
      </c>
      <c r="Q1287">
        <v>19</v>
      </c>
    </row>
    <row r="1288" spans="1:17" x14ac:dyDescent="0.3">
      <c r="A1288">
        <v>49</v>
      </c>
      <c r="B1288" t="s">
        <v>2639</v>
      </c>
      <c r="C1288" t="s">
        <v>1710</v>
      </c>
      <c r="E1288">
        <v>5075</v>
      </c>
      <c r="F1288" t="s">
        <v>662</v>
      </c>
      <c r="G1288" t="s">
        <v>2168</v>
      </c>
      <c r="H1288" t="s">
        <v>965</v>
      </c>
      <c r="I1288">
        <v>77477</v>
      </c>
      <c r="J1288" t="s">
        <v>2169</v>
      </c>
      <c r="M1288">
        <v>550</v>
      </c>
      <c r="N1288">
        <v>550</v>
      </c>
      <c r="O1288">
        <v>3</v>
      </c>
      <c r="P1288">
        <v>18</v>
      </c>
      <c r="Q1288">
        <v>6</v>
      </c>
    </row>
    <row r="1289" spans="1:17" x14ac:dyDescent="0.3">
      <c r="A1289" t="s">
        <v>416</v>
      </c>
      <c r="B1289" t="s">
        <v>2899</v>
      </c>
      <c r="C1289" t="s">
        <v>1710</v>
      </c>
      <c r="E1289">
        <v>5163</v>
      </c>
      <c r="F1289" t="s">
        <v>694</v>
      </c>
      <c r="G1289" t="s">
        <v>2697</v>
      </c>
      <c r="H1289" t="s">
        <v>965</v>
      </c>
      <c r="I1289">
        <v>77477</v>
      </c>
      <c r="J1289" t="s">
        <v>2698</v>
      </c>
      <c r="K1289">
        <v>7759994244</v>
      </c>
      <c r="M1289">
        <v>23500</v>
      </c>
      <c r="N1289">
        <v>25000</v>
      </c>
      <c r="O1289">
        <v>16</v>
      </c>
      <c r="P1289">
        <v>36</v>
      </c>
      <c r="Q1289">
        <v>9</v>
      </c>
    </row>
    <row r="1290" spans="1:17" x14ac:dyDescent="0.3">
      <c r="A1290">
        <v>50</v>
      </c>
      <c r="B1290" t="s">
        <v>597</v>
      </c>
      <c r="C1290" t="s">
        <v>1710</v>
      </c>
      <c r="E1290">
        <v>5140</v>
      </c>
      <c r="F1290" t="s">
        <v>667</v>
      </c>
      <c r="G1290" t="s">
        <v>2858</v>
      </c>
      <c r="H1290" t="s">
        <v>965</v>
      </c>
      <c r="I1290">
        <v>77578</v>
      </c>
      <c r="J1290" t="s">
        <v>2859</v>
      </c>
      <c r="K1290">
        <v>9032167335</v>
      </c>
      <c r="L1290">
        <v>9032167335</v>
      </c>
      <c r="M1290">
        <v>900</v>
      </c>
      <c r="N1290">
        <v>900</v>
      </c>
      <c r="O1290">
        <v>5</v>
      </c>
      <c r="P1290">
        <v>32</v>
      </c>
      <c r="Q1290">
        <v>16</v>
      </c>
    </row>
    <row r="1291" spans="1:17" x14ac:dyDescent="0.3">
      <c r="A1291" t="s">
        <v>418</v>
      </c>
      <c r="B1291" t="s">
        <v>1638</v>
      </c>
      <c r="C1291" t="s">
        <v>1710</v>
      </c>
      <c r="E1291">
        <v>5163</v>
      </c>
      <c r="F1291" t="s">
        <v>694</v>
      </c>
      <c r="G1291" t="s">
        <v>2697</v>
      </c>
      <c r="H1291" t="s">
        <v>965</v>
      </c>
      <c r="I1291">
        <v>77477</v>
      </c>
      <c r="J1291" t="s">
        <v>2698</v>
      </c>
      <c r="K1291">
        <v>7759994244</v>
      </c>
      <c r="M1291">
        <v>4650</v>
      </c>
      <c r="N1291">
        <v>5200</v>
      </c>
      <c r="O1291">
        <v>16</v>
      </c>
      <c r="P1291">
        <v>58</v>
      </c>
      <c r="Q1291">
        <v>26</v>
      </c>
    </row>
    <row r="1292" spans="1:17" x14ac:dyDescent="0.3">
      <c r="A1292" t="s">
        <v>477</v>
      </c>
      <c r="B1292" t="s">
        <v>478</v>
      </c>
      <c r="C1292" t="s">
        <v>1710</v>
      </c>
      <c r="E1292">
        <v>5163</v>
      </c>
      <c r="F1292" t="s">
        <v>694</v>
      </c>
      <c r="G1292" t="s">
        <v>2697</v>
      </c>
      <c r="H1292" t="s">
        <v>965</v>
      </c>
      <c r="I1292">
        <v>77477</v>
      </c>
      <c r="J1292" t="s">
        <v>2698</v>
      </c>
      <c r="K1292">
        <v>7759994244</v>
      </c>
      <c r="M1292">
        <v>6750</v>
      </c>
      <c r="N1292">
        <v>7000</v>
      </c>
      <c r="O1292">
        <v>28</v>
      </c>
      <c r="P1292">
        <v>78</v>
      </c>
      <c r="Q1292">
        <v>24</v>
      </c>
    </row>
    <row r="1293" spans="1:17" x14ac:dyDescent="0.3">
      <c r="A1293" t="s">
        <v>321</v>
      </c>
      <c r="B1293" t="s">
        <v>322</v>
      </c>
      <c r="C1293" t="s">
        <v>1710</v>
      </c>
      <c r="E1293">
        <v>5076</v>
      </c>
      <c r="F1293" t="s">
        <v>646</v>
      </c>
      <c r="G1293" t="s">
        <v>2715</v>
      </c>
      <c r="H1293" t="s">
        <v>2716</v>
      </c>
      <c r="I1293">
        <v>84094</v>
      </c>
      <c r="J1293" t="s">
        <v>2717</v>
      </c>
      <c r="K1293">
        <v>8018360895</v>
      </c>
      <c r="M1293">
        <v>1650</v>
      </c>
      <c r="N1293">
        <v>2200</v>
      </c>
      <c r="O1293">
        <v>7</v>
      </c>
      <c r="P1293">
        <v>51</v>
      </c>
      <c r="Q1293">
        <v>18</v>
      </c>
    </row>
    <row r="1294" spans="1:17" x14ac:dyDescent="0.3">
      <c r="A1294" t="s">
        <v>424</v>
      </c>
      <c r="B1294" t="s">
        <v>425</v>
      </c>
      <c r="C1294" t="s">
        <v>1710</v>
      </c>
      <c r="E1294">
        <v>5163</v>
      </c>
      <c r="F1294" t="s">
        <v>694</v>
      </c>
      <c r="G1294" t="s">
        <v>2697</v>
      </c>
      <c r="H1294" t="s">
        <v>965</v>
      </c>
      <c r="I1294">
        <v>77477</v>
      </c>
      <c r="J1294" t="s">
        <v>2698</v>
      </c>
      <c r="K1294">
        <v>7759994244</v>
      </c>
      <c r="M1294">
        <v>9250</v>
      </c>
      <c r="N1294">
        <v>9500</v>
      </c>
      <c r="O1294">
        <v>43</v>
      </c>
      <c r="P1294">
        <v>108</v>
      </c>
      <c r="Q1294">
        <v>58</v>
      </c>
    </row>
    <row r="1295" spans="1:17" x14ac:dyDescent="0.3">
      <c r="A1295">
        <v>54</v>
      </c>
      <c r="B1295" t="s">
        <v>604</v>
      </c>
      <c r="C1295" t="s">
        <v>1710</v>
      </c>
      <c r="E1295">
        <v>5190</v>
      </c>
      <c r="F1295" t="s">
        <v>693</v>
      </c>
      <c r="G1295" t="s">
        <v>2172</v>
      </c>
      <c r="H1295" t="s">
        <v>965</v>
      </c>
      <c r="I1295">
        <v>77479</v>
      </c>
      <c r="J1295" t="s">
        <v>2173</v>
      </c>
      <c r="K1295">
        <v>7132407121</v>
      </c>
      <c r="M1295">
        <v>500</v>
      </c>
      <c r="N1295">
        <v>500</v>
      </c>
      <c r="O1295">
        <v>1</v>
      </c>
      <c r="P1295">
        <v>16</v>
      </c>
      <c r="Q1295">
        <v>6</v>
      </c>
    </row>
    <row r="1296" spans="1:17" x14ac:dyDescent="0.3">
      <c r="A1296">
        <v>55</v>
      </c>
      <c r="B1296" t="s">
        <v>605</v>
      </c>
      <c r="C1296" t="s">
        <v>1710</v>
      </c>
      <c r="E1296">
        <v>5190</v>
      </c>
      <c r="F1296" t="s">
        <v>693</v>
      </c>
      <c r="G1296" t="s">
        <v>2172</v>
      </c>
      <c r="H1296" t="s">
        <v>965</v>
      </c>
      <c r="I1296">
        <v>77479</v>
      </c>
      <c r="J1296" t="s">
        <v>2173</v>
      </c>
      <c r="K1296">
        <v>7132407121</v>
      </c>
      <c r="M1296">
        <v>500</v>
      </c>
      <c r="N1296">
        <v>500</v>
      </c>
      <c r="O1296">
        <v>1</v>
      </c>
      <c r="P1296">
        <v>33</v>
      </c>
      <c r="Q1296">
        <v>1</v>
      </c>
    </row>
    <row r="1297" spans="1:17" x14ac:dyDescent="0.3">
      <c r="A1297">
        <v>56</v>
      </c>
      <c r="B1297" t="s">
        <v>614</v>
      </c>
      <c r="C1297" t="s">
        <v>1710</v>
      </c>
      <c r="E1297">
        <v>5133</v>
      </c>
      <c r="F1297" t="s">
        <v>696</v>
      </c>
      <c r="G1297" t="s">
        <v>2409</v>
      </c>
      <c r="H1297" t="s">
        <v>965</v>
      </c>
      <c r="I1297">
        <v>77459</v>
      </c>
      <c r="J1297" t="s">
        <v>2410</v>
      </c>
      <c r="K1297">
        <v>9792035411</v>
      </c>
      <c r="M1297">
        <v>525</v>
      </c>
      <c r="N1297">
        <v>525</v>
      </c>
      <c r="O1297">
        <v>2</v>
      </c>
      <c r="P1297">
        <v>28</v>
      </c>
      <c r="Q1297">
        <v>4</v>
      </c>
    </row>
    <row r="1298" spans="1:17" x14ac:dyDescent="0.3">
      <c r="A1298" t="s">
        <v>479</v>
      </c>
      <c r="B1298" t="s">
        <v>480</v>
      </c>
      <c r="C1298" t="s">
        <v>1710</v>
      </c>
      <c r="E1298">
        <v>5108</v>
      </c>
      <c r="F1298" t="s">
        <v>697</v>
      </c>
      <c r="G1298" t="s">
        <v>1090</v>
      </c>
      <c r="H1298" t="s">
        <v>965</v>
      </c>
      <c r="I1298">
        <v>77449</v>
      </c>
      <c r="J1298" t="s">
        <v>1091</v>
      </c>
      <c r="K1298" t="s">
        <v>1092</v>
      </c>
      <c r="M1298">
        <v>925</v>
      </c>
      <c r="N1298">
        <v>925</v>
      </c>
      <c r="O1298">
        <v>15</v>
      </c>
      <c r="P1298">
        <v>44</v>
      </c>
      <c r="Q1298">
        <v>5</v>
      </c>
    </row>
    <row r="1299" spans="1:17" x14ac:dyDescent="0.3">
      <c r="A1299">
        <v>57</v>
      </c>
      <c r="B1299" t="s">
        <v>615</v>
      </c>
      <c r="C1299" t="s">
        <v>1710</v>
      </c>
      <c r="E1299">
        <v>5219</v>
      </c>
      <c r="F1299" t="s">
        <v>698</v>
      </c>
      <c r="G1299" t="s">
        <v>2900</v>
      </c>
      <c r="H1299" t="s">
        <v>965</v>
      </c>
      <c r="I1299">
        <v>77042</v>
      </c>
      <c r="J1299" t="s">
        <v>2901</v>
      </c>
      <c r="K1299">
        <v>7134471061</v>
      </c>
      <c r="M1299">
        <v>2000</v>
      </c>
      <c r="N1299">
        <v>2000</v>
      </c>
      <c r="O1299">
        <v>26</v>
      </c>
      <c r="P1299">
        <v>76</v>
      </c>
      <c r="Q1299">
        <v>15</v>
      </c>
    </row>
    <row r="1300" spans="1:17" x14ac:dyDescent="0.3">
      <c r="A1300" t="s">
        <v>323</v>
      </c>
      <c r="B1300" t="s">
        <v>322</v>
      </c>
      <c r="C1300" t="s">
        <v>1710</v>
      </c>
      <c r="E1300">
        <v>5076</v>
      </c>
      <c r="F1300" t="s">
        <v>646</v>
      </c>
      <c r="G1300" t="s">
        <v>2715</v>
      </c>
      <c r="H1300" t="s">
        <v>2716</v>
      </c>
      <c r="I1300">
        <v>84094</v>
      </c>
      <c r="J1300" t="s">
        <v>2717</v>
      </c>
      <c r="K1300">
        <v>8018360895</v>
      </c>
      <c r="M1300">
        <v>2100</v>
      </c>
      <c r="N1300">
        <v>2100</v>
      </c>
      <c r="O1300">
        <v>12</v>
      </c>
      <c r="P1300">
        <v>37</v>
      </c>
      <c r="Q1300">
        <v>18</v>
      </c>
    </row>
    <row r="1301" spans="1:17" x14ac:dyDescent="0.3">
      <c r="A1301">
        <v>58</v>
      </c>
      <c r="B1301" t="s">
        <v>616</v>
      </c>
      <c r="C1301" t="s">
        <v>1710</v>
      </c>
      <c r="E1301">
        <v>5149</v>
      </c>
      <c r="F1301" t="s">
        <v>661</v>
      </c>
      <c r="G1301" t="s">
        <v>2206</v>
      </c>
      <c r="H1301" t="s">
        <v>965</v>
      </c>
      <c r="I1301">
        <v>78626</v>
      </c>
      <c r="J1301" t="s">
        <v>2207</v>
      </c>
      <c r="K1301">
        <v>2817748923</v>
      </c>
      <c r="M1301">
        <v>1200</v>
      </c>
      <c r="N1301">
        <v>1200</v>
      </c>
      <c r="O1301">
        <v>4</v>
      </c>
      <c r="P1301">
        <v>26</v>
      </c>
      <c r="Q1301">
        <v>4</v>
      </c>
    </row>
    <row r="1302" spans="1:17" x14ac:dyDescent="0.3">
      <c r="A1302" t="s">
        <v>420</v>
      </c>
      <c r="B1302" t="s">
        <v>421</v>
      </c>
      <c r="C1302" t="s">
        <v>1710</v>
      </c>
      <c r="E1302">
        <v>5075</v>
      </c>
      <c r="F1302" t="s">
        <v>662</v>
      </c>
      <c r="G1302" t="s">
        <v>2168</v>
      </c>
      <c r="H1302" t="s">
        <v>965</v>
      </c>
      <c r="I1302">
        <v>77477</v>
      </c>
      <c r="J1302" t="s">
        <v>2169</v>
      </c>
      <c r="M1302">
        <v>6500</v>
      </c>
      <c r="N1302">
        <v>8000</v>
      </c>
      <c r="O1302">
        <v>10</v>
      </c>
      <c r="P1302">
        <v>99</v>
      </c>
      <c r="Q1302">
        <v>32</v>
      </c>
    </row>
    <row r="1303" spans="1:17" x14ac:dyDescent="0.3">
      <c r="A1303">
        <v>59</v>
      </c>
      <c r="B1303" t="s">
        <v>455</v>
      </c>
      <c r="C1303" t="s">
        <v>1710</v>
      </c>
      <c r="E1303">
        <v>5159</v>
      </c>
      <c r="F1303" t="s">
        <v>658</v>
      </c>
      <c r="G1303" t="s">
        <v>964</v>
      </c>
      <c r="H1303" t="s">
        <v>965</v>
      </c>
      <c r="I1303">
        <v>77705</v>
      </c>
      <c r="J1303" t="s">
        <v>966</v>
      </c>
      <c r="K1303">
        <v>8322973609</v>
      </c>
      <c r="M1303">
        <v>1050</v>
      </c>
      <c r="N1303">
        <v>1050</v>
      </c>
      <c r="O1303">
        <v>13</v>
      </c>
      <c r="P1303">
        <v>20</v>
      </c>
      <c r="Q1303">
        <v>9</v>
      </c>
    </row>
    <row r="1304" spans="1:17" x14ac:dyDescent="0.3">
      <c r="A1304" t="s">
        <v>426</v>
      </c>
      <c r="B1304" t="s">
        <v>427</v>
      </c>
      <c r="C1304" t="s">
        <v>1710</v>
      </c>
      <c r="E1304">
        <v>5076</v>
      </c>
      <c r="F1304" t="s">
        <v>646</v>
      </c>
      <c r="G1304" t="s">
        <v>2715</v>
      </c>
      <c r="H1304" t="s">
        <v>2716</v>
      </c>
      <c r="I1304">
        <v>84094</v>
      </c>
      <c r="J1304" t="s">
        <v>2717</v>
      </c>
      <c r="K1304">
        <v>8018360895</v>
      </c>
      <c r="M1304">
        <v>1650</v>
      </c>
      <c r="N1304">
        <v>2500</v>
      </c>
      <c r="O1304">
        <v>16</v>
      </c>
      <c r="P1304">
        <v>85</v>
      </c>
      <c r="Q1304">
        <v>19</v>
      </c>
    </row>
    <row r="1305" spans="1:17" x14ac:dyDescent="0.3">
      <c r="A1305" t="s">
        <v>481</v>
      </c>
      <c r="B1305" t="s">
        <v>482</v>
      </c>
      <c r="C1305" t="s">
        <v>1710</v>
      </c>
      <c r="E1305">
        <v>5197</v>
      </c>
      <c r="F1305" t="s">
        <v>699</v>
      </c>
      <c r="G1305" t="s">
        <v>2902</v>
      </c>
      <c r="H1305" t="s">
        <v>965</v>
      </c>
      <c r="I1305">
        <v>77377</v>
      </c>
      <c r="J1305" t="s">
        <v>2903</v>
      </c>
      <c r="K1305">
        <v>8328149886</v>
      </c>
      <c r="M1305">
        <v>10500</v>
      </c>
      <c r="N1305">
        <v>10500</v>
      </c>
      <c r="O1305">
        <v>27</v>
      </c>
      <c r="P1305">
        <v>34</v>
      </c>
      <c r="Q1305">
        <v>14</v>
      </c>
    </row>
    <row r="1306" spans="1:17" x14ac:dyDescent="0.3">
      <c r="A1306" t="s">
        <v>324</v>
      </c>
      <c r="B1306" t="s">
        <v>325</v>
      </c>
      <c r="C1306" t="s">
        <v>1710</v>
      </c>
      <c r="E1306">
        <v>5197</v>
      </c>
      <c r="F1306" t="s">
        <v>699</v>
      </c>
      <c r="G1306" t="s">
        <v>2902</v>
      </c>
      <c r="H1306" t="s">
        <v>965</v>
      </c>
      <c r="I1306">
        <v>77377</v>
      </c>
      <c r="J1306" t="s">
        <v>2903</v>
      </c>
      <c r="K1306">
        <v>8328149886</v>
      </c>
      <c r="M1306">
        <v>3300</v>
      </c>
      <c r="N1306">
        <v>3300</v>
      </c>
      <c r="O1306">
        <v>14</v>
      </c>
      <c r="P1306">
        <v>17</v>
      </c>
      <c r="Q1306">
        <v>13</v>
      </c>
    </row>
    <row r="1307" spans="1:17" x14ac:dyDescent="0.3">
      <c r="A1307" t="s">
        <v>483</v>
      </c>
      <c r="B1307" t="s">
        <v>484</v>
      </c>
      <c r="C1307" t="s">
        <v>1710</v>
      </c>
      <c r="E1307">
        <v>5131</v>
      </c>
      <c r="F1307" t="s">
        <v>668</v>
      </c>
      <c r="G1307" t="s">
        <v>2610</v>
      </c>
      <c r="H1307" t="s">
        <v>965</v>
      </c>
      <c r="I1307">
        <v>77377</v>
      </c>
      <c r="J1307" t="s">
        <v>2611</v>
      </c>
      <c r="K1307">
        <v>7029605668</v>
      </c>
      <c r="M1307">
        <v>3300</v>
      </c>
      <c r="N1307">
        <v>4100</v>
      </c>
      <c r="O1307">
        <v>9</v>
      </c>
      <c r="P1307">
        <v>67</v>
      </c>
      <c r="Q1307">
        <v>11</v>
      </c>
    </row>
    <row r="1308" spans="1:17" x14ac:dyDescent="0.3">
      <c r="A1308" t="s">
        <v>326</v>
      </c>
      <c r="B1308" t="s">
        <v>327</v>
      </c>
      <c r="C1308" t="s">
        <v>1710</v>
      </c>
      <c r="E1308">
        <v>5049</v>
      </c>
      <c r="F1308" t="s">
        <v>700</v>
      </c>
      <c r="G1308" t="s">
        <v>2210</v>
      </c>
      <c r="H1308" t="s">
        <v>965</v>
      </c>
      <c r="I1308">
        <v>77584</v>
      </c>
      <c r="J1308" t="s">
        <v>2211</v>
      </c>
      <c r="K1308">
        <v>8326489134</v>
      </c>
      <c r="M1308">
        <v>30500</v>
      </c>
      <c r="N1308">
        <v>30500</v>
      </c>
      <c r="O1308">
        <v>13</v>
      </c>
      <c r="P1308">
        <v>100</v>
      </c>
      <c r="Q1308">
        <v>25</v>
      </c>
    </row>
    <row r="1309" spans="1:17" x14ac:dyDescent="0.3">
      <c r="A1309" t="s">
        <v>428</v>
      </c>
      <c r="B1309" t="s">
        <v>2733</v>
      </c>
      <c r="C1309" t="s">
        <v>1710</v>
      </c>
      <c r="E1309">
        <v>5075</v>
      </c>
      <c r="F1309" t="s">
        <v>662</v>
      </c>
      <c r="G1309" t="s">
        <v>2168</v>
      </c>
      <c r="H1309" t="s">
        <v>965</v>
      </c>
      <c r="I1309">
        <v>77477</v>
      </c>
      <c r="J1309" t="s">
        <v>2169</v>
      </c>
      <c r="M1309">
        <v>31000</v>
      </c>
      <c r="N1309">
        <v>33000</v>
      </c>
      <c r="O1309">
        <v>23</v>
      </c>
      <c r="P1309">
        <v>53</v>
      </c>
      <c r="Q1309">
        <v>31</v>
      </c>
    </row>
    <row r="1310" spans="1:17" x14ac:dyDescent="0.3">
      <c r="A1310" t="s">
        <v>487</v>
      </c>
      <c r="B1310" t="s">
        <v>488</v>
      </c>
      <c r="C1310" t="s">
        <v>1710</v>
      </c>
      <c r="E1310">
        <v>5190</v>
      </c>
      <c r="F1310" t="s">
        <v>693</v>
      </c>
      <c r="G1310" t="s">
        <v>2172</v>
      </c>
      <c r="H1310" t="s">
        <v>965</v>
      </c>
      <c r="I1310">
        <v>77479</v>
      </c>
      <c r="J1310" t="s">
        <v>2173</v>
      </c>
      <c r="K1310">
        <v>7132407121</v>
      </c>
      <c r="M1310">
        <v>6600</v>
      </c>
      <c r="N1310">
        <v>6600</v>
      </c>
      <c r="O1310">
        <v>26</v>
      </c>
      <c r="P1310">
        <v>39</v>
      </c>
      <c r="Q1310">
        <v>14</v>
      </c>
    </row>
    <row r="1311" spans="1:17" x14ac:dyDescent="0.3">
      <c r="A1311" t="s">
        <v>328</v>
      </c>
      <c r="B1311" t="s">
        <v>329</v>
      </c>
      <c r="C1311" t="s">
        <v>1710</v>
      </c>
      <c r="E1311">
        <v>5076</v>
      </c>
      <c r="F1311" t="s">
        <v>646</v>
      </c>
      <c r="G1311" t="s">
        <v>2715</v>
      </c>
      <c r="H1311" t="s">
        <v>2716</v>
      </c>
      <c r="I1311">
        <v>84094</v>
      </c>
      <c r="J1311" t="s">
        <v>2717</v>
      </c>
      <c r="K1311">
        <v>8018360895</v>
      </c>
      <c r="M1311">
        <v>8250</v>
      </c>
      <c r="N1311">
        <v>12400</v>
      </c>
      <c r="O1311">
        <v>6</v>
      </c>
      <c r="P1311">
        <v>71</v>
      </c>
      <c r="Q1311">
        <v>18</v>
      </c>
    </row>
    <row r="1312" spans="1:17" x14ac:dyDescent="0.3">
      <c r="A1312" t="s">
        <v>430</v>
      </c>
      <c r="B1312" t="s">
        <v>431</v>
      </c>
      <c r="C1312" t="s">
        <v>1710</v>
      </c>
      <c r="E1312">
        <v>5212</v>
      </c>
      <c r="F1312" t="s">
        <v>701</v>
      </c>
      <c r="G1312" t="s">
        <v>1581</v>
      </c>
      <c r="H1312" t="s">
        <v>965</v>
      </c>
      <c r="I1312">
        <v>77505</v>
      </c>
      <c r="J1312" t="s">
        <v>1582</v>
      </c>
      <c r="K1312">
        <v>2814875581</v>
      </c>
      <c r="L1312">
        <v>7132461027</v>
      </c>
      <c r="M1312">
        <v>7750</v>
      </c>
      <c r="N1312">
        <v>7750</v>
      </c>
      <c r="O1312">
        <v>5</v>
      </c>
      <c r="P1312">
        <v>38</v>
      </c>
      <c r="Q1312">
        <v>15</v>
      </c>
    </row>
    <row r="1313" spans="1:17" x14ac:dyDescent="0.3">
      <c r="A1313" t="s">
        <v>432</v>
      </c>
      <c r="B1313" t="s">
        <v>433</v>
      </c>
      <c r="C1313" t="s">
        <v>1710</v>
      </c>
      <c r="E1313">
        <v>5131</v>
      </c>
      <c r="F1313" t="s">
        <v>668</v>
      </c>
      <c r="G1313" t="s">
        <v>2610</v>
      </c>
      <c r="H1313" t="s">
        <v>965</v>
      </c>
      <c r="I1313">
        <v>77377</v>
      </c>
      <c r="J1313" t="s">
        <v>2611</v>
      </c>
      <c r="K1313">
        <v>7029605668</v>
      </c>
      <c r="M1313">
        <v>14700</v>
      </c>
      <c r="N1313">
        <v>20000</v>
      </c>
      <c r="O1313">
        <v>12</v>
      </c>
      <c r="P1313">
        <v>36</v>
      </c>
      <c r="Q1313">
        <v>14</v>
      </c>
    </row>
    <row r="1314" spans="1:17" x14ac:dyDescent="0.3">
      <c r="A1314" t="s">
        <v>473</v>
      </c>
      <c r="B1314" t="s">
        <v>474</v>
      </c>
      <c r="C1314" t="s">
        <v>1710</v>
      </c>
      <c r="E1314">
        <v>5163</v>
      </c>
      <c r="F1314" t="s">
        <v>694</v>
      </c>
      <c r="G1314" t="s">
        <v>2697</v>
      </c>
      <c r="H1314" t="s">
        <v>965</v>
      </c>
      <c r="I1314">
        <v>77477</v>
      </c>
      <c r="J1314" t="s">
        <v>2698</v>
      </c>
      <c r="K1314">
        <v>7759994244</v>
      </c>
      <c r="M1314">
        <v>20500</v>
      </c>
      <c r="N1314">
        <v>20500</v>
      </c>
      <c r="O1314">
        <v>16</v>
      </c>
      <c r="P1314">
        <v>66</v>
      </c>
      <c r="Q1314">
        <v>13</v>
      </c>
    </row>
    <row r="1315" spans="1:17" x14ac:dyDescent="0.3">
      <c r="A1315" t="s">
        <v>330</v>
      </c>
      <c r="B1315" t="s">
        <v>2904</v>
      </c>
      <c r="C1315" t="s">
        <v>1710</v>
      </c>
      <c r="E1315">
        <v>5131</v>
      </c>
      <c r="F1315" t="s">
        <v>668</v>
      </c>
      <c r="G1315" t="s">
        <v>2610</v>
      </c>
      <c r="H1315" t="s">
        <v>965</v>
      </c>
      <c r="I1315">
        <v>77377</v>
      </c>
      <c r="J1315" t="s">
        <v>2611</v>
      </c>
      <c r="K1315">
        <v>7029605668</v>
      </c>
      <c r="M1315">
        <v>8250</v>
      </c>
      <c r="N1315">
        <v>10400</v>
      </c>
      <c r="O1315">
        <v>23</v>
      </c>
      <c r="P1315">
        <v>79</v>
      </c>
      <c r="Q1315">
        <v>24</v>
      </c>
    </row>
    <row r="1316" spans="1:17" x14ac:dyDescent="0.3">
      <c r="A1316" t="s">
        <v>434</v>
      </c>
      <c r="B1316" t="s">
        <v>435</v>
      </c>
      <c r="C1316" t="s">
        <v>1710</v>
      </c>
      <c r="E1316">
        <v>5075</v>
      </c>
      <c r="F1316" t="s">
        <v>662</v>
      </c>
      <c r="G1316" t="s">
        <v>2168</v>
      </c>
      <c r="H1316" t="s">
        <v>965</v>
      </c>
      <c r="I1316">
        <v>77477</v>
      </c>
      <c r="J1316" t="s">
        <v>2169</v>
      </c>
      <c r="M1316">
        <v>2650</v>
      </c>
      <c r="N1316">
        <v>6400</v>
      </c>
      <c r="O1316">
        <v>8</v>
      </c>
      <c r="P1316">
        <v>13</v>
      </c>
      <c r="Q1316">
        <v>4</v>
      </c>
    </row>
    <row r="1317" spans="1:17" x14ac:dyDescent="0.3">
      <c r="A1317" t="s">
        <v>489</v>
      </c>
      <c r="B1317" t="s">
        <v>1936</v>
      </c>
      <c r="C1317" t="s">
        <v>1710</v>
      </c>
      <c r="E1317">
        <v>5076</v>
      </c>
      <c r="F1317" t="s">
        <v>646</v>
      </c>
      <c r="G1317" t="s">
        <v>2715</v>
      </c>
      <c r="H1317" t="s">
        <v>2716</v>
      </c>
      <c r="I1317">
        <v>84094</v>
      </c>
      <c r="J1317" t="s">
        <v>2717</v>
      </c>
      <c r="K1317">
        <v>8018360895</v>
      </c>
      <c r="M1317">
        <v>3200</v>
      </c>
      <c r="N1317">
        <v>3500</v>
      </c>
      <c r="O1317">
        <v>20</v>
      </c>
      <c r="P1317">
        <v>136</v>
      </c>
      <c r="Q1317">
        <v>34</v>
      </c>
    </row>
    <row r="1318" spans="1:17" x14ac:dyDescent="0.3">
      <c r="A1318" t="s">
        <v>436</v>
      </c>
      <c r="B1318" t="s">
        <v>2786</v>
      </c>
      <c r="C1318" t="s">
        <v>1710</v>
      </c>
      <c r="E1318">
        <v>5076</v>
      </c>
      <c r="F1318" t="s">
        <v>646</v>
      </c>
      <c r="G1318" t="s">
        <v>2715</v>
      </c>
      <c r="H1318" t="s">
        <v>2716</v>
      </c>
      <c r="I1318">
        <v>84094</v>
      </c>
      <c r="J1318" t="s">
        <v>2717</v>
      </c>
      <c r="K1318">
        <v>8018360895</v>
      </c>
      <c r="M1318">
        <v>1100</v>
      </c>
      <c r="N1318">
        <v>3000</v>
      </c>
      <c r="O1318">
        <v>4</v>
      </c>
      <c r="P1318">
        <v>20</v>
      </c>
      <c r="Q1318">
        <v>4</v>
      </c>
    </row>
    <row r="1319" spans="1:17" x14ac:dyDescent="0.3">
      <c r="A1319" t="s">
        <v>438</v>
      </c>
      <c r="B1319" t="s">
        <v>439</v>
      </c>
      <c r="C1319" t="s">
        <v>1710</v>
      </c>
      <c r="E1319">
        <v>5075</v>
      </c>
      <c r="F1319" t="s">
        <v>662</v>
      </c>
      <c r="G1319" t="s">
        <v>2168</v>
      </c>
      <c r="H1319" t="s">
        <v>965</v>
      </c>
      <c r="I1319">
        <v>77477</v>
      </c>
      <c r="J1319" t="s">
        <v>2169</v>
      </c>
      <c r="M1319">
        <v>5250</v>
      </c>
      <c r="N1319">
        <v>10000</v>
      </c>
      <c r="O1319">
        <v>12</v>
      </c>
      <c r="P1319">
        <v>29</v>
      </c>
      <c r="Q1319">
        <v>7</v>
      </c>
    </row>
    <row r="1320" spans="1:17" x14ac:dyDescent="0.3">
      <c r="A1320" t="s">
        <v>440</v>
      </c>
      <c r="B1320" t="s">
        <v>441</v>
      </c>
      <c r="C1320" t="s">
        <v>1710</v>
      </c>
      <c r="E1320">
        <v>5131</v>
      </c>
      <c r="F1320" t="s">
        <v>668</v>
      </c>
      <c r="G1320" t="s">
        <v>2610</v>
      </c>
      <c r="H1320" t="s">
        <v>965</v>
      </c>
      <c r="I1320">
        <v>77377</v>
      </c>
      <c r="J1320" t="s">
        <v>2611</v>
      </c>
      <c r="K1320">
        <v>7029605668</v>
      </c>
      <c r="M1320">
        <v>9550</v>
      </c>
      <c r="N1320">
        <v>14000</v>
      </c>
      <c r="O1320">
        <v>14</v>
      </c>
      <c r="P1320">
        <v>11</v>
      </c>
      <c r="Q1320">
        <v>12</v>
      </c>
    </row>
    <row r="1321" spans="1:17" x14ac:dyDescent="0.3">
      <c r="A1321" t="s">
        <v>442</v>
      </c>
      <c r="B1321" t="s">
        <v>443</v>
      </c>
      <c r="C1321" t="s">
        <v>1710</v>
      </c>
      <c r="E1321">
        <v>5075</v>
      </c>
      <c r="F1321" t="s">
        <v>662</v>
      </c>
      <c r="G1321" t="s">
        <v>2168</v>
      </c>
      <c r="H1321" t="s">
        <v>965</v>
      </c>
      <c r="I1321">
        <v>77477</v>
      </c>
      <c r="J1321" t="s">
        <v>2169</v>
      </c>
      <c r="M1321">
        <v>2150</v>
      </c>
      <c r="N1321">
        <v>7000</v>
      </c>
      <c r="O1321">
        <v>2</v>
      </c>
      <c r="P1321">
        <v>14</v>
      </c>
      <c r="Q1321">
        <v>6</v>
      </c>
    </row>
    <row r="1322" spans="1:17" x14ac:dyDescent="0.3">
      <c r="A1322" t="s">
        <v>491</v>
      </c>
      <c r="B1322" t="s">
        <v>492</v>
      </c>
      <c r="C1322" t="s">
        <v>1710</v>
      </c>
      <c r="E1322">
        <v>5076</v>
      </c>
      <c r="F1322" t="s">
        <v>646</v>
      </c>
      <c r="G1322" t="s">
        <v>2715</v>
      </c>
      <c r="H1322" t="s">
        <v>2716</v>
      </c>
      <c r="I1322">
        <v>84094</v>
      </c>
      <c r="J1322" t="s">
        <v>2717</v>
      </c>
      <c r="K1322">
        <v>8018360895</v>
      </c>
      <c r="M1322">
        <v>1105</v>
      </c>
      <c r="N1322">
        <v>4000</v>
      </c>
      <c r="O1322">
        <v>3</v>
      </c>
      <c r="P1322">
        <v>47</v>
      </c>
      <c r="Q1322">
        <v>8</v>
      </c>
    </row>
    <row r="1323" spans="1:17" x14ac:dyDescent="0.3">
      <c r="A1323" t="s">
        <v>332</v>
      </c>
      <c r="B1323" t="s">
        <v>333</v>
      </c>
      <c r="C1323" t="s">
        <v>1710</v>
      </c>
      <c r="E1323">
        <v>5163</v>
      </c>
      <c r="F1323" t="s">
        <v>694</v>
      </c>
      <c r="G1323" t="s">
        <v>2697</v>
      </c>
      <c r="H1323" t="s">
        <v>965</v>
      </c>
      <c r="I1323">
        <v>77477</v>
      </c>
      <c r="J1323" t="s">
        <v>2698</v>
      </c>
      <c r="K1323">
        <v>7759994244</v>
      </c>
      <c r="M1323">
        <v>8000</v>
      </c>
      <c r="N1323">
        <v>8000</v>
      </c>
      <c r="O1323">
        <v>24</v>
      </c>
      <c r="P1323">
        <v>68</v>
      </c>
      <c r="Q1323">
        <v>25</v>
      </c>
    </row>
    <row r="1324" spans="1:17" x14ac:dyDescent="0.3">
      <c r="A1324" t="s">
        <v>493</v>
      </c>
      <c r="B1324" t="s">
        <v>2905</v>
      </c>
      <c r="C1324" t="s">
        <v>1710</v>
      </c>
      <c r="E1324">
        <v>5002</v>
      </c>
      <c r="F1324" t="s">
        <v>660</v>
      </c>
      <c r="G1324" t="s">
        <v>2326</v>
      </c>
      <c r="H1324" t="s">
        <v>965</v>
      </c>
      <c r="I1324">
        <v>77511</v>
      </c>
      <c r="J1324" t="s">
        <v>2327</v>
      </c>
      <c r="K1324" t="s">
        <v>2328</v>
      </c>
      <c r="M1324">
        <v>1575</v>
      </c>
      <c r="N1324">
        <v>1575</v>
      </c>
      <c r="O1324">
        <v>11</v>
      </c>
      <c r="P1324">
        <v>76</v>
      </c>
      <c r="Q1324">
        <v>24</v>
      </c>
    </row>
    <row r="1325" spans="1:17" x14ac:dyDescent="0.3">
      <c r="A1325" t="s">
        <v>334</v>
      </c>
      <c r="B1325" t="s">
        <v>335</v>
      </c>
      <c r="C1325" t="s">
        <v>1710</v>
      </c>
      <c r="E1325">
        <v>5163</v>
      </c>
      <c r="F1325" t="s">
        <v>694</v>
      </c>
      <c r="G1325" t="s">
        <v>2697</v>
      </c>
      <c r="H1325" t="s">
        <v>965</v>
      </c>
      <c r="I1325">
        <v>77477</v>
      </c>
      <c r="J1325" t="s">
        <v>2698</v>
      </c>
      <c r="K1325">
        <v>7759994244</v>
      </c>
      <c r="M1325">
        <v>43600</v>
      </c>
      <c r="N1325">
        <v>43600</v>
      </c>
      <c r="O1325">
        <v>45</v>
      </c>
      <c r="P1325">
        <v>105</v>
      </c>
      <c r="Q1325">
        <v>23</v>
      </c>
    </row>
    <row r="1326" spans="1:17" x14ac:dyDescent="0.3">
      <c r="A1326" t="s">
        <v>336</v>
      </c>
      <c r="B1326" t="s">
        <v>337</v>
      </c>
      <c r="C1326" t="s">
        <v>1710</v>
      </c>
      <c r="E1326">
        <v>5076</v>
      </c>
      <c r="F1326" t="s">
        <v>646</v>
      </c>
      <c r="G1326" t="s">
        <v>2715</v>
      </c>
      <c r="H1326" t="s">
        <v>2716</v>
      </c>
      <c r="I1326">
        <v>84094</v>
      </c>
      <c r="J1326" t="s">
        <v>2717</v>
      </c>
      <c r="K1326">
        <v>8018360895</v>
      </c>
      <c r="M1326">
        <v>2100</v>
      </c>
      <c r="N1326">
        <v>2500</v>
      </c>
      <c r="O1326">
        <v>13</v>
      </c>
      <c r="P1326">
        <v>16</v>
      </c>
      <c r="Q1326">
        <v>9</v>
      </c>
    </row>
    <row r="1327" spans="1:17" x14ac:dyDescent="0.3">
      <c r="A1327" t="s">
        <v>495</v>
      </c>
      <c r="B1327" t="s">
        <v>496</v>
      </c>
      <c r="C1327" t="s">
        <v>1710</v>
      </c>
      <c r="E1327">
        <v>5163</v>
      </c>
      <c r="F1327" t="s">
        <v>694</v>
      </c>
      <c r="G1327" t="s">
        <v>2697</v>
      </c>
      <c r="H1327" t="s">
        <v>965</v>
      </c>
      <c r="I1327">
        <v>77477</v>
      </c>
      <c r="J1327" t="s">
        <v>2698</v>
      </c>
      <c r="K1327">
        <v>7759994244</v>
      </c>
      <c r="M1327">
        <v>2150</v>
      </c>
      <c r="N1327">
        <v>2300</v>
      </c>
      <c r="O1327">
        <v>12</v>
      </c>
      <c r="P1327">
        <v>32</v>
      </c>
      <c r="Q1327">
        <v>10</v>
      </c>
    </row>
    <row r="1328" spans="1:17" x14ac:dyDescent="0.3">
      <c r="A1328" t="s">
        <v>338</v>
      </c>
      <c r="B1328" t="s">
        <v>339</v>
      </c>
      <c r="C1328" t="s">
        <v>1710</v>
      </c>
      <c r="E1328">
        <v>5014</v>
      </c>
      <c r="F1328" t="s">
        <v>702</v>
      </c>
      <c r="G1328" t="s">
        <v>1132</v>
      </c>
      <c r="H1328" t="s">
        <v>965</v>
      </c>
      <c r="I1328">
        <v>77407</v>
      </c>
      <c r="J1328" t="s">
        <v>1133</v>
      </c>
      <c r="K1328">
        <v>8324644119</v>
      </c>
      <c r="M1328">
        <v>3500</v>
      </c>
      <c r="N1328">
        <v>3500</v>
      </c>
      <c r="O1328">
        <v>17</v>
      </c>
      <c r="P1328">
        <v>76</v>
      </c>
      <c r="Q1328">
        <v>30</v>
      </c>
    </row>
    <row r="1329" spans="1:17" x14ac:dyDescent="0.3">
      <c r="A1329" t="s">
        <v>340</v>
      </c>
      <c r="B1329" t="s">
        <v>341</v>
      </c>
      <c r="C1329" t="s">
        <v>1710</v>
      </c>
      <c r="E1329">
        <v>5044</v>
      </c>
      <c r="F1329" t="s">
        <v>676</v>
      </c>
      <c r="G1329" t="s">
        <v>2860</v>
      </c>
      <c r="H1329" t="s">
        <v>965</v>
      </c>
      <c r="I1329">
        <v>77477</v>
      </c>
      <c r="J1329" t="s">
        <v>2861</v>
      </c>
      <c r="K1329">
        <v>7138945717</v>
      </c>
      <c r="M1329">
        <v>13350</v>
      </c>
      <c r="N1329">
        <v>13350</v>
      </c>
      <c r="O1329">
        <v>55</v>
      </c>
      <c r="P1329">
        <v>145</v>
      </c>
      <c r="Q1329">
        <v>48</v>
      </c>
    </row>
    <row r="1330" spans="1:17" x14ac:dyDescent="0.3">
      <c r="A1330" t="s">
        <v>497</v>
      </c>
      <c r="B1330" t="s">
        <v>498</v>
      </c>
      <c r="C1330" t="s">
        <v>1710</v>
      </c>
      <c r="E1330">
        <v>5131</v>
      </c>
      <c r="F1330" t="s">
        <v>668</v>
      </c>
      <c r="G1330" t="s">
        <v>2610</v>
      </c>
      <c r="H1330" t="s">
        <v>965</v>
      </c>
      <c r="I1330">
        <v>77377</v>
      </c>
      <c r="J1330" t="s">
        <v>2611</v>
      </c>
      <c r="K1330">
        <v>7029605668</v>
      </c>
      <c r="M1330">
        <v>6150</v>
      </c>
      <c r="N1330">
        <v>8800</v>
      </c>
      <c r="O1330">
        <v>9</v>
      </c>
      <c r="P1330">
        <v>32</v>
      </c>
      <c r="Q1330">
        <v>11</v>
      </c>
    </row>
    <row r="1331" spans="1:17" x14ac:dyDescent="0.3">
      <c r="A1331" t="s">
        <v>499</v>
      </c>
      <c r="B1331" t="s">
        <v>500</v>
      </c>
      <c r="C1331" t="s">
        <v>1710</v>
      </c>
      <c r="E1331">
        <v>5076</v>
      </c>
      <c r="F1331" t="s">
        <v>646</v>
      </c>
      <c r="G1331" t="s">
        <v>2715</v>
      </c>
      <c r="H1331" t="s">
        <v>2716</v>
      </c>
      <c r="I1331">
        <v>84094</v>
      </c>
      <c r="J1331" t="s">
        <v>2717</v>
      </c>
      <c r="K1331">
        <v>8018360895</v>
      </c>
      <c r="M1331">
        <v>2100</v>
      </c>
      <c r="N1331">
        <v>2500</v>
      </c>
      <c r="O1331">
        <v>8</v>
      </c>
      <c r="P1331">
        <v>10</v>
      </c>
      <c r="Q1331">
        <v>6</v>
      </c>
    </row>
    <row r="1332" spans="1:17" x14ac:dyDescent="0.3">
      <c r="A1332" t="s">
        <v>342</v>
      </c>
      <c r="B1332" t="s">
        <v>2906</v>
      </c>
      <c r="C1332" t="s">
        <v>1710</v>
      </c>
      <c r="E1332">
        <v>5108</v>
      </c>
      <c r="F1332" t="s">
        <v>697</v>
      </c>
      <c r="G1332" t="s">
        <v>1090</v>
      </c>
      <c r="H1332" t="s">
        <v>965</v>
      </c>
      <c r="I1332">
        <v>77449</v>
      </c>
      <c r="J1332" t="s">
        <v>1091</v>
      </c>
      <c r="K1332" t="s">
        <v>1092</v>
      </c>
      <c r="M1332">
        <v>575</v>
      </c>
      <c r="N1332">
        <v>600</v>
      </c>
      <c r="O1332">
        <v>4</v>
      </c>
      <c r="P1332">
        <v>19</v>
      </c>
      <c r="Q1332">
        <v>9</v>
      </c>
    </row>
    <row r="1333" spans="1:17" x14ac:dyDescent="0.3">
      <c r="A1333" t="s">
        <v>503</v>
      </c>
      <c r="B1333" t="s">
        <v>504</v>
      </c>
      <c r="C1333" t="s">
        <v>1710</v>
      </c>
      <c r="E1333">
        <v>5132</v>
      </c>
      <c r="F1333" t="s">
        <v>671</v>
      </c>
      <c r="G1333" t="s">
        <v>2551</v>
      </c>
      <c r="H1333" t="s">
        <v>965</v>
      </c>
      <c r="I1333">
        <v>77047</v>
      </c>
      <c r="J1333" t="s">
        <v>2552</v>
      </c>
      <c r="K1333">
        <v>5712481421</v>
      </c>
      <c r="L1333">
        <v>5712481421</v>
      </c>
      <c r="M1333">
        <v>4800</v>
      </c>
      <c r="N1333">
        <v>6500</v>
      </c>
      <c r="O1333">
        <v>7</v>
      </c>
      <c r="P1333">
        <v>106</v>
      </c>
      <c r="Q1333">
        <v>16</v>
      </c>
    </row>
    <row r="1334" spans="1:17" x14ac:dyDescent="0.3">
      <c r="A1334" t="s">
        <v>770</v>
      </c>
      <c r="B1334" t="s">
        <v>2907</v>
      </c>
      <c r="C1334" t="s">
        <v>1710</v>
      </c>
      <c r="E1334">
        <v>5075</v>
      </c>
      <c r="F1334" t="s">
        <v>662</v>
      </c>
      <c r="G1334" t="s">
        <v>2168</v>
      </c>
      <c r="H1334" t="s">
        <v>965</v>
      </c>
      <c r="I1334">
        <v>77477</v>
      </c>
      <c r="J1334" t="s">
        <v>2169</v>
      </c>
      <c r="M1334">
        <v>51000</v>
      </c>
      <c r="N1334">
        <v>100000</v>
      </c>
      <c r="O1334">
        <v>62</v>
      </c>
      <c r="P1334">
        <v>158</v>
      </c>
      <c r="Q1334">
        <v>49</v>
      </c>
    </row>
    <row r="1335" spans="1:17" x14ac:dyDescent="0.3">
      <c r="A1335" t="s">
        <v>505</v>
      </c>
      <c r="B1335" t="s">
        <v>2439</v>
      </c>
      <c r="C1335" t="s">
        <v>1710</v>
      </c>
      <c r="E1335">
        <v>5004</v>
      </c>
      <c r="F1335" t="s">
        <v>642</v>
      </c>
      <c r="G1335" t="s">
        <v>1677</v>
      </c>
      <c r="H1335" t="s">
        <v>965</v>
      </c>
      <c r="I1335">
        <v>77469</v>
      </c>
      <c r="J1335" t="s">
        <v>1678</v>
      </c>
      <c r="K1335">
        <v>7135454257</v>
      </c>
      <c r="M1335">
        <v>2500</v>
      </c>
      <c r="N1335">
        <v>2500</v>
      </c>
      <c r="O1335">
        <v>12</v>
      </c>
      <c r="P1335">
        <v>15</v>
      </c>
      <c r="Q1335">
        <v>6</v>
      </c>
    </row>
    <row r="1336" spans="1:17" x14ac:dyDescent="0.3">
      <c r="A1336" t="s">
        <v>344</v>
      </c>
      <c r="B1336" t="s">
        <v>345</v>
      </c>
      <c r="C1336" t="s">
        <v>1710</v>
      </c>
      <c r="E1336">
        <v>5163</v>
      </c>
      <c r="F1336" t="s">
        <v>694</v>
      </c>
      <c r="G1336" t="s">
        <v>2697</v>
      </c>
      <c r="H1336" t="s">
        <v>965</v>
      </c>
      <c r="I1336">
        <v>77477</v>
      </c>
      <c r="J1336" t="s">
        <v>2698</v>
      </c>
      <c r="K1336">
        <v>7759994244</v>
      </c>
      <c r="M1336">
        <v>33700</v>
      </c>
      <c r="N1336">
        <v>33700</v>
      </c>
      <c r="O1336">
        <v>41</v>
      </c>
      <c r="P1336">
        <v>92</v>
      </c>
      <c r="Q1336">
        <v>42</v>
      </c>
    </row>
    <row r="1337" spans="1:17" x14ac:dyDescent="0.3">
      <c r="A1337" t="s">
        <v>507</v>
      </c>
      <c r="B1337" t="s">
        <v>508</v>
      </c>
      <c r="C1337" t="s">
        <v>1710</v>
      </c>
      <c r="E1337">
        <v>5210</v>
      </c>
      <c r="F1337" t="s">
        <v>703</v>
      </c>
      <c r="G1337" t="s">
        <v>2908</v>
      </c>
      <c r="H1337" t="s">
        <v>965</v>
      </c>
      <c r="I1337">
        <v>77591</v>
      </c>
      <c r="J1337" t="s">
        <v>2909</v>
      </c>
      <c r="K1337" t="s">
        <v>2910</v>
      </c>
      <c r="L1337" t="s">
        <v>2911</v>
      </c>
      <c r="M1337">
        <v>4200</v>
      </c>
      <c r="N1337">
        <v>5100</v>
      </c>
      <c r="O1337">
        <v>27</v>
      </c>
      <c r="P1337">
        <v>51</v>
      </c>
      <c r="Q1337">
        <v>15</v>
      </c>
    </row>
    <row r="1338" spans="1:17" x14ac:dyDescent="0.3">
      <c r="A1338" t="s">
        <v>346</v>
      </c>
      <c r="B1338" t="s">
        <v>347</v>
      </c>
      <c r="C1338" t="s">
        <v>1710</v>
      </c>
      <c r="E1338">
        <v>5131</v>
      </c>
      <c r="F1338" t="s">
        <v>668</v>
      </c>
      <c r="G1338" t="s">
        <v>2610</v>
      </c>
      <c r="H1338" t="s">
        <v>965</v>
      </c>
      <c r="I1338">
        <v>77377</v>
      </c>
      <c r="J1338" t="s">
        <v>2611</v>
      </c>
      <c r="K1338">
        <v>7029605668</v>
      </c>
      <c r="M1338">
        <v>52000</v>
      </c>
      <c r="N1338">
        <v>54000</v>
      </c>
      <c r="O1338">
        <v>48</v>
      </c>
      <c r="P1338">
        <v>144</v>
      </c>
      <c r="Q1338">
        <v>60</v>
      </c>
    </row>
    <row r="1339" spans="1:17" x14ac:dyDescent="0.3">
      <c r="A1339" t="s">
        <v>510</v>
      </c>
      <c r="B1339" t="s">
        <v>511</v>
      </c>
      <c r="C1339" t="s">
        <v>1710</v>
      </c>
      <c r="E1339">
        <v>5207</v>
      </c>
      <c r="F1339" t="s">
        <v>680</v>
      </c>
      <c r="G1339" t="s">
        <v>2869</v>
      </c>
      <c r="H1339" t="s">
        <v>965</v>
      </c>
      <c r="I1339">
        <v>77062</v>
      </c>
      <c r="J1339" t="s">
        <v>2870</v>
      </c>
      <c r="K1339">
        <v>2819482921</v>
      </c>
      <c r="M1339">
        <v>11000</v>
      </c>
      <c r="N1339">
        <v>11000</v>
      </c>
      <c r="O1339">
        <v>24</v>
      </c>
      <c r="P1339">
        <v>98</v>
      </c>
      <c r="Q1339">
        <v>19</v>
      </c>
    </row>
    <row r="1340" spans="1:17" x14ac:dyDescent="0.3">
      <c r="A1340" t="s">
        <v>348</v>
      </c>
      <c r="B1340" t="s">
        <v>349</v>
      </c>
      <c r="C1340" t="s">
        <v>1710</v>
      </c>
      <c r="E1340">
        <v>5131</v>
      </c>
      <c r="F1340" t="s">
        <v>668</v>
      </c>
      <c r="G1340" t="s">
        <v>2610</v>
      </c>
      <c r="H1340" t="s">
        <v>965</v>
      </c>
      <c r="I1340">
        <v>77377</v>
      </c>
      <c r="J1340" t="s">
        <v>2611</v>
      </c>
      <c r="K1340">
        <v>7029605668</v>
      </c>
      <c r="M1340">
        <v>1050</v>
      </c>
      <c r="N1340">
        <v>1200</v>
      </c>
      <c r="O1340">
        <v>5</v>
      </c>
      <c r="P1340">
        <v>38</v>
      </c>
      <c r="Q1340">
        <v>5</v>
      </c>
    </row>
    <row r="1341" spans="1:17" x14ac:dyDescent="0.3">
      <c r="A1341" t="s">
        <v>350</v>
      </c>
      <c r="B1341" t="s">
        <v>351</v>
      </c>
      <c r="C1341" t="s">
        <v>1710</v>
      </c>
      <c r="E1341">
        <v>5131</v>
      </c>
      <c r="F1341" t="s">
        <v>668</v>
      </c>
      <c r="G1341" t="s">
        <v>2610</v>
      </c>
      <c r="H1341" t="s">
        <v>965</v>
      </c>
      <c r="I1341">
        <v>77377</v>
      </c>
      <c r="J1341" t="s">
        <v>2611</v>
      </c>
      <c r="K1341">
        <v>7029605668</v>
      </c>
      <c r="M1341">
        <v>106250</v>
      </c>
      <c r="N1341">
        <v>110000</v>
      </c>
      <c r="O1341">
        <v>72</v>
      </c>
      <c r="P1341">
        <v>252</v>
      </c>
      <c r="Q1341">
        <v>79</v>
      </c>
    </row>
    <row r="1342" spans="1:17" x14ac:dyDescent="0.3">
      <c r="A1342" t="s">
        <v>352</v>
      </c>
      <c r="B1342" t="s">
        <v>353</v>
      </c>
      <c r="C1342" t="s">
        <v>1710</v>
      </c>
      <c r="E1342">
        <v>5131</v>
      </c>
      <c r="F1342" t="s">
        <v>668</v>
      </c>
      <c r="G1342" t="s">
        <v>2610</v>
      </c>
      <c r="H1342" t="s">
        <v>965</v>
      </c>
      <c r="I1342">
        <v>77377</v>
      </c>
      <c r="J1342" t="s">
        <v>2611</v>
      </c>
      <c r="K1342">
        <v>7029605668</v>
      </c>
      <c r="M1342">
        <v>57000</v>
      </c>
      <c r="N1342">
        <v>57000</v>
      </c>
      <c r="O1342">
        <v>62</v>
      </c>
      <c r="P1342">
        <v>231</v>
      </c>
      <c r="Q1342">
        <v>69</v>
      </c>
    </row>
    <row r="1343" spans="1:17" x14ac:dyDescent="0.3">
      <c r="A1343" t="s">
        <v>354</v>
      </c>
      <c r="B1343" t="s">
        <v>2912</v>
      </c>
      <c r="C1343" t="s">
        <v>1710</v>
      </c>
      <c r="E1343">
        <v>5108</v>
      </c>
      <c r="F1343" t="s">
        <v>697</v>
      </c>
      <c r="G1343" t="s">
        <v>1090</v>
      </c>
      <c r="H1343" t="s">
        <v>965</v>
      </c>
      <c r="I1343">
        <v>77449</v>
      </c>
      <c r="J1343" t="s">
        <v>1091</v>
      </c>
      <c r="K1343" t="s">
        <v>1092</v>
      </c>
      <c r="M1343">
        <v>2200</v>
      </c>
      <c r="N1343">
        <v>2200</v>
      </c>
      <c r="O1343">
        <v>13</v>
      </c>
      <c r="P1343">
        <v>26</v>
      </c>
      <c r="Q1343">
        <v>7</v>
      </c>
    </row>
    <row r="1344" spans="1:17" x14ac:dyDescent="0.3">
      <c r="A1344" t="s">
        <v>512</v>
      </c>
      <c r="B1344" t="s">
        <v>2913</v>
      </c>
      <c r="C1344" t="s">
        <v>1710</v>
      </c>
      <c r="E1344">
        <v>5170</v>
      </c>
      <c r="F1344" t="s">
        <v>704</v>
      </c>
      <c r="G1344" t="s">
        <v>2142</v>
      </c>
      <c r="H1344" t="s">
        <v>965</v>
      </c>
      <c r="I1344">
        <v>77479</v>
      </c>
      <c r="J1344" t="s">
        <v>2143</v>
      </c>
      <c r="K1344" t="s">
        <v>2144</v>
      </c>
      <c r="M1344">
        <v>7250</v>
      </c>
      <c r="N1344">
        <v>7250</v>
      </c>
      <c r="O1344">
        <v>33</v>
      </c>
      <c r="P1344">
        <v>163</v>
      </c>
      <c r="Q1344">
        <v>30</v>
      </c>
    </row>
    <row r="1345" spans="1:17" x14ac:dyDescent="0.3">
      <c r="A1345" t="s">
        <v>514</v>
      </c>
      <c r="B1345" t="s">
        <v>515</v>
      </c>
      <c r="C1345" t="s">
        <v>1710</v>
      </c>
      <c r="E1345">
        <v>5095</v>
      </c>
      <c r="F1345" t="s">
        <v>705</v>
      </c>
      <c r="G1345" t="s">
        <v>2914</v>
      </c>
      <c r="H1345" t="s">
        <v>965</v>
      </c>
      <c r="I1345">
        <v>77080</v>
      </c>
      <c r="J1345" t="s">
        <v>2915</v>
      </c>
      <c r="K1345">
        <v>8326466298</v>
      </c>
      <c r="L1345">
        <v>8326466298</v>
      </c>
      <c r="M1345">
        <v>12000</v>
      </c>
      <c r="N1345">
        <v>12000</v>
      </c>
      <c r="O1345">
        <v>35</v>
      </c>
      <c r="P1345">
        <v>109</v>
      </c>
      <c r="Q1345">
        <v>21</v>
      </c>
    </row>
    <row r="1346" spans="1:17" x14ac:dyDescent="0.3">
      <c r="A1346" t="s">
        <v>356</v>
      </c>
      <c r="B1346" t="s">
        <v>2916</v>
      </c>
      <c r="C1346" t="s">
        <v>1710</v>
      </c>
      <c r="E1346">
        <v>5108</v>
      </c>
      <c r="F1346" t="s">
        <v>697</v>
      </c>
      <c r="G1346" t="s">
        <v>1090</v>
      </c>
      <c r="H1346" t="s">
        <v>965</v>
      </c>
      <c r="I1346">
        <v>77449</v>
      </c>
      <c r="J1346" t="s">
        <v>1091</v>
      </c>
      <c r="K1346" t="s">
        <v>1092</v>
      </c>
      <c r="M1346">
        <v>1750</v>
      </c>
      <c r="N1346">
        <v>1750</v>
      </c>
      <c r="O1346">
        <v>16</v>
      </c>
      <c r="P1346">
        <v>24</v>
      </c>
      <c r="Q1346">
        <v>11</v>
      </c>
    </row>
    <row r="1347" spans="1:17" x14ac:dyDescent="0.3">
      <c r="A1347" t="s">
        <v>516</v>
      </c>
      <c r="B1347" t="s">
        <v>517</v>
      </c>
      <c r="C1347" t="s">
        <v>1710</v>
      </c>
      <c r="E1347">
        <v>5163</v>
      </c>
      <c r="F1347" t="s">
        <v>694</v>
      </c>
      <c r="G1347" t="s">
        <v>2697</v>
      </c>
      <c r="H1347" t="s">
        <v>965</v>
      </c>
      <c r="I1347">
        <v>77477</v>
      </c>
      <c r="J1347" t="s">
        <v>2698</v>
      </c>
      <c r="K1347">
        <v>7759994244</v>
      </c>
      <c r="M1347">
        <v>5550</v>
      </c>
      <c r="N1347">
        <v>6000</v>
      </c>
      <c r="O1347">
        <v>29</v>
      </c>
      <c r="P1347">
        <v>128</v>
      </c>
      <c r="Q1347">
        <v>15</v>
      </c>
    </row>
    <row r="1348" spans="1:17" x14ac:dyDescent="0.3">
      <c r="A1348" t="s">
        <v>358</v>
      </c>
      <c r="B1348" t="s">
        <v>359</v>
      </c>
      <c r="C1348" t="s">
        <v>1710</v>
      </c>
      <c r="E1348">
        <v>5163</v>
      </c>
      <c r="F1348" t="s">
        <v>694</v>
      </c>
      <c r="G1348" t="s">
        <v>2697</v>
      </c>
      <c r="H1348" t="s">
        <v>965</v>
      </c>
      <c r="I1348">
        <v>77477</v>
      </c>
      <c r="J1348" t="s">
        <v>2698</v>
      </c>
      <c r="K1348">
        <v>7759994244</v>
      </c>
      <c r="M1348">
        <v>4300</v>
      </c>
      <c r="N1348">
        <v>4350</v>
      </c>
      <c r="O1348">
        <v>14</v>
      </c>
      <c r="P1348">
        <v>27</v>
      </c>
      <c r="Q1348">
        <v>16</v>
      </c>
    </row>
    <row r="1349" spans="1:17" x14ac:dyDescent="0.3">
      <c r="A1349" t="s">
        <v>519</v>
      </c>
      <c r="B1349" t="s">
        <v>520</v>
      </c>
      <c r="C1349" t="s">
        <v>1710</v>
      </c>
      <c r="E1349">
        <v>5167</v>
      </c>
      <c r="F1349" t="s">
        <v>684</v>
      </c>
      <c r="G1349" t="s">
        <v>2874</v>
      </c>
      <c r="H1349" t="s">
        <v>965</v>
      </c>
      <c r="I1349">
        <v>77546</v>
      </c>
      <c r="J1349" t="s">
        <v>2875</v>
      </c>
      <c r="K1349">
        <v>2812364575</v>
      </c>
      <c r="M1349">
        <v>39500</v>
      </c>
      <c r="N1349">
        <v>39500</v>
      </c>
      <c r="O1349">
        <v>55</v>
      </c>
      <c r="P1349">
        <v>129</v>
      </c>
      <c r="Q1349">
        <v>61</v>
      </c>
    </row>
    <row r="1350" spans="1:17" x14ac:dyDescent="0.3">
      <c r="A1350" t="s">
        <v>360</v>
      </c>
      <c r="B1350" t="s">
        <v>2917</v>
      </c>
      <c r="C1350" t="s">
        <v>1710</v>
      </c>
      <c r="E1350">
        <v>5190</v>
      </c>
      <c r="F1350" t="s">
        <v>693</v>
      </c>
      <c r="G1350" t="s">
        <v>2172</v>
      </c>
      <c r="H1350" t="s">
        <v>965</v>
      </c>
      <c r="I1350">
        <v>77479</v>
      </c>
      <c r="J1350" t="s">
        <v>2173</v>
      </c>
      <c r="K1350">
        <v>7132407121</v>
      </c>
      <c r="M1350">
        <v>14000</v>
      </c>
      <c r="N1350">
        <v>14000</v>
      </c>
      <c r="O1350">
        <v>26</v>
      </c>
      <c r="P1350">
        <v>79</v>
      </c>
      <c r="Q1350">
        <v>42</v>
      </c>
    </row>
    <row r="1351" spans="1:17" x14ac:dyDescent="0.3">
      <c r="A1351" t="s">
        <v>521</v>
      </c>
      <c r="B1351" t="s">
        <v>522</v>
      </c>
      <c r="C1351" t="s">
        <v>1710</v>
      </c>
      <c r="E1351">
        <v>5076</v>
      </c>
      <c r="F1351" t="s">
        <v>646</v>
      </c>
      <c r="G1351" t="s">
        <v>2715</v>
      </c>
      <c r="H1351" t="s">
        <v>2716</v>
      </c>
      <c r="I1351">
        <v>84094</v>
      </c>
      <c r="J1351" t="s">
        <v>2717</v>
      </c>
      <c r="K1351">
        <v>8018360895</v>
      </c>
      <c r="M1351">
        <v>1600</v>
      </c>
      <c r="N1351">
        <v>2100</v>
      </c>
      <c r="O1351">
        <v>9</v>
      </c>
      <c r="P1351">
        <v>54</v>
      </c>
      <c r="Q1351">
        <v>19</v>
      </c>
    </row>
    <row r="1352" spans="1:17" x14ac:dyDescent="0.3">
      <c r="A1352" t="s">
        <v>362</v>
      </c>
      <c r="B1352" t="s">
        <v>2918</v>
      </c>
      <c r="C1352" t="s">
        <v>1710</v>
      </c>
      <c r="E1352">
        <v>5173</v>
      </c>
      <c r="F1352" t="s">
        <v>706</v>
      </c>
      <c r="G1352" t="s">
        <v>2919</v>
      </c>
      <c r="H1352" t="s">
        <v>965</v>
      </c>
      <c r="I1352">
        <v>77477</v>
      </c>
      <c r="J1352" t="s">
        <v>2920</v>
      </c>
      <c r="K1352">
        <v>8325415925</v>
      </c>
      <c r="M1352">
        <v>3700</v>
      </c>
      <c r="N1352">
        <v>3700</v>
      </c>
      <c r="O1352">
        <v>20</v>
      </c>
      <c r="P1352">
        <v>128</v>
      </c>
      <c r="Q1352">
        <v>24</v>
      </c>
    </row>
    <row r="1353" spans="1:17" x14ac:dyDescent="0.3">
      <c r="A1353" t="s">
        <v>364</v>
      </c>
      <c r="B1353" t="s">
        <v>2921</v>
      </c>
      <c r="C1353" t="s">
        <v>1710</v>
      </c>
      <c r="E1353">
        <v>5075</v>
      </c>
      <c r="F1353" t="s">
        <v>662</v>
      </c>
      <c r="G1353" t="s">
        <v>2168</v>
      </c>
      <c r="H1353" t="s">
        <v>965</v>
      </c>
      <c r="I1353">
        <v>77477</v>
      </c>
      <c r="J1353" t="s">
        <v>2169</v>
      </c>
      <c r="M1353">
        <v>4800</v>
      </c>
      <c r="N1353">
        <v>6500</v>
      </c>
      <c r="O1353">
        <v>15</v>
      </c>
      <c r="P1353">
        <v>34</v>
      </c>
      <c r="Q1353">
        <v>16</v>
      </c>
    </row>
    <row r="1354" spans="1:17" x14ac:dyDescent="0.3">
      <c r="A1354" t="s">
        <v>523</v>
      </c>
      <c r="B1354" t="s">
        <v>524</v>
      </c>
      <c r="C1354" t="s">
        <v>1710</v>
      </c>
      <c r="E1354">
        <v>5075</v>
      </c>
      <c r="F1354" t="s">
        <v>662</v>
      </c>
      <c r="G1354" t="s">
        <v>2168</v>
      </c>
      <c r="H1354" t="s">
        <v>965</v>
      </c>
      <c r="I1354">
        <v>77477</v>
      </c>
      <c r="J1354" t="s">
        <v>2169</v>
      </c>
      <c r="M1354">
        <v>3600</v>
      </c>
      <c r="N1354">
        <v>6000</v>
      </c>
      <c r="O1354">
        <v>12</v>
      </c>
      <c r="P1354">
        <v>99</v>
      </c>
      <c r="Q1354">
        <v>13</v>
      </c>
    </row>
    <row r="1355" spans="1:17" x14ac:dyDescent="0.3">
      <c r="A1355" t="s">
        <v>366</v>
      </c>
      <c r="B1355" t="s">
        <v>337</v>
      </c>
      <c r="C1355" t="s">
        <v>1710</v>
      </c>
      <c r="E1355">
        <v>5076</v>
      </c>
      <c r="F1355" t="s">
        <v>646</v>
      </c>
      <c r="G1355" t="s">
        <v>2715</v>
      </c>
      <c r="H1355" t="s">
        <v>2716</v>
      </c>
      <c r="I1355">
        <v>84094</v>
      </c>
      <c r="J1355" t="s">
        <v>2717</v>
      </c>
      <c r="K1355">
        <v>8018360895</v>
      </c>
      <c r="M1355">
        <v>2100</v>
      </c>
      <c r="N1355">
        <v>2500</v>
      </c>
      <c r="O1355">
        <v>9</v>
      </c>
      <c r="P1355">
        <v>18</v>
      </c>
      <c r="Q1355">
        <v>6</v>
      </c>
    </row>
    <row r="1356" spans="1:17" x14ac:dyDescent="0.3">
      <c r="A1356" t="s">
        <v>368</v>
      </c>
      <c r="B1356" t="s">
        <v>369</v>
      </c>
      <c r="C1356" t="s">
        <v>1710</v>
      </c>
      <c r="E1356">
        <v>5131</v>
      </c>
      <c r="F1356" t="s">
        <v>668</v>
      </c>
      <c r="G1356" t="s">
        <v>2610</v>
      </c>
      <c r="H1356" t="s">
        <v>965</v>
      </c>
      <c r="I1356">
        <v>77377</v>
      </c>
      <c r="J1356" t="s">
        <v>2611</v>
      </c>
      <c r="K1356">
        <v>7029605668</v>
      </c>
      <c r="M1356">
        <v>500</v>
      </c>
      <c r="N1356">
        <v>2000</v>
      </c>
      <c r="O1356">
        <v>2</v>
      </c>
      <c r="P1356">
        <v>14</v>
      </c>
      <c r="Q1356">
        <v>4</v>
      </c>
    </row>
    <row r="1357" spans="1:17" x14ac:dyDescent="0.3">
      <c r="A1357" t="s">
        <v>525</v>
      </c>
      <c r="B1357" t="s">
        <v>526</v>
      </c>
      <c r="C1357" t="s">
        <v>1710</v>
      </c>
      <c r="E1357">
        <v>5110</v>
      </c>
      <c r="F1357" t="s">
        <v>659</v>
      </c>
      <c r="G1357" t="s">
        <v>2318</v>
      </c>
      <c r="H1357" t="s">
        <v>965</v>
      </c>
      <c r="I1357">
        <v>77304</v>
      </c>
      <c r="J1357" t="s">
        <v>2319</v>
      </c>
      <c r="K1357">
        <v>9363333523</v>
      </c>
      <c r="M1357">
        <v>25000</v>
      </c>
      <c r="N1357">
        <v>25000</v>
      </c>
      <c r="O1357">
        <v>77</v>
      </c>
      <c r="P1357">
        <v>131</v>
      </c>
      <c r="Q1357">
        <v>51</v>
      </c>
    </row>
    <row r="1358" spans="1:17" x14ac:dyDescent="0.3">
      <c r="A1358" t="s">
        <v>485</v>
      </c>
      <c r="B1358" t="s">
        <v>486</v>
      </c>
      <c r="C1358" t="s">
        <v>1710</v>
      </c>
      <c r="E1358">
        <v>5141</v>
      </c>
      <c r="F1358" t="s">
        <v>678</v>
      </c>
      <c r="G1358" t="s">
        <v>2621</v>
      </c>
      <c r="H1358" t="s">
        <v>965</v>
      </c>
      <c r="I1358">
        <v>77494</v>
      </c>
      <c r="J1358" t="s">
        <v>2622</v>
      </c>
      <c r="K1358" t="s">
        <v>2623</v>
      </c>
      <c r="L1358" t="s">
        <v>2624</v>
      </c>
      <c r="M1358">
        <v>2400</v>
      </c>
      <c r="N1358">
        <v>3200</v>
      </c>
      <c r="O1358">
        <v>22</v>
      </c>
      <c r="P1358">
        <v>44</v>
      </c>
      <c r="Q1358">
        <v>27</v>
      </c>
    </row>
    <row r="1359" spans="1:17" x14ac:dyDescent="0.3">
      <c r="A1359" t="s">
        <v>527</v>
      </c>
      <c r="B1359" t="s">
        <v>528</v>
      </c>
      <c r="C1359" t="s">
        <v>1710</v>
      </c>
      <c r="E1359">
        <v>5164</v>
      </c>
      <c r="F1359" t="s">
        <v>707</v>
      </c>
      <c r="G1359" t="s">
        <v>2922</v>
      </c>
      <c r="H1359" t="s">
        <v>965</v>
      </c>
      <c r="I1359">
        <v>77318</v>
      </c>
      <c r="J1359" t="s">
        <v>2923</v>
      </c>
      <c r="K1359">
        <v>8322216752</v>
      </c>
      <c r="M1359">
        <v>4500</v>
      </c>
      <c r="N1359">
        <v>5500</v>
      </c>
      <c r="O1359">
        <v>24</v>
      </c>
      <c r="P1359">
        <v>77</v>
      </c>
      <c r="Q1359">
        <v>38</v>
      </c>
    </row>
    <row r="1360" spans="1:17" x14ac:dyDescent="0.3">
      <c r="A1360" t="s">
        <v>377</v>
      </c>
      <c r="B1360" t="s">
        <v>378</v>
      </c>
      <c r="C1360" t="s">
        <v>1710</v>
      </c>
      <c r="E1360">
        <v>5141</v>
      </c>
      <c r="F1360" t="s">
        <v>678</v>
      </c>
      <c r="G1360" t="s">
        <v>2621</v>
      </c>
      <c r="H1360" t="s">
        <v>965</v>
      </c>
      <c r="I1360">
        <v>77494</v>
      </c>
      <c r="J1360" t="s">
        <v>2622</v>
      </c>
      <c r="K1360" t="s">
        <v>2623</v>
      </c>
      <c r="L1360" t="s">
        <v>2624</v>
      </c>
      <c r="M1360">
        <v>16000</v>
      </c>
      <c r="N1360">
        <v>16000</v>
      </c>
      <c r="O1360">
        <v>12</v>
      </c>
      <c r="P1360">
        <v>42</v>
      </c>
      <c r="Q1360">
        <v>12</v>
      </c>
    </row>
    <row r="1361" spans="1:17" x14ac:dyDescent="0.3">
      <c r="A1361" t="s">
        <v>529</v>
      </c>
      <c r="B1361" t="s">
        <v>2924</v>
      </c>
      <c r="C1361" t="s">
        <v>1710</v>
      </c>
      <c r="E1361">
        <v>5131</v>
      </c>
      <c r="F1361" t="s">
        <v>668</v>
      </c>
      <c r="G1361" t="s">
        <v>2610</v>
      </c>
      <c r="H1361" t="s">
        <v>965</v>
      </c>
      <c r="I1361">
        <v>77377</v>
      </c>
      <c r="J1361" t="s">
        <v>2611</v>
      </c>
      <c r="K1361">
        <v>7029605668</v>
      </c>
      <c r="M1361">
        <v>6850</v>
      </c>
      <c r="N1361">
        <v>22000</v>
      </c>
      <c r="O1361">
        <v>16</v>
      </c>
      <c r="P1361">
        <v>38</v>
      </c>
      <c r="Q1361">
        <v>15</v>
      </c>
    </row>
    <row r="1362" spans="1:17" x14ac:dyDescent="0.3">
      <c r="A1362" t="s">
        <v>379</v>
      </c>
      <c r="B1362" t="s">
        <v>380</v>
      </c>
      <c r="C1362" t="s">
        <v>1710</v>
      </c>
      <c r="E1362">
        <v>5076</v>
      </c>
      <c r="F1362" t="s">
        <v>646</v>
      </c>
      <c r="G1362" t="s">
        <v>2715</v>
      </c>
      <c r="H1362" t="s">
        <v>2716</v>
      </c>
      <c r="I1362">
        <v>84094</v>
      </c>
      <c r="J1362" t="s">
        <v>2717</v>
      </c>
      <c r="K1362">
        <v>8018360895</v>
      </c>
      <c r="M1362">
        <v>7750</v>
      </c>
      <c r="N1362">
        <v>17000</v>
      </c>
      <c r="O1362">
        <v>16</v>
      </c>
      <c r="P1362">
        <v>29</v>
      </c>
      <c r="Q1362">
        <v>14</v>
      </c>
    </row>
    <row r="1363" spans="1:17" x14ac:dyDescent="0.3">
      <c r="A1363" t="s">
        <v>381</v>
      </c>
      <c r="B1363" t="s">
        <v>382</v>
      </c>
      <c r="C1363" t="s">
        <v>1710</v>
      </c>
      <c r="E1363">
        <v>5163</v>
      </c>
      <c r="F1363" t="s">
        <v>694</v>
      </c>
      <c r="G1363" t="s">
        <v>2697</v>
      </c>
      <c r="H1363" t="s">
        <v>965</v>
      </c>
      <c r="I1363">
        <v>77477</v>
      </c>
      <c r="J1363" t="s">
        <v>2698</v>
      </c>
      <c r="K1363">
        <v>7759994244</v>
      </c>
      <c r="M1363">
        <v>19500</v>
      </c>
      <c r="N1363">
        <v>19500</v>
      </c>
      <c r="O1363">
        <v>12</v>
      </c>
      <c r="P1363">
        <v>36</v>
      </c>
      <c r="Q1363">
        <v>19</v>
      </c>
    </row>
    <row r="1364" spans="1:17" x14ac:dyDescent="0.3">
      <c r="A1364" t="s">
        <v>501</v>
      </c>
      <c r="B1364" t="s">
        <v>502</v>
      </c>
      <c r="C1364" t="s">
        <v>1710</v>
      </c>
      <c r="E1364">
        <v>5076</v>
      </c>
      <c r="F1364" t="s">
        <v>646</v>
      </c>
      <c r="G1364" t="s">
        <v>2715</v>
      </c>
      <c r="H1364" t="s">
        <v>2716</v>
      </c>
      <c r="I1364">
        <v>84094</v>
      </c>
      <c r="J1364" t="s">
        <v>2717</v>
      </c>
      <c r="K1364">
        <v>8018360895</v>
      </c>
      <c r="M1364">
        <v>2100</v>
      </c>
      <c r="N1364">
        <v>2500</v>
      </c>
      <c r="O1364">
        <v>8</v>
      </c>
      <c r="P1364">
        <v>9</v>
      </c>
      <c r="Q1364">
        <v>7</v>
      </c>
    </row>
    <row r="1365" spans="1:17" x14ac:dyDescent="0.3">
      <c r="A1365" t="s">
        <v>531</v>
      </c>
      <c r="B1365" t="s">
        <v>2925</v>
      </c>
      <c r="C1365" t="s">
        <v>1710</v>
      </c>
      <c r="E1365">
        <v>5076</v>
      </c>
      <c r="F1365" t="s">
        <v>646</v>
      </c>
      <c r="G1365" t="s">
        <v>2715</v>
      </c>
      <c r="H1365" t="s">
        <v>2716</v>
      </c>
      <c r="I1365">
        <v>84094</v>
      </c>
      <c r="J1365" t="s">
        <v>2717</v>
      </c>
      <c r="K1365">
        <v>8018360895</v>
      </c>
      <c r="M1365">
        <v>4150</v>
      </c>
      <c r="N1365">
        <v>5200</v>
      </c>
      <c r="O1365">
        <v>13</v>
      </c>
      <c r="P1365">
        <v>6</v>
      </c>
      <c r="Q1365">
        <v>12</v>
      </c>
    </row>
    <row r="1366" spans="1:17" x14ac:dyDescent="0.3">
      <c r="A1366" t="s">
        <v>383</v>
      </c>
      <c r="B1366" t="s">
        <v>384</v>
      </c>
      <c r="C1366" t="s">
        <v>1710</v>
      </c>
      <c r="E1366">
        <v>5131</v>
      </c>
      <c r="F1366" t="s">
        <v>668</v>
      </c>
      <c r="G1366" t="s">
        <v>2610</v>
      </c>
      <c r="H1366" t="s">
        <v>965</v>
      </c>
      <c r="I1366">
        <v>77377</v>
      </c>
      <c r="J1366" t="s">
        <v>2611</v>
      </c>
      <c r="K1366">
        <v>7029605668</v>
      </c>
      <c r="M1366">
        <v>10500</v>
      </c>
      <c r="N1366">
        <v>14000</v>
      </c>
      <c r="O1366">
        <v>14</v>
      </c>
      <c r="P1366">
        <v>13</v>
      </c>
      <c r="Q1366">
        <v>6</v>
      </c>
    </row>
    <row r="1367" spans="1:17" x14ac:dyDescent="0.3">
      <c r="A1367" t="s">
        <v>385</v>
      </c>
      <c r="B1367" t="s">
        <v>386</v>
      </c>
      <c r="C1367" t="s">
        <v>1710</v>
      </c>
      <c r="E1367">
        <v>5133</v>
      </c>
      <c r="F1367" t="s">
        <v>696</v>
      </c>
      <c r="G1367" t="s">
        <v>2409</v>
      </c>
      <c r="H1367" t="s">
        <v>965</v>
      </c>
      <c r="I1367">
        <v>77459</v>
      </c>
      <c r="J1367" t="s">
        <v>2410</v>
      </c>
      <c r="K1367">
        <v>9792035411</v>
      </c>
      <c r="M1367">
        <v>17500</v>
      </c>
      <c r="N1367">
        <v>17500</v>
      </c>
      <c r="O1367">
        <v>34</v>
      </c>
      <c r="P1367">
        <v>94</v>
      </c>
      <c r="Q1367">
        <v>19</v>
      </c>
    </row>
    <row r="1368" spans="1:17" x14ac:dyDescent="0.3">
      <c r="A1368" t="s">
        <v>533</v>
      </c>
      <c r="B1368" t="s">
        <v>2926</v>
      </c>
      <c r="C1368" t="s">
        <v>1710</v>
      </c>
      <c r="E1368">
        <v>5076</v>
      </c>
      <c r="F1368" t="s">
        <v>646</v>
      </c>
      <c r="G1368" t="s">
        <v>2715</v>
      </c>
      <c r="H1368" t="s">
        <v>2716</v>
      </c>
      <c r="I1368">
        <v>84094</v>
      </c>
      <c r="J1368" t="s">
        <v>2717</v>
      </c>
      <c r="K1368">
        <v>8018360895</v>
      </c>
      <c r="M1368">
        <v>2100</v>
      </c>
      <c r="N1368">
        <v>2600</v>
      </c>
      <c r="O1368">
        <v>11</v>
      </c>
      <c r="P1368">
        <v>14</v>
      </c>
      <c r="Q1368">
        <v>9</v>
      </c>
    </row>
    <row r="1369" spans="1:17" x14ac:dyDescent="0.3">
      <c r="A1369" t="s">
        <v>387</v>
      </c>
      <c r="B1369" t="s">
        <v>388</v>
      </c>
      <c r="C1369" t="s">
        <v>1710</v>
      </c>
      <c r="E1369">
        <v>5076</v>
      </c>
      <c r="F1369" t="s">
        <v>646</v>
      </c>
      <c r="G1369" t="s">
        <v>2715</v>
      </c>
      <c r="H1369" t="s">
        <v>2716</v>
      </c>
      <c r="I1369">
        <v>84094</v>
      </c>
      <c r="J1369" t="s">
        <v>2717</v>
      </c>
      <c r="K1369">
        <v>8018360895</v>
      </c>
      <c r="M1369">
        <v>2800</v>
      </c>
      <c r="N1369">
        <v>4100</v>
      </c>
      <c r="O1369">
        <v>6</v>
      </c>
      <c r="P1369">
        <v>23</v>
      </c>
      <c r="Q1369">
        <v>7</v>
      </c>
    </row>
    <row r="1370" spans="1:17" x14ac:dyDescent="0.3">
      <c r="A1370" t="s">
        <v>389</v>
      </c>
      <c r="B1370" t="s">
        <v>390</v>
      </c>
      <c r="C1370" t="s">
        <v>1710</v>
      </c>
      <c r="E1370">
        <v>5076</v>
      </c>
      <c r="F1370" t="s">
        <v>646</v>
      </c>
      <c r="G1370" t="s">
        <v>2715</v>
      </c>
      <c r="H1370" t="s">
        <v>2716</v>
      </c>
      <c r="I1370">
        <v>84094</v>
      </c>
      <c r="J1370" t="s">
        <v>2717</v>
      </c>
      <c r="K1370">
        <v>8018360895</v>
      </c>
      <c r="M1370">
        <v>2500</v>
      </c>
      <c r="N1370">
        <v>3100</v>
      </c>
      <c r="O1370">
        <v>7</v>
      </c>
      <c r="P1370">
        <v>12</v>
      </c>
      <c r="Q1370">
        <v>8</v>
      </c>
    </row>
    <row r="1371" spans="1:17" x14ac:dyDescent="0.3">
      <c r="A1371" t="s">
        <v>535</v>
      </c>
      <c r="B1371" t="s">
        <v>2927</v>
      </c>
      <c r="C1371" t="s">
        <v>1710</v>
      </c>
      <c r="E1371">
        <v>5163</v>
      </c>
      <c r="F1371" t="s">
        <v>694</v>
      </c>
      <c r="G1371" t="s">
        <v>2697</v>
      </c>
      <c r="H1371" t="s">
        <v>965</v>
      </c>
      <c r="I1371">
        <v>77477</v>
      </c>
      <c r="J1371" t="s">
        <v>2698</v>
      </c>
      <c r="K1371">
        <v>7759994244</v>
      </c>
      <c r="M1371">
        <v>23500</v>
      </c>
      <c r="N1371">
        <v>24000</v>
      </c>
      <c r="O1371">
        <v>58</v>
      </c>
      <c r="P1371">
        <v>138</v>
      </c>
      <c r="Q1371">
        <v>46</v>
      </c>
    </row>
    <row r="1372" spans="1:17" x14ac:dyDescent="0.3">
      <c r="A1372" t="s">
        <v>391</v>
      </c>
      <c r="B1372" t="s">
        <v>392</v>
      </c>
      <c r="C1372" t="s">
        <v>1710</v>
      </c>
      <c r="E1372">
        <v>5075</v>
      </c>
      <c r="F1372" t="s">
        <v>662</v>
      </c>
      <c r="G1372" t="s">
        <v>2168</v>
      </c>
      <c r="H1372" t="s">
        <v>965</v>
      </c>
      <c r="I1372">
        <v>77477</v>
      </c>
      <c r="J1372" t="s">
        <v>2169</v>
      </c>
      <c r="M1372">
        <v>11500</v>
      </c>
      <c r="N1372">
        <v>11500</v>
      </c>
      <c r="O1372">
        <v>41</v>
      </c>
      <c r="P1372">
        <v>37</v>
      </c>
      <c r="Q1372">
        <v>23</v>
      </c>
    </row>
    <row r="1373" spans="1:17" x14ac:dyDescent="0.3">
      <c r="A1373" t="s">
        <v>537</v>
      </c>
      <c r="B1373" t="s">
        <v>2928</v>
      </c>
      <c r="C1373" t="s">
        <v>1710</v>
      </c>
      <c r="E1373">
        <v>5131</v>
      </c>
      <c r="F1373" t="s">
        <v>668</v>
      </c>
      <c r="G1373" t="s">
        <v>2610</v>
      </c>
      <c r="H1373" t="s">
        <v>965</v>
      </c>
      <c r="I1373">
        <v>77377</v>
      </c>
      <c r="J1373" t="s">
        <v>2611</v>
      </c>
      <c r="K1373">
        <v>7029605668</v>
      </c>
      <c r="M1373">
        <v>7750</v>
      </c>
      <c r="N1373">
        <v>11200</v>
      </c>
      <c r="O1373">
        <v>7</v>
      </c>
      <c r="P1373">
        <v>16</v>
      </c>
      <c r="Q1373">
        <v>12</v>
      </c>
    </row>
    <row r="1374" spans="1:17" x14ac:dyDescent="0.3">
      <c r="A1374" t="s">
        <v>393</v>
      </c>
      <c r="B1374" t="s">
        <v>2929</v>
      </c>
      <c r="C1374" t="s">
        <v>1710</v>
      </c>
      <c r="E1374">
        <v>5049</v>
      </c>
      <c r="F1374" t="s">
        <v>700</v>
      </c>
      <c r="G1374" t="s">
        <v>2210</v>
      </c>
      <c r="H1374" t="s">
        <v>965</v>
      </c>
      <c r="I1374">
        <v>77584</v>
      </c>
      <c r="J1374" t="s">
        <v>2211</v>
      </c>
      <c r="K1374">
        <v>8326489134</v>
      </c>
      <c r="M1374">
        <v>13900</v>
      </c>
      <c r="N1374">
        <v>13900</v>
      </c>
      <c r="O1374">
        <v>38</v>
      </c>
      <c r="P1374">
        <v>39</v>
      </c>
      <c r="Q1374">
        <v>24</v>
      </c>
    </row>
    <row r="1375" spans="1:17" x14ac:dyDescent="0.3">
      <c r="A1375" t="s">
        <v>539</v>
      </c>
      <c r="B1375" t="s">
        <v>2930</v>
      </c>
      <c r="C1375" t="s">
        <v>1710</v>
      </c>
      <c r="E1375">
        <v>5044</v>
      </c>
      <c r="F1375" t="s">
        <v>676</v>
      </c>
      <c r="G1375" t="s">
        <v>2860</v>
      </c>
      <c r="H1375" t="s">
        <v>965</v>
      </c>
      <c r="I1375">
        <v>77477</v>
      </c>
      <c r="J1375" t="s">
        <v>2861</v>
      </c>
      <c r="K1375">
        <v>7138945717</v>
      </c>
      <c r="M1375">
        <v>9250</v>
      </c>
      <c r="N1375">
        <v>9250</v>
      </c>
      <c r="O1375">
        <v>41</v>
      </c>
      <c r="P1375">
        <v>101</v>
      </c>
      <c r="Q1375">
        <v>46</v>
      </c>
    </row>
    <row r="1376" spans="1:17" x14ac:dyDescent="0.3">
      <c r="A1376" t="s">
        <v>395</v>
      </c>
      <c r="B1376" t="s">
        <v>396</v>
      </c>
      <c r="C1376" t="s">
        <v>1710</v>
      </c>
      <c r="E1376">
        <v>5131</v>
      </c>
      <c r="F1376" t="s">
        <v>668</v>
      </c>
      <c r="G1376" t="s">
        <v>2610</v>
      </c>
      <c r="H1376" t="s">
        <v>965</v>
      </c>
      <c r="I1376">
        <v>77377</v>
      </c>
      <c r="J1376" t="s">
        <v>2611</v>
      </c>
      <c r="K1376">
        <v>7029605668</v>
      </c>
      <c r="M1376">
        <v>13700</v>
      </c>
      <c r="N1376">
        <v>27000</v>
      </c>
      <c r="O1376">
        <v>5</v>
      </c>
      <c r="P1376">
        <v>38</v>
      </c>
      <c r="Q1376">
        <v>21</v>
      </c>
    </row>
    <row r="1377" spans="1:17" x14ac:dyDescent="0.3">
      <c r="A1377" t="s">
        <v>397</v>
      </c>
      <c r="B1377" t="s">
        <v>398</v>
      </c>
      <c r="C1377" t="s">
        <v>1710</v>
      </c>
      <c r="E1377">
        <v>5075</v>
      </c>
      <c r="F1377" t="s">
        <v>662</v>
      </c>
      <c r="G1377" t="s">
        <v>2168</v>
      </c>
      <c r="H1377" t="s">
        <v>965</v>
      </c>
      <c r="I1377">
        <v>77477</v>
      </c>
      <c r="J1377" t="s">
        <v>2169</v>
      </c>
      <c r="M1377">
        <v>16500</v>
      </c>
      <c r="N1377">
        <v>35200</v>
      </c>
      <c r="O1377">
        <v>9</v>
      </c>
      <c r="P1377">
        <v>74</v>
      </c>
      <c r="Q1377">
        <v>8</v>
      </c>
    </row>
    <row r="1378" spans="1:17" x14ac:dyDescent="0.3">
      <c r="A1378" t="s">
        <v>541</v>
      </c>
      <c r="B1378" t="s">
        <v>542</v>
      </c>
      <c r="C1378" t="s">
        <v>1710</v>
      </c>
      <c r="E1378">
        <v>5207</v>
      </c>
      <c r="F1378" t="s">
        <v>680</v>
      </c>
      <c r="G1378" t="s">
        <v>2869</v>
      </c>
      <c r="H1378" t="s">
        <v>965</v>
      </c>
      <c r="I1378">
        <v>77062</v>
      </c>
      <c r="J1378" t="s">
        <v>2870</v>
      </c>
      <c r="K1378">
        <v>2819482921</v>
      </c>
      <c r="M1378">
        <v>5500</v>
      </c>
      <c r="N1378">
        <v>5500</v>
      </c>
      <c r="O1378">
        <v>23</v>
      </c>
      <c r="P1378">
        <v>119</v>
      </c>
      <c r="Q1378">
        <v>40</v>
      </c>
    </row>
    <row r="1379" spans="1:17" x14ac:dyDescent="0.3">
      <c r="A1379" t="s">
        <v>543</v>
      </c>
      <c r="B1379" t="s">
        <v>2931</v>
      </c>
      <c r="C1379" t="s">
        <v>1710</v>
      </c>
      <c r="E1379">
        <v>5163</v>
      </c>
      <c r="F1379" t="s">
        <v>694</v>
      </c>
      <c r="G1379" t="s">
        <v>2697</v>
      </c>
      <c r="H1379" t="s">
        <v>965</v>
      </c>
      <c r="I1379">
        <v>77477</v>
      </c>
      <c r="J1379" t="s">
        <v>2698</v>
      </c>
      <c r="K1379">
        <v>7759994244</v>
      </c>
      <c r="M1379">
        <v>9250</v>
      </c>
      <c r="N1379">
        <v>9250</v>
      </c>
      <c r="O1379">
        <v>23</v>
      </c>
      <c r="P1379">
        <v>121</v>
      </c>
      <c r="Q1379">
        <v>20</v>
      </c>
    </row>
    <row r="1380" spans="1:17" x14ac:dyDescent="0.3">
      <c r="A1380" t="s">
        <v>545</v>
      </c>
      <c r="B1380" t="s">
        <v>2932</v>
      </c>
      <c r="C1380" t="s">
        <v>1710</v>
      </c>
      <c r="E1380">
        <v>5119</v>
      </c>
      <c r="F1380" t="s">
        <v>708</v>
      </c>
      <c r="G1380" t="s">
        <v>2933</v>
      </c>
      <c r="H1380" t="s">
        <v>965</v>
      </c>
      <c r="I1380">
        <v>77012</v>
      </c>
      <c r="J1380" t="s">
        <v>2934</v>
      </c>
      <c r="K1380">
        <v>2819246886</v>
      </c>
      <c r="M1380">
        <v>11000</v>
      </c>
      <c r="N1380">
        <v>11000</v>
      </c>
      <c r="O1380">
        <v>15</v>
      </c>
      <c r="P1380">
        <v>153</v>
      </c>
      <c r="Q1380">
        <v>31</v>
      </c>
    </row>
    <row r="1381" spans="1:17" x14ac:dyDescent="0.3">
      <c r="A1381" t="s">
        <v>547</v>
      </c>
      <c r="B1381" t="s">
        <v>548</v>
      </c>
      <c r="C1381" t="s">
        <v>1710</v>
      </c>
      <c r="E1381">
        <v>5185</v>
      </c>
      <c r="F1381" t="s">
        <v>683</v>
      </c>
      <c r="G1381" t="s">
        <v>1125</v>
      </c>
      <c r="H1381" t="s">
        <v>965</v>
      </c>
      <c r="I1381">
        <v>77017</v>
      </c>
      <c r="J1381" t="s">
        <v>1126</v>
      </c>
      <c r="K1381">
        <v>8322771242</v>
      </c>
      <c r="M1381">
        <v>11900</v>
      </c>
      <c r="N1381">
        <v>11900</v>
      </c>
      <c r="O1381">
        <v>38</v>
      </c>
      <c r="P1381">
        <v>77</v>
      </c>
      <c r="Q1381">
        <v>38</v>
      </c>
    </row>
    <row r="1382" spans="1:17" x14ac:dyDescent="0.3">
      <c r="A1382" t="s">
        <v>549</v>
      </c>
      <c r="B1382" t="s">
        <v>550</v>
      </c>
      <c r="C1382" t="s">
        <v>1710</v>
      </c>
      <c r="E1382">
        <v>5076</v>
      </c>
      <c r="F1382" t="s">
        <v>646</v>
      </c>
      <c r="G1382" t="s">
        <v>2715</v>
      </c>
      <c r="H1382" t="s">
        <v>2716</v>
      </c>
      <c r="I1382">
        <v>84094</v>
      </c>
      <c r="J1382" t="s">
        <v>2717</v>
      </c>
      <c r="K1382">
        <v>8018360895</v>
      </c>
      <c r="M1382">
        <v>2700</v>
      </c>
      <c r="N1382">
        <v>8800</v>
      </c>
      <c r="O1382">
        <v>9</v>
      </c>
      <c r="P1382">
        <v>59</v>
      </c>
      <c r="Q1382">
        <v>12</v>
      </c>
    </row>
    <row r="1383" spans="1:17" x14ac:dyDescent="0.3">
      <c r="A1383" t="s">
        <v>551</v>
      </c>
      <c r="B1383" t="s">
        <v>552</v>
      </c>
      <c r="C1383" t="s">
        <v>1710</v>
      </c>
      <c r="E1383">
        <v>5075</v>
      </c>
      <c r="F1383" t="s">
        <v>662</v>
      </c>
      <c r="G1383" t="s">
        <v>2168</v>
      </c>
      <c r="H1383" t="s">
        <v>965</v>
      </c>
      <c r="I1383">
        <v>77477</v>
      </c>
      <c r="J1383" t="s">
        <v>2169</v>
      </c>
      <c r="M1383">
        <v>8750</v>
      </c>
      <c r="N1383">
        <v>11000</v>
      </c>
      <c r="O1383">
        <v>7</v>
      </c>
      <c r="P1383">
        <v>25</v>
      </c>
      <c r="Q1383">
        <v>16</v>
      </c>
    </row>
    <row r="1384" spans="1:17" x14ac:dyDescent="0.3">
      <c r="A1384" t="s">
        <v>553</v>
      </c>
      <c r="B1384" t="s">
        <v>554</v>
      </c>
      <c r="C1384" t="s">
        <v>1710</v>
      </c>
      <c r="E1384">
        <v>5131</v>
      </c>
      <c r="F1384" t="s">
        <v>668</v>
      </c>
      <c r="G1384" t="s">
        <v>2610</v>
      </c>
      <c r="H1384" t="s">
        <v>965</v>
      </c>
      <c r="I1384">
        <v>77377</v>
      </c>
      <c r="J1384" t="s">
        <v>2611</v>
      </c>
      <c r="K1384">
        <v>7029605668</v>
      </c>
      <c r="M1384">
        <v>2250</v>
      </c>
      <c r="N1384">
        <v>2600</v>
      </c>
      <c r="O1384">
        <v>9</v>
      </c>
      <c r="P1384">
        <v>15</v>
      </c>
      <c r="Q1384">
        <v>10</v>
      </c>
    </row>
    <row r="1385" spans="1:17" x14ac:dyDescent="0.3">
      <c r="A1385" t="s">
        <v>555</v>
      </c>
      <c r="B1385" t="s">
        <v>556</v>
      </c>
      <c r="C1385" t="s">
        <v>1710</v>
      </c>
      <c r="E1385">
        <v>5131</v>
      </c>
      <c r="F1385" t="s">
        <v>668</v>
      </c>
      <c r="G1385" t="s">
        <v>2610</v>
      </c>
      <c r="H1385" t="s">
        <v>965</v>
      </c>
      <c r="I1385">
        <v>77377</v>
      </c>
      <c r="J1385" t="s">
        <v>2611</v>
      </c>
      <c r="K1385">
        <v>7029605668</v>
      </c>
      <c r="M1385">
        <v>7050</v>
      </c>
      <c r="N1385">
        <v>8050</v>
      </c>
      <c r="O1385">
        <v>6</v>
      </c>
      <c r="P1385">
        <v>44</v>
      </c>
      <c r="Q1385">
        <v>12</v>
      </c>
    </row>
    <row r="1386" spans="1:17" x14ac:dyDescent="0.3">
      <c r="A1386" t="s">
        <v>557</v>
      </c>
      <c r="B1386" t="s">
        <v>558</v>
      </c>
      <c r="C1386" t="s">
        <v>1710</v>
      </c>
      <c r="E1386">
        <v>5086</v>
      </c>
      <c r="F1386" t="s">
        <v>674</v>
      </c>
      <c r="G1386" t="s">
        <v>2854</v>
      </c>
      <c r="H1386" t="s">
        <v>965</v>
      </c>
      <c r="I1386">
        <v>77375</v>
      </c>
      <c r="J1386" t="s">
        <v>2855</v>
      </c>
      <c r="K1386">
        <v>2817279539</v>
      </c>
      <c r="M1386">
        <v>4600</v>
      </c>
      <c r="N1386">
        <v>4600</v>
      </c>
      <c r="O1386">
        <v>28</v>
      </c>
      <c r="P1386">
        <v>84</v>
      </c>
      <c r="Q1386">
        <v>20</v>
      </c>
    </row>
    <row r="1387" spans="1:17" x14ac:dyDescent="0.3">
      <c r="A1387" t="s">
        <v>560</v>
      </c>
      <c r="B1387" t="s">
        <v>561</v>
      </c>
      <c r="C1387" t="s">
        <v>1710</v>
      </c>
      <c r="E1387">
        <v>5131</v>
      </c>
      <c r="F1387" t="s">
        <v>668</v>
      </c>
      <c r="G1387" t="s">
        <v>2610</v>
      </c>
      <c r="H1387" t="s">
        <v>965</v>
      </c>
      <c r="I1387">
        <v>77377</v>
      </c>
      <c r="J1387" t="s">
        <v>2611</v>
      </c>
      <c r="K1387">
        <v>7029605668</v>
      </c>
      <c r="M1387">
        <v>40500</v>
      </c>
      <c r="N1387">
        <v>43000</v>
      </c>
      <c r="O1387">
        <v>37</v>
      </c>
      <c r="P1387">
        <v>51</v>
      </c>
      <c r="Q1387">
        <v>20</v>
      </c>
    </row>
    <row r="1388" spans="1:17" x14ac:dyDescent="0.3">
      <c r="A1388" t="s">
        <v>562</v>
      </c>
      <c r="B1388" t="s">
        <v>563</v>
      </c>
      <c r="C1388" t="s">
        <v>1710</v>
      </c>
      <c r="E1388">
        <v>5131</v>
      </c>
      <c r="F1388" t="s">
        <v>668</v>
      </c>
      <c r="G1388" t="s">
        <v>2610</v>
      </c>
      <c r="H1388" t="s">
        <v>965</v>
      </c>
      <c r="I1388">
        <v>77377</v>
      </c>
      <c r="J1388" t="s">
        <v>2611</v>
      </c>
      <c r="K1388">
        <v>7029605668</v>
      </c>
      <c r="M1388">
        <v>33500</v>
      </c>
      <c r="N1388">
        <v>37000</v>
      </c>
      <c r="O1388">
        <v>27</v>
      </c>
      <c r="P1388">
        <v>53</v>
      </c>
      <c r="Q1388">
        <v>28</v>
      </c>
    </row>
    <row r="1389" spans="1:17" x14ac:dyDescent="0.3">
      <c r="A1389" t="s">
        <v>564</v>
      </c>
      <c r="B1389" t="s">
        <v>565</v>
      </c>
      <c r="C1389" t="s">
        <v>1710</v>
      </c>
      <c r="E1389">
        <v>5131</v>
      </c>
      <c r="F1389" t="s">
        <v>668</v>
      </c>
      <c r="G1389" t="s">
        <v>2610</v>
      </c>
      <c r="H1389" t="s">
        <v>965</v>
      </c>
      <c r="I1389">
        <v>77377</v>
      </c>
      <c r="J1389" t="s">
        <v>2611</v>
      </c>
      <c r="K1389">
        <v>7029605668</v>
      </c>
      <c r="M1389">
        <v>19500</v>
      </c>
      <c r="N1389">
        <v>19500</v>
      </c>
      <c r="O1389">
        <v>16</v>
      </c>
      <c r="P1389">
        <v>31</v>
      </c>
      <c r="Q1389">
        <v>16</v>
      </c>
    </row>
    <row r="1390" spans="1:17" x14ac:dyDescent="0.3">
      <c r="A1390" t="s">
        <v>566</v>
      </c>
      <c r="B1390" t="s">
        <v>567</v>
      </c>
      <c r="C1390" t="s">
        <v>1710</v>
      </c>
      <c r="E1390">
        <v>5086</v>
      </c>
      <c r="F1390" t="s">
        <v>674</v>
      </c>
      <c r="G1390" t="s">
        <v>2854</v>
      </c>
      <c r="H1390" t="s">
        <v>965</v>
      </c>
      <c r="I1390">
        <v>77375</v>
      </c>
      <c r="J1390" t="s">
        <v>2855</v>
      </c>
      <c r="K1390">
        <v>2817279539</v>
      </c>
      <c r="M1390">
        <v>2600</v>
      </c>
      <c r="N1390">
        <v>3000</v>
      </c>
      <c r="O1390">
        <v>13</v>
      </c>
      <c r="P1390">
        <v>97</v>
      </c>
      <c r="Q1390">
        <v>12</v>
      </c>
    </row>
    <row r="1391" spans="1:17" x14ac:dyDescent="0.3">
      <c r="A1391" t="s">
        <v>585</v>
      </c>
      <c r="B1391" t="s">
        <v>586</v>
      </c>
      <c r="C1391" t="s">
        <v>1710</v>
      </c>
      <c r="E1391">
        <v>5131</v>
      </c>
      <c r="F1391" t="s">
        <v>668</v>
      </c>
      <c r="G1391" t="s">
        <v>2610</v>
      </c>
      <c r="H1391" t="s">
        <v>965</v>
      </c>
      <c r="I1391">
        <v>77377</v>
      </c>
      <c r="J1391" t="s">
        <v>2611</v>
      </c>
      <c r="K1391">
        <v>7029605668</v>
      </c>
      <c r="M1391">
        <v>23800</v>
      </c>
      <c r="N1391">
        <v>25000</v>
      </c>
      <c r="O1391">
        <v>19</v>
      </c>
      <c r="P1391">
        <v>33</v>
      </c>
      <c r="Q1391">
        <v>15</v>
      </c>
    </row>
    <row r="1392" spans="1:17" x14ac:dyDescent="0.3">
      <c r="A1392" t="s">
        <v>588</v>
      </c>
      <c r="B1392" t="s">
        <v>1422</v>
      </c>
      <c r="C1392" t="s">
        <v>1710</v>
      </c>
      <c r="E1392">
        <v>5223</v>
      </c>
      <c r="F1392" t="s">
        <v>709</v>
      </c>
      <c r="G1392" t="s">
        <v>1098</v>
      </c>
      <c r="H1392" t="s">
        <v>965</v>
      </c>
      <c r="I1392">
        <v>77478</v>
      </c>
      <c r="J1392" t="s">
        <v>1099</v>
      </c>
      <c r="K1392">
        <v>8325263666</v>
      </c>
      <c r="M1392">
        <v>6500</v>
      </c>
      <c r="N1392">
        <v>6500</v>
      </c>
      <c r="O1392">
        <v>42</v>
      </c>
      <c r="P1392">
        <v>100</v>
      </c>
      <c r="Q1392">
        <v>54</v>
      </c>
    </row>
    <row r="1393" spans="1:17" x14ac:dyDescent="0.3">
      <c r="A1393" t="s">
        <v>590</v>
      </c>
      <c r="B1393" t="s">
        <v>2052</v>
      </c>
      <c r="C1393" t="s">
        <v>1710</v>
      </c>
      <c r="E1393">
        <v>5075</v>
      </c>
      <c r="F1393" t="s">
        <v>662</v>
      </c>
      <c r="G1393" t="s">
        <v>2168</v>
      </c>
      <c r="H1393" t="s">
        <v>965</v>
      </c>
      <c r="I1393">
        <v>77477</v>
      </c>
      <c r="J1393" t="s">
        <v>2169</v>
      </c>
      <c r="M1393">
        <v>5550</v>
      </c>
      <c r="N1393">
        <v>7500</v>
      </c>
      <c r="O1393">
        <v>11</v>
      </c>
      <c r="P1393">
        <v>19</v>
      </c>
      <c r="Q1393">
        <v>10</v>
      </c>
    </row>
    <row r="1394" spans="1:17" x14ac:dyDescent="0.3">
      <c r="A1394" t="s">
        <v>592</v>
      </c>
      <c r="B1394" t="s">
        <v>593</v>
      </c>
      <c r="C1394" t="s">
        <v>1710</v>
      </c>
      <c r="E1394">
        <v>5075</v>
      </c>
      <c r="F1394" t="s">
        <v>662</v>
      </c>
      <c r="G1394" t="s">
        <v>2168</v>
      </c>
      <c r="H1394" t="s">
        <v>965</v>
      </c>
      <c r="I1394">
        <v>77477</v>
      </c>
      <c r="J1394" t="s">
        <v>2169</v>
      </c>
      <c r="M1394">
        <v>9000</v>
      </c>
      <c r="N1394">
        <v>10000</v>
      </c>
      <c r="O1394">
        <v>42</v>
      </c>
      <c r="P1394">
        <v>88</v>
      </c>
      <c r="Q1394">
        <v>29</v>
      </c>
    </row>
    <row r="1395" spans="1:17" x14ac:dyDescent="0.3">
      <c r="A1395" t="s">
        <v>594</v>
      </c>
      <c r="B1395" t="s">
        <v>595</v>
      </c>
      <c r="C1395" t="s">
        <v>1710</v>
      </c>
      <c r="E1395">
        <v>5076</v>
      </c>
      <c r="F1395" t="s">
        <v>646</v>
      </c>
      <c r="G1395" t="s">
        <v>2715</v>
      </c>
      <c r="H1395" t="s">
        <v>2716</v>
      </c>
      <c r="I1395">
        <v>84094</v>
      </c>
      <c r="J1395" t="s">
        <v>2717</v>
      </c>
      <c r="K1395">
        <v>8018360895</v>
      </c>
      <c r="M1395">
        <v>7750</v>
      </c>
      <c r="N1395">
        <v>8800</v>
      </c>
      <c r="O1395">
        <v>8</v>
      </c>
      <c r="P1395">
        <v>22</v>
      </c>
      <c r="Q1395">
        <v>7</v>
      </c>
    </row>
    <row r="1396" spans="1:17" x14ac:dyDescent="0.3">
      <c r="A1396" t="s">
        <v>598</v>
      </c>
      <c r="B1396" t="s">
        <v>599</v>
      </c>
      <c r="C1396" t="s">
        <v>1710</v>
      </c>
      <c r="E1396">
        <v>5075</v>
      </c>
      <c r="F1396" t="s">
        <v>662</v>
      </c>
      <c r="G1396" t="s">
        <v>2168</v>
      </c>
      <c r="H1396" t="s">
        <v>965</v>
      </c>
      <c r="I1396">
        <v>77477</v>
      </c>
      <c r="J1396" t="s">
        <v>2169</v>
      </c>
      <c r="M1396">
        <v>3800</v>
      </c>
      <c r="N1396">
        <v>5600</v>
      </c>
      <c r="O1396">
        <v>12</v>
      </c>
      <c r="P1396">
        <v>25</v>
      </c>
      <c r="Q1396">
        <v>8</v>
      </c>
    </row>
    <row r="1397" spans="1:17" x14ac:dyDescent="0.3">
      <c r="A1397" t="s">
        <v>600</v>
      </c>
      <c r="B1397" t="s">
        <v>601</v>
      </c>
      <c r="C1397" t="s">
        <v>1710</v>
      </c>
      <c r="E1397">
        <v>5076</v>
      </c>
      <c r="F1397" t="s">
        <v>646</v>
      </c>
      <c r="G1397" t="s">
        <v>2715</v>
      </c>
      <c r="H1397" t="s">
        <v>2716</v>
      </c>
      <c r="I1397">
        <v>84094</v>
      </c>
      <c r="J1397" t="s">
        <v>2717</v>
      </c>
      <c r="K1397">
        <v>8018360895</v>
      </c>
      <c r="M1397">
        <v>2850</v>
      </c>
      <c r="N1397">
        <v>3600</v>
      </c>
      <c r="O1397">
        <v>5</v>
      </c>
      <c r="P1397">
        <v>25</v>
      </c>
      <c r="Q1397">
        <v>11</v>
      </c>
    </row>
    <row r="1398" spans="1:17" x14ac:dyDescent="0.3">
      <c r="A1398" t="s">
        <v>602</v>
      </c>
      <c r="B1398" t="s">
        <v>603</v>
      </c>
      <c r="C1398" t="s">
        <v>1710</v>
      </c>
      <c r="E1398">
        <v>5076</v>
      </c>
      <c r="F1398" t="s">
        <v>646</v>
      </c>
      <c r="G1398" t="s">
        <v>2715</v>
      </c>
      <c r="H1398" t="s">
        <v>2716</v>
      </c>
      <c r="I1398">
        <v>84094</v>
      </c>
      <c r="J1398" t="s">
        <v>2717</v>
      </c>
      <c r="K1398">
        <v>8018360895</v>
      </c>
      <c r="M1398">
        <v>1850</v>
      </c>
      <c r="N1398">
        <v>3600</v>
      </c>
      <c r="O1398">
        <v>11</v>
      </c>
      <c r="P1398">
        <v>17</v>
      </c>
      <c r="Q1398">
        <v>6</v>
      </c>
    </row>
    <row r="1399" spans="1:17" x14ac:dyDescent="0.3">
      <c r="A1399" t="s">
        <v>606</v>
      </c>
      <c r="B1399" t="s">
        <v>607</v>
      </c>
      <c r="C1399" t="s">
        <v>1710</v>
      </c>
      <c r="E1399">
        <v>5075</v>
      </c>
      <c r="F1399" t="s">
        <v>662</v>
      </c>
      <c r="G1399" t="s">
        <v>2168</v>
      </c>
      <c r="H1399" t="s">
        <v>965</v>
      </c>
      <c r="I1399">
        <v>77477</v>
      </c>
      <c r="J1399" t="s">
        <v>2169</v>
      </c>
      <c r="M1399">
        <v>4500</v>
      </c>
      <c r="N1399">
        <v>5450</v>
      </c>
      <c r="O1399">
        <v>17</v>
      </c>
      <c r="P1399">
        <v>57</v>
      </c>
      <c r="Q1399">
        <v>8</v>
      </c>
    </row>
    <row r="1400" spans="1:17" x14ac:dyDescent="0.3">
      <c r="A1400" t="s">
        <v>608</v>
      </c>
      <c r="B1400" t="s">
        <v>609</v>
      </c>
      <c r="C1400" t="s">
        <v>1710</v>
      </c>
      <c r="E1400">
        <v>5075</v>
      </c>
      <c r="F1400" t="s">
        <v>662</v>
      </c>
      <c r="G1400" t="s">
        <v>2168</v>
      </c>
      <c r="H1400" t="s">
        <v>965</v>
      </c>
      <c r="I1400">
        <v>77477</v>
      </c>
      <c r="J1400" t="s">
        <v>2169</v>
      </c>
      <c r="M1400">
        <v>4200</v>
      </c>
      <c r="N1400">
        <v>6100</v>
      </c>
      <c r="O1400">
        <v>4</v>
      </c>
      <c r="P1400">
        <v>13</v>
      </c>
      <c r="Q1400">
        <v>7</v>
      </c>
    </row>
    <row r="1401" spans="1:17" x14ac:dyDescent="0.3">
      <c r="A1401" t="s">
        <v>610</v>
      </c>
      <c r="B1401" t="s">
        <v>611</v>
      </c>
      <c r="C1401" t="s">
        <v>1710</v>
      </c>
      <c r="E1401">
        <v>5151</v>
      </c>
      <c r="F1401" t="s">
        <v>710</v>
      </c>
      <c r="G1401" t="s">
        <v>2935</v>
      </c>
      <c r="H1401" t="s">
        <v>965</v>
      </c>
      <c r="I1401">
        <v>77534</v>
      </c>
      <c r="J1401" t="s">
        <v>2936</v>
      </c>
      <c r="K1401">
        <v>9792154421</v>
      </c>
      <c r="M1401">
        <v>2600</v>
      </c>
      <c r="N1401">
        <v>2600</v>
      </c>
      <c r="O1401">
        <v>46</v>
      </c>
      <c r="P1401">
        <v>116</v>
      </c>
      <c r="Q1401">
        <v>18</v>
      </c>
    </row>
    <row r="1402" spans="1:17" x14ac:dyDescent="0.3">
      <c r="A1402" t="s">
        <v>612</v>
      </c>
      <c r="B1402" t="s">
        <v>613</v>
      </c>
      <c r="C1402" t="s">
        <v>1710</v>
      </c>
      <c r="E1402">
        <v>5163</v>
      </c>
      <c r="F1402" t="s">
        <v>694</v>
      </c>
      <c r="G1402" t="s">
        <v>2697</v>
      </c>
      <c r="H1402" t="s">
        <v>965</v>
      </c>
      <c r="I1402">
        <v>77477</v>
      </c>
      <c r="J1402" t="s">
        <v>2698</v>
      </c>
      <c r="K1402">
        <v>7759994244</v>
      </c>
      <c r="M1402">
        <v>6250</v>
      </c>
      <c r="N1402">
        <v>7250</v>
      </c>
      <c r="O1402">
        <v>33</v>
      </c>
      <c r="P1402">
        <v>36</v>
      </c>
      <c r="Q1402">
        <v>21</v>
      </c>
    </row>
    <row r="1403" spans="1:17" x14ac:dyDescent="0.3">
      <c r="A1403" t="s">
        <v>617</v>
      </c>
      <c r="B1403" t="s">
        <v>618</v>
      </c>
      <c r="C1403" t="s">
        <v>1710</v>
      </c>
      <c r="E1403">
        <v>5191</v>
      </c>
      <c r="F1403" t="s">
        <v>711</v>
      </c>
      <c r="G1403" t="s">
        <v>2937</v>
      </c>
      <c r="H1403" t="s">
        <v>965</v>
      </c>
      <c r="I1403">
        <v>76543</v>
      </c>
      <c r="J1403" t="s">
        <v>2938</v>
      </c>
      <c r="K1403" t="s">
        <v>2939</v>
      </c>
      <c r="M1403">
        <v>8100</v>
      </c>
      <c r="N1403">
        <v>8100</v>
      </c>
      <c r="O1403">
        <v>14</v>
      </c>
      <c r="P1403">
        <v>30</v>
      </c>
      <c r="Q1403">
        <v>12</v>
      </c>
    </row>
    <row r="1404" spans="1:17" x14ac:dyDescent="0.3">
      <c r="A1404" t="s">
        <v>619</v>
      </c>
      <c r="B1404" t="s">
        <v>620</v>
      </c>
      <c r="C1404" t="s">
        <v>1710</v>
      </c>
      <c r="E1404">
        <v>5075</v>
      </c>
      <c r="F1404" t="s">
        <v>662</v>
      </c>
      <c r="G1404" t="s">
        <v>2168</v>
      </c>
      <c r="H1404" t="s">
        <v>965</v>
      </c>
      <c r="I1404">
        <v>77477</v>
      </c>
      <c r="J1404" t="s">
        <v>2169</v>
      </c>
      <c r="M1404">
        <v>3199</v>
      </c>
      <c r="N1404">
        <v>3199</v>
      </c>
      <c r="O1404">
        <v>27</v>
      </c>
      <c r="P1404">
        <v>36</v>
      </c>
      <c r="Q1404">
        <v>21</v>
      </c>
    </row>
    <row r="1405" spans="1:17" x14ac:dyDescent="0.3">
      <c r="A1405" t="s">
        <v>467</v>
      </c>
      <c r="B1405" t="s">
        <v>468</v>
      </c>
      <c r="C1405" t="s">
        <v>1710</v>
      </c>
      <c r="E1405">
        <v>5224</v>
      </c>
      <c r="F1405" t="s">
        <v>712</v>
      </c>
      <c r="G1405" t="s">
        <v>2685</v>
      </c>
      <c r="H1405" t="s">
        <v>965</v>
      </c>
      <c r="I1405">
        <v>77060</v>
      </c>
      <c r="J1405" t="s">
        <v>2686</v>
      </c>
      <c r="K1405">
        <v>8323910451</v>
      </c>
      <c r="M1405">
        <v>14500</v>
      </c>
      <c r="N1405">
        <v>14500</v>
      </c>
      <c r="O1405">
        <v>42</v>
      </c>
      <c r="P1405">
        <v>184</v>
      </c>
      <c r="Q1405">
        <v>39</v>
      </c>
    </row>
    <row r="1406" spans="1:17" x14ac:dyDescent="0.3">
      <c r="A1406" t="s">
        <v>466</v>
      </c>
      <c r="B1406" t="s">
        <v>465</v>
      </c>
      <c r="C1406" t="s">
        <v>1710</v>
      </c>
      <c r="E1406">
        <v>5167</v>
      </c>
      <c r="F1406" t="s">
        <v>684</v>
      </c>
      <c r="G1406" t="s">
        <v>2874</v>
      </c>
      <c r="H1406" t="s">
        <v>965</v>
      </c>
      <c r="I1406">
        <v>77546</v>
      </c>
      <c r="J1406" t="s">
        <v>2875</v>
      </c>
      <c r="K1406">
        <v>2812364575</v>
      </c>
      <c r="M1406">
        <v>44000</v>
      </c>
      <c r="N1406">
        <v>44000</v>
      </c>
      <c r="O1406">
        <v>52</v>
      </c>
      <c r="P1406">
        <v>164</v>
      </c>
      <c r="Q1406">
        <v>57</v>
      </c>
    </row>
  </sheetData>
  <autoFilter ref="A1:Q1" xr:uid="{39252495-D07B-4163-AB46-2A8AD9240794}"/>
  <phoneticPr fontId="2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V203"/>
  <sheetViews>
    <sheetView zoomScale="70" zoomScaleNormal="70" workbookViewId="0">
      <pane ySplit="1" topLeftCell="A2" activePane="bottomLeft" state="frozen"/>
      <selection pane="bottomLeft" activeCell="V97" sqref="V97"/>
    </sheetView>
  </sheetViews>
  <sheetFormatPr defaultRowHeight="15.05" x14ac:dyDescent="0.3"/>
  <cols>
    <col min="1" max="1" width="10.21875" style="3" bestFit="1" customWidth="1"/>
    <col min="2" max="2" width="56.21875" customWidth="1"/>
    <col min="3" max="3" width="7.21875" bestFit="1" customWidth="1"/>
    <col min="4" max="4" width="5.33203125" customWidth="1"/>
    <col min="5" max="5" width="10.109375" style="5" bestFit="1" customWidth="1"/>
    <col min="6" max="6" width="16.33203125" customWidth="1"/>
    <col min="7" max="7" width="8.88671875" style="21"/>
    <col min="8" max="8" width="8.88671875" style="18"/>
    <col min="9" max="9" width="8.88671875" style="21"/>
    <col min="10" max="10" width="8.88671875" style="19"/>
    <col min="11" max="11" width="0" style="5" hidden="1" customWidth="1"/>
    <col min="12" max="13" width="9.44140625" style="5" hidden="1" customWidth="1"/>
    <col min="14" max="14" width="9" hidden="1" customWidth="1"/>
    <col min="15" max="15" width="10.44140625" hidden="1" customWidth="1"/>
    <col min="16" max="16" width="8.88671875" hidden="1" customWidth="1"/>
    <col min="17" max="17" width="10.33203125" style="5" hidden="1" customWidth="1"/>
    <col min="18" max="18" width="21.88671875" customWidth="1"/>
    <col min="20" max="20" width="8.88671875" style="5"/>
    <col min="22" max="22" width="13.21875" style="24" customWidth="1"/>
  </cols>
  <sheetData>
    <row r="1" spans="1:22" x14ac:dyDescent="0.3">
      <c r="A1" s="3" t="s">
        <v>262</v>
      </c>
      <c r="B1" t="s">
        <v>263</v>
      </c>
      <c r="C1" t="s">
        <v>621</v>
      </c>
      <c r="D1" t="s">
        <v>264</v>
      </c>
      <c r="E1" s="5" t="s">
        <v>265</v>
      </c>
      <c r="F1" t="s">
        <v>622</v>
      </c>
      <c r="G1" s="17" t="s">
        <v>635</v>
      </c>
      <c r="H1" s="18" t="s">
        <v>636</v>
      </c>
      <c r="I1" s="19" t="s">
        <v>637</v>
      </c>
      <c r="J1" s="12" t="s">
        <v>638</v>
      </c>
      <c r="K1" s="12"/>
      <c r="L1" s="2" t="s">
        <v>652</v>
      </c>
      <c r="M1" s="2" t="s">
        <v>653</v>
      </c>
      <c r="N1" s="4" t="s">
        <v>640</v>
      </c>
      <c r="O1" s="4" t="s">
        <v>641</v>
      </c>
      <c r="P1" s="4" t="s">
        <v>647</v>
      </c>
      <c r="Q1" s="6" t="s">
        <v>648</v>
      </c>
      <c r="R1" s="4" t="s">
        <v>655</v>
      </c>
      <c r="S1" s="4" t="s">
        <v>654</v>
      </c>
      <c r="T1" s="6" t="s">
        <v>656</v>
      </c>
      <c r="U1" s="4" t="s">
        <v>657</v>
      </c>
      <c r="V1" s="23" t="s">
        <v>713</v>
      </c>
    </row>
    <row r="2" spans="1:22" hidden="1" x14ac:dyDescent="0.3">
      <c r="A2" s="25" t="s">
        <v>350</v>
      </c>
      <c r="B2" t="s">
        <v>351</v>
      </c>
      <c r="C2">
        <v>138</v>
      </c>
      <c r="D2" t="s">
        <v>268</v>
      </c>
      <c r="E2" s="8">
        <v>4799</v>
      </c>
      <c r="F2" t="s">
        <v>625</v>
      </c>
      <c r="G2" s="20">
        <v>7.0000000000000007E-2</v>
      </c>
      <c r="H2" s="18">
        <f t="shared" ref="H2:H65" si="0">G2*E2</f>
        <v>335.93</v>
      </c>
      <c r="I2" s="20">
        <v>0.1</v>
      </c>
      <c r="J2" s="19">
        <f t="shared" ref="J2:J11" si="1">H2+E2*I2</f>
        <v>815.83</v>
      </c>
      <c r="K2" s="14">
        <f t="shared" ref="K2:K8" si="2">H2</f>
        <v>335.93</v>
      </c>
      <c r="L2" s="5">
        <v>160</v>
      </c>
      <c r="R2" s="16" t="s">
        <v>668</v>
      </c>
      <c r="S2">
        <v>106250</v>
      </c>
      <c r="T2" s="5">
        <f>S2/100</f>
        <v>1062.5</v>
      </c>
      <c r="U2" s="27">
        <f t="shared" ref="U2:U65" si="3">T2-H2</f>
        <v>726.56999999999994</v>
      </c>
      <c r="V2"/>
    </row>
    <row r="3" spans="1:22" hidden="1" x14ac:dyDescent="0.3">
      <c r="A3" s="25" t="s">
        <v>352</v>
      </c>
      <c r="B3" t="s">
        <v>353</v>
      </c>
      <c r="C3">
        <v>139</v>
      </c>
      <c r="D3" t="s">
        <v>268</v>
      </c>
      <c r="E3" s="8">
        <v>2299</v>
      </c>
      <c r="F3" t="s">
        <v>625</v>
      </c>
      <c r="G3" s="20">
        <v>7.0000000000000007E-2</v>
      </c>
      <c r="H3" s="18">
        <f t="shared" si="0"/>
        <v>160.93</v>
      </c>
      <c r="I3" s="20">
        <v>0.1</v>
      </c>
      <c r="J3" s="19">
        <f t="shared" si="1"/>
        <v>390.83000000000004</v>
      </c>
      <c r="K3" s="14">
        <f t="shared" si="2"/>
        <v>160.93</v>
      </c>
      <c r="L3" s="5">
        <v>80</v>
      </c>
      <c r="R3" s="16" t="s">
        <v>668</v>
      </c>
      <c r="S3">
        <v>57000</v>
      </c>
      <c r="T3" s="5">
        <f t="shared" ref="T3:T65" si="4">S3/100</f>
        <v>570</v>
      </c>
      <c r="U3" s="27">
        <f t="shared" si="3"/>
        <v>409.07</v>
      </c>
      <c r="V3"/>
    </row>
    <row r="4" spans="1:22" hidden="1" x14ac:dyDescent="0.3">
      <c r="A4" s="25" t="s">
        <v>334</v>
      </c>
      <c r="B4" t="s">
        <v>335</v>
      </c>
      <c r="C4">
        <v>122</v>
      </c>
      <c r="D4" t="s">
        <v>283</v>
      </c>
      <c r="E4" s="8">
        <v>2199</v>
      </c>
      <c r="F4" t="s">
        <v>630</v>
      </c>
      <c r="G4" s="20">
        <v>0.08</v>
      </c>
      <c r="H4" s="18">
        <f t="shared" si="0"/>
        <v>175.92000000000002</v>
      </c>
      <c r="I4" s="20">
        <v>0.05</v>
      </c>
      <c r="J4" s="19">
        <f t="shared" si="1"/>
        <v>285.87</v>
      </c>
      <c r="K4" s="14">
        <f t="shared" si="2"/>
        <v>175.92000000000002</v>
      </c>
      <c r="L4" s="5">
        <v>88</v>
      </c>
      <c r="R4" s="16" t="s">
        <v>694</v>
      </c>
      <c r="S4">
        <v>43600</v>
      </c>
      <c r="T4" s="5">
        <f t="shared" si="4"/>
        <v>436</v>
      </c>
      <c r="U4" s="27">
        <f t="shared" si="3"/>
        <v>260.08</v>
      </c>
      <c r="V4"/>
    </row>
    <row r="5" spans="1:22" hidden="1" x14ac:dyDescent="0.3">
      <c r="A5" s="25" t="s">
        <v>344</v>
      </c>
      <c r="B5" t="s">
        <v>345</v>
      </c>
      <c r="C5">
        <v>133</v>
      </c>
      <c r="D5" t="s">
        <v>283</v>
      </c>
      <c r="E5" s="8">
        <v>1599</v>
      </c>
      <c r="F5" t="s">
        <v>627</v>
      </c>
      <c r="G5" s="20">
        <v>0.12</v>
      </c>
      <c r="H5" s="18">
        <f t="shared" si="0"/>
        <v>191.88</v>
      </c>
      <c r="I5" s="20">
        <v>0.05</v>
      </c>
      <c r="J5" s="19">
        <f t="shared" si="1"/>
        <v>271.83</v>
      </c>
      <c r="K5" s="1">
        <f t="shared" si="2"/>
        <v>191.88</v>
      </c>
      <c r="L5" s="5">
        <v>128</v>
      </c>
      <c r="R5" s="16" t="s">
        <v>694</v>
      </c>
      <c r="S5">
        <v>33700</v>
      </c>
      <c r="T5" s="5">
        <f t="shared" si="4"/>
        <v>337</v>
      </c>
      <c r="U5" s="27">
        <f t="shared" si="3"/>
        <v>145.12</v>
      </c>
      <c r="V5"/>
    </row>
    <row r="6" spans="1:22" hidden="1" x14ac:dyDescent="0.3">
      <c r="A6" s="25" t="s">
        <v>535</v>
      </c>
      <c r="B6" t="s">
        <v>536</v>
      </c>
      <c r="C6">
        <v>168</v>
      </c>
      <c r="D6" t="s">
        <v>283</v>
      </c>
      <c r="E6" s="8">
        <v>1089</v>
      </c>
      <c r="F6" t="s">
        <v>628</v>
      </c>
      <c r="G6" s="20">
        <v>0.12</v>
      </c>
      <c r="H6" s="18">
        <f t="shared" si="0"/>
        <v>130.68</v>
      </c>
      <c r="I6" s="20">
        <v>0.1</v>
      </c>
      <c r="J6" s="19">
        <f t="shared" si="1"/>
        <v>239.58</v>
      </c>
      <c r="K6" s="1">
        <f t="shared" si="2"/>
        <v>130.68</v>
      </c>
      <c r="L6" s="5">
        <v>87</v>
      </c>
      <c r="R6" s="16" t="s">
        <v>694</v>
      </c>
      <c r="S6">
        <v>23500</v>
      </c>
      <c r="T6" s="5">
        <f t="shared" si="4"/>
        <v>235</v>
      </c>
      <c r="U6" s="27">
        <f t="shared" si="3"/>
        <v>104.32</v>
      </c>
      <c r="V6"/>
    </row>
    <row r="7" spans="1:22" hidden="1" x14ac:dyDescent="0.3">
      <c r="A7" s="3" t="s">
        <v>410</v>
      </c>
      <c r="B7" t="s">
        <v>411</v>
      </c>
      <c r="C7">
        <v>81</v>
      </c>
      <c r="D7" t="s">
        <v>283</v>
      </c>
      <c r="E7" s="8">
        <v>2099</v>
      </c>
      <c r="F7" t="s">
        <v>625</v>
      </c>
      <c r="G7" s="20">
        <v>0.12</v>
      </c>
      <c r="H7" s="18">
        <f t="shared" si="0"/>
        <v>251.88</v>
      </c>
      <c r="I7" s="20">
        <v>0.1</v>
      </c>
      <c r="J7" s="19">
        <f t="shared" si="1"/>
        <v>461.78</v>
      </c>
      <c r="K7" s="14">
        <f t="shared" si="2"/>
        <v>251.88</v>
      </c>
      <c r="L7" s="5">
        <v>126</v>
      </c>
      <c r="R7" s="16" t="s">
        <v>694</v>
      </c>
      <c r="S7">
        <v>33833</v>
      </c>
      <c r="T7" s="5">
        <f t="shared" si="4"/>
        <v>338.33</v>
      </c>
      <c r="U7" s="28">
        <f t="shared" si="3"/>
        <v>86.449999999999989</v>
      </c>
      <c r="V7"/>
    </row>
    <row r="8" spans="1:22" hidden="1" x14ac:dyDescent="0.3">
      <c r="A8" s="3" t="s">
        <v>424</v>
      </c>
      <c r="B8" t="s">
        <v>425</v>
      </c>
      <c r="C8">
        <v>91</v>
      </c>
      <c r="D8" t="s">
        <v>268</v>
      </c>
      <c r="E8" s="8">
        <v>711</v>
      </c>
      <c r="F8" t="s">
        <v>623</v>
      </c>
      <c r="G8" s="20">
        <v>7.0000000000000007E-2</v>
      </c>
      <c r="H8" s="18">
        <f t="shared" si="0"/>
        <v>49.77</v>
      </c>
      <c r="I8" s="20">
        <v>0.1</v>
      </c>
      <c r="J8" s="19">
        <f t="shared" si="1"/>
        <v>120.87</v>
      </c>
      <c r="K8" s="1">
        <f t="shared" si="2"/>
        <v>49.77</v>
      </c>
      <c r="L8" s="5">
        <v>33</v>
      </c>
      <c r="R8" s="16" t="s">
        <v>694</v>
      </c>
      <c r="S8">
        <v>9250</v>
      </c>
      <c r="T8" s="5">
        <f t="shared" si="4"/>
        <v>92.5</v>
      </c>
      <c r="U8" s="26">
        <f t="shared" si="3"/>
        <v>42.73</v>
      </c>
      <c r="V8"/>
    </row>
    <row r="9" spans="1:22" hidden="1" x14ac:dyDescent="0.3">
      <c r="A9" s="9" t="s">
        <v>473</v>
      </c>
      <c r="B9" t="s">
        <v>474</v>
      </c>
      <c r="C9">
        <v>111</v>
      </c>
      <c r="D9" t="s">
        <v>283</v>
      </c>
      <c r="E9" s="8">
        <v>1400</v>
      </c>
      <c r="F9" t="s">
        <v>627</v>
      </c>
      <c r="G9" s="20">
        <v>0.12</v>
      </c>
      <c r="H9" s="18">
        <f t="shared" si="0"/>
        <v>168</v>
      </c>
      <c r="I9" s="20">
        <v>0.05</v>
      </c>
      <c r="J9" s="19">
        <f t="shared" si="1"/>
        <v>238</v>
      </c>
      <c r="K9" s="15">
        <f>H9/1.5</f>
        <v>112</v>
      </c>
      <c r="L9" s="5">
        <v>100</v>
      </c>
      <c r="R9" s="16" t="s">
        <v>694</v>
      </c>
      <c r="S9">
        <v>20500</v>
      </c>
      <c r="T9" s="5">
        <f t="shared" si="4"/>
        <v>205</v>
      </c>
      <c r="U9" s="26">
        <f t="shared" si="3"/>
        <v>37</v>
      </c>
      <c r="V9"/>
    </row>
    <row r="10" spans="1:22" hidden="1" x14ac:dyDescent="0.3">
      <c r="A10" s="3" t="s">
        <v>516</v>
      </c>
      <c r="B10" t="s">
        <v>517</v>
      </c>
      <c r="C10">
        <v>144</v>
      </c>
      <c r="D10" t="s">
        <v>374</v>
      </c>
      <c r="E10" s="5">
        <v>160</v>
      </c>
      <c r="F10" t="s">
        <v>623</v>
      </c>
      <c r="G10" s="20">
        <v>0.12</v>
      </c>
      <c r="H10" s="18">
        <f t="shared" si="0"/>
        <v>19.2</v>
      </c>
      <c r="I10" s="20">
        <v>0.1</v>
      </c>
      <c r="J10" s="19">
        <f t="shared" si="1"/>
        <v>35.200000000000003</v>
      </c>
      <c r="K10" s="5">
        <f t="shared" ref="K10:K15" si="5">H10</f>
        <v>19.2</v>
      </c>
      <c r="R10" s="16" t="s">
        <v>694</v>
      </c>
      <c r="S10">
        <v>5550</v>
      </c>
      <c r="T10" s="5">
        <f t="shared" si="4"/>
        <v>55.5</v>
      </c>
      <c r="U10" s="26">
        <f t="shared" si="3"/>
        <v>36.299999999999997</v>
      </c>
      <c r="V10"/>
    </row>
    <row r="11" spans="1:22" hidden="1" x14ac:dyDescent="0.3">
      <c r="A11" s="3" t="s">
        <v>332</v>
      </c>
      <c r="B11" t="s">
        <v>333</v>
      </c>
      <c r="C11">
        <v>120</v>
      </c>
      <c r="D11" t="s">
        <v>283</v>
      </c>
      <c r="E11" s="8">
        <v>370</v>
      </c>
      <c r="F11" t="s">
        <v>627</v>
      </c>
      <c r="G11" s="20">
        <v>0.12</v>
      </c>
      <c r="H11" s="18">
        <f t="shared" si="0"/>
        <v>44.4</v>
      </c>
      <c r="I11" s="20">
        <v>0.05</v>
      </c>
      <c r="J11" s="19">
        <f t="shared" si="1"/>
        <v>62.9</v>
      </c>
      <c r="K11" s="13">
        <f t="shared" si="5"/>
        <v>44.4</v>
      </c>
      <c r="R11" s="16" t="s">
        <v>694</v>
      </c>
      <c r="S11">
        <v>8000</v>
      </c>
      <c r="T11" s="5">
        <f t="shared" si="4"/>
        <v>80</v>
      </c>
      <c r="U11" s="26">
        <f t="shared" si="3"/>
        <v>35.6</v>
      </c>
      <c r="V11"/>
    </row>
    <row r="12" spans="1:22" hidden="1" x14ac:dyDescent="0.3">
      <c r="A12" s="3" t="s">
        <v>477</v>
      </c>
      <c r="B12" t="s">
        <v>478</v>
      </c>
      <c r="C12">
        <v>89</v>
      </c>
      <c r="D12" t="s">
        <v>283</v>
      </c>
      <c r="E12" s="8">
        <v>300</v>
      </c>
      <c r="F12" t="s">
        <v>623</v>
      </c>
      <c r="G12" s="20">
        <v>0.12</v>
      </c>
      <c r="H12" s="18">
        <f t="shared" si="0"/>
        <v>36</v>
      </c>
      <c r="I12" s="20">
        <v>0.01</v>
      </c>
      <c r="J12" s="19">
        <f>H12+I12*E12</f>
        <v>39</v>
      </c>
      <c r="K12" s="13">
        <f t="shared" si="5"/>
        <v>36</v>
      </c>
      <c r="P12" t="s">
        <v>644</v>
      </c>
      <c r="Q12" s="5">
        <v>62.5</v>
      </c>
      <c r="R12" s="16" t="s">
        <v>694</v>
      </c>
      <c r="S12">
        <v>6750</v>
      </c>
      <c r="T12" s="5">
        <f t="shared" si="4"/>
        <v>67.5</v>
      </c>
      <c r="U12" s="26">
        <f t="shared" si="3"/>
        <v>31.5</v>
      </c>
      <c r="V12"/>
    </row>
    <row r="13" spans="1:22" hidden="1" x14ac:dyDescent="0.3">
      <c r="A13" s="3" t="s">
        <v>358</v>
      </c>
      <c r="B13" t="s">
        <v>359</v>
      </c>
      <c r="C13">
        <v>145</v>
      </c>
      <c r="D13" t="s">
        <v>283</v>
      </c>
      <c r="E13" s="8">
        <v>269</v>
      </c>
      <c r="F13" t="s">
        <v>631</v>
      </c>
      <c r="G13" s="20">
        <v>0.08</v>
      </c>
      <c r="H13" s="18">
        <f t="shared" si="0"/>
        <v>21.52</v>
      </c>
      <c r="I13" s="20">
        <v>0.05</v>
      </c>
      <c r="J13" s="19">
        <f>H13+E13*I13</f>
        <v>34.97</v>
      </c>
      <c r="K13" s="13">
        <f t="shared" si="5"/>
        <v>21.52</v>
      </c>
      <c r="R13" s="16" t="s">
        <v>694</v>
      </c>
      <c r="S13">
        <v>4300</v>
      </c>
      <c r="T13" s="5">
        <f t="shared" si="4"/>
        <v>43</v>
      </c>
      <c r="U13" s="26">
        <f t="shared" si="3"/>
        <v>21.48</v>
      </c>
      <c r="V13"/>
    </row>
    <row r="14" spans="1:22" hidden="1" x14ac:dyDescent="0.3">
      <c r="A14" s="3" t="s">
        <v>422</v>
      </c>
      <c r="B14" t="s">
        <v>423</v>
      </c>
      <c r="C14">
        <v>71</v>
      </c>
      <c r="D14" t="s">
        <v>268</v>
      </c>
      <c r="E14" s="8">
        <v>350</v>
      </c>
      <c r="F14" t="s">
        <v>623</v>
      </c>
      <c r="G14" s="20">
        <v>7.0000000000000007E-2</v>
      </c>
      <c r="H14" s="18">
        <f t="shared" si="0"/>
        <v>24.500000000000004</v>
      </c>
      <c r="I14" s="20">
        <v>0.1</v>
      </c>
      <c r="J14" s="19">
        <f>H14+E14*I14</f>
        <v>59.5</v>
      </c>
      <c r="K14" s="13">
        <f t="shared" si="5"/>
        <v>24.500000000000004</v>
      </c>
      <c r="R14" s="16" t="s">
        <v>694</v>
      </c>
      <c r="S14">
        <v>4100</v>
      </c>
      <c r="T14" s="5">
        <f t="shared" si="4"/>
        <v>41</v>
      </c>
      <c r="U14" s="5">
        <f t="shared" si="3"/>
        <v>16.499999999999996</v>
      </c>
      <c r="V14"/>
    </row>
    <row r="15" spans="1:22" hidden="1" x14ac:dyDescent="0.3">
      <c r="A15" s="3" t="s">
        <v>612</v>
      </c>
      <c r="B15" t="s">
        <v>613</v>
      </c>
      <c r="C15">
        <v>199</v>
      </c>
      <c r="D15" t="s">
        <v>268</v>
      </c>
      <c r="E15" s="8">
        <v>678</v>
      </c>
      <c r="F15" t="s">
        <v>623</v>
      </c>
      <c r="G15" s="20">
        <v>7.0000000000000007E-2</v>
      </c>
      <c r="H15" s="18">
        <f t="shared" si="0"/>
        <v>47.460000000000008</v>
      </c>
      <c r="I15" s="20">
        <v>0.01</v>
      </c>
      <c r="J15" s="19">
        <f>H15+I15*E15</f>
        <v>54.240000000000009</v>
      </c>
      <c r="K15" s="13">
        <f t="shared" si="5"/>
        <v>47.460000000000008</v>
      </c>
      <c r="L15" s="5">
        <v>32</v>
      </c>
      <c r="N15" t="s">
        <v>645</v>
      </c>
      <c r="O15">
        <v>41</v>
      </c>
      <c r="R15" s="16" t="s">
        <v>694</v>
      </c>
      <c r="S15">
        <v>6250</v>
      </c>
      <c r="T15" s="5">
        <f t="shared" si="4"/>
        <v>62.5</v>
      </c>
      <c r="U15" s="5">
        <f t="shared" si="3"/>
        <v>15.039999999999992</v>
      </c>
      <c r="V15"/>
    </row>
    <row r="16" spans="1:22" hidden="1" x14ac:dyDescent="0.3">
      <c r="A16" s="3" t="s">
        <v>583</v>
      </c>
      <c r="B16" t="s">
        <v>584</v>
      </c>
      <c r="C16">
        <v>77</v>
      </c>
      <c r="D16" t="s">
        <v>374</v>
      </c>
      <c r="E16" s="5">
        <v>90</v>
      </c>
      <c r="F16" t="s">
        <v>624</v>
      </c>
      <c r="G16" s="20">
        <v>0.12</v>
      </c>
      <c r="H16" s="18">
        <f t="shared" si="0"/>
        <v>10.799999999999999</v>
      </c>
      <c r="I16" s="20">
        <v>0.1</v>
      </c>
      <c r="J16" s="19">
        <f>H16+E16*I16</f>
        <v>19.799999999999997</v>
      </c>
      <c r="K16" s="5">
        <f>H16/2</f>
        <v>5.3999999999999995</v>
      </c>
      <c r="R16" s="16" t="s">
        <v>668</v>
      </c>
      <c r="S16">
        <v>2400</v>
      </c>
      <c r="T16" s="5">
        <f t="shared" si="4"/>
        <v>24</v>
      </c>
      <c r="U16" s="5">
        <f t="shared" si="3"/>
        <v>13.200000000000001</v>
      </c>
      <c r="V16"/>
    </row>
    <row r="17" spans="1:21" customFormat="1" hidden="1" x14ac:dyDescent="0.3">
      <c r="A17" s="3" t="s">
        <v>414</v>
      </c>
      <c r="B17" t="s">
        <v>415</v>
      </c>
      <c r="C17">
        <v>84</v>
      </c>
      <c r="D17" t="s">
        <v>283</v>
      </c>
      <c r="E17" s="8">
        <v>2098</v>
      </c>
      <c r="F17" t="s">
        <v>625</v>
      </c>
      <c r="G17" s="20">
        <v>0.08</v>
      </c>
      <c r="H17" s="18">
        <f t="shared" si="0"/>
        <v>167.84</v>
      </c>
      <c r="I17" s="20">
        <v>0.1</v>
      </c>
      <c r="J17" s="19">
        <f>H17+E17*I17</f>
        <v>377.64</v>
      </c>
      <c r="K17" s="14">
        <f t="shared" ref="K17:K23" si="6">H17</f>
        <v>167.84</v>
      </c>
      <c r="L17" s="5">
        <v>84</v>
      </c>
      <c r="M17" s="5"/>
      <c r="Q17" s="5"/>
      <c r="R17" s="16" t="s">
        <v>694</v>
      </c>
      <c r="S17">
        <v>18000</v>
      </c>
      <c r="T17" s="5">
        <f t="shared" si="4"/>
        <v>180</v>
      </c>
      <c r="U17" s="5">
        <f t="shared" si="3"/>
        <v>12.159999999999997</v>
      </c>
    </row>
    <row r="18" spans="1:21" customFormat="1" hidden="1" x14ac:dyDescent="0.3">
      <c r="A18" s="3" t="s">
        <v>418</v>
      </c>
      <c r="B18" t="s">
        <v>419</v>
      </c>
      <c r="C18">
        <v>88</v>
      </c>
      <c r="D18" t="s">
        <v>283</v>
      </c>
      <c r="E18" s="8">
        <v>486</v>
      </c>
      <c r="F18" t="s">
        <v>629</v>
      </c>
      <c r="G18" s="20">
        <v>0.08</v>
      </c>
      <c r="H18" s="18">
        <f t="shared" si="0"/>
        <v>38.880000000000003</v>
      </c>
      <c r="I18" s="20">
        <v>0.1</v>
      </c>
      <c r="J18" s="19">
        <f>H18+E18*I18</f>
        <v>87.48</v>
      </c>
      <c r="K18" s="13">
        <f t="shared" si="6"/>
        <v>38.880000000000003</v>
      </c>
      <c r="L18" s="5"/>
      <c r="M18" s="5"/>
      <c r="Q18" s="5"/>
      <c r="R18" s="16" t="s">
        <v>694</v>
      </c>
      <c r="S18">
        <v>4650</v>
      </c>
      <c r="T18" s="5">
        <f t="shared" si="4"/>
        <v>46.5</v>
      </c>
      <c r="U18" s="5">
        <f t="shared" si="3"/>
        <v>7.6199999999999974</v>
      </c>
    </row>
    <row r="19" spans="1:21" customFormat="1" hidden="1" x14ac:dyDescent="0.3">
      <c r="A19" s="3" t="s">
        <v>416</v>
      </c>
      <c r="B19" t="s">
        <v>417</v>
      </c>
      <c r="C19">
        <v>86</v>
      </c>
      <c r="D19" t="s">
        <v>283</v>
      </c>
      <c r="E19" s="8">
        <v>1898</v>
      </c>
      <c r="F19" t="s">
        <v>625</v>
      </c>
      <c r="G19" s="20">
        <v>0.12</v>
      </c>
      <c r="H19" s="18">
        <f t="shared" si="0"/>
        <v>227.76</v>
      </c>
      <c r="I19" s="20">
        <v>0.1</v>
      </c>
      <c r="J19" s="19">
        <f>H19+E19*I19</f>
        <v>417.56</v>
      </c>
      <c r="K19" s="14">
        <f t="shared" si="6"/>
        <v>227.76</v>
      </c>
      <c r="L19" s="5">
        <v>110</v>
      </c>
      <c r="M19" s="5"/>
      <c r="Q19" s="5"/>
      <c r="R19" s="16" t="s">
        <v>694</v>
      </c>
      <c r="S19">
        <v>23500</v>
      </c>
      <c r="T19" s="5">
        <f t="shared" si="4"/>
        <v>235</v>
      </c>
      <c r="U19" s="5">
        <f t="shared" si="3"/>
        <v>7.2400000000000091</v>
      </c>
    </row>
    <row r="20" spans="1:21" customFormat="1" hidden="1" x14ac:dyDescent="0.3">
      <c r="A20" s="3" t="s">
        <v>619</v>
      </c>
      <c r="B20" t="s">
        <v>620</v>
      </c>
      <c r="C20">
        <v>201</v>
      </c>
      <c r="D20" t="s">
        <v>268</v>
      </c>
      <c r="E20" s="8">
        <v>390</v>
      </c>
      <c r="F20" t="s">
        <v>624</v>
      </c>
      <c r="G20" s="20">
        <v>7.0000000000000007E-2</v>
      </c>
      <c r="H20" s="18">
        <f t="shared" si="0"/>
        <v>27.300000000000004</v>
      </c>
      <c r="I20" s="20">
        <v>0.01</v>
      </c>
      <c r="J20" s="19">
        <f>H20+I20*E20</f>
        <v>31.200000000000003</v>
      </c>
      <c r="K20" s="13">
        <f t="shared" si="6"/>
        <v>27.300000000000004</v>
      </c>
      <c r="L20" s="5"/>
      <c r="M20" s="5"/>
      <c r="N20" t="s">
        <v>644</v>
      </c>
      <c r="O20">
        <v>34</v>
      </c>
      <c r="Q20" s="5"/>
      <c r="R20" s="16" t="s">
        <v>662</v>
      </c>
      <c r="S20">
        <v>3199</v>
      </c>
      <c r="T20" s="5">
        <f t="shared" si="4"/>
        <v>31.99</v>
      </c>
      <c r="U20" s="5">
        <f t="shared" si="3"/>
        <v>4.6899999999999942</v>
      </c>
    </row>
    <row r="21" spans="1:21" customFormat="1" hidden="1" x14ac:dyDescent="0.3">
      <c r="A21" s="3" t="s">
        <v>381</v>
      </c>
      <c r="B21" t="s">
        <v>382</v>
      </c>
      <c r="C21">
        <v>160</v>
      </c>
      <c r="D21" t="s">
        <v>283</v>
      </c>
      <c r="E21" s="8">
        <v>1598</v>
      </c>
      <c r="F21" t="s">
        <v>629</v>
      </c>
      <c r="G21" s="20">
        <v>0.12</v>
      </c>
      <c r="H21" s="18">
        <f t="shared" si="0"/>
        <v>191.76</v>
      </c>
      <c r="I21" s="20">
        <v>0.1</v>
      </c>
      <c r="J21" s="19">
        <f>H21+E21*I21</f>
        <v>351.56</v>
      </c>
      <c r="K21" s="1">
        <f t="shared" si="6"/>
        <v>191.76</v>
      </c>
      <c r="L21" s="5">
        <v>130</v>
      </c>
      <c r="M21" s="5"/>
      <c r="Q21" s="5"/>
      <c r="R21" s="16" t="s">
        <v>694</v>
      </c>
      <c r="S21">
        <v>19500</v>
      </c>
      <c r="T21" s="5">
        <f t="shared" si="4"/>
        <v>195</v>
      </c>
      <c r="U21" s="5">
        <f t="shared" si="3"/>
        <v>3.2400000000000091</v>
      </c>
    </row>
    <row r="22" spans="1:21" customFormat="1" hidden="1" x14ac:dyDescent="0.3">
      <c r="A22" s="3" t="s">
        <v>391</v>
      </c>
      <c r="B22" t="s">
        <v>392</v>
      </c>
      <c r="C22">
        <v>169</v>
      </c>
      <c r="D22" t="s">
        <v>283</v>
      </c>
      <c r="E22" s="8">
        <v>1398</v>
      </c>
      <c r="F22" t="s">
        <v>628</v>
      </c>
      <c r="G22" s="20">
        <v>0.08</v>
      </c>
      <c r="H22" s="18">
        <f t="shared" si="0"/>
        <v>111.84</v>
      </c>
      <c r="I22" s="20">
        <v>0.1</v>
      </c>
      <c r="J22" s="19">
        <f>H22+E22*I22</f>
        <v>251.64000000000001</v>
      </c>
      <c r="K22" s="1">
        <f t="shared" si="6"/>
        <v>111.84</v>
      </c>
      <c r="L22" s="5">
        <v>75</v>
      </c>
      <c r="M22" s="5"/>
      <c r="Q22" s="5"/>
      <c r="R22" s="16" t="s">
        <v>662</v>
      </c>
      <c r="S22">
        <v>11500</v>
      </c>
      <c r="T22" s="5">
        <f t="shared" si="4"/>
        <v>115</v>
      </c>
      <c r="U22" s="5">
        <f t="shared" si="3"/>
        <v>3.1599999999999966</v>
      </c>
    </row>
    <row r="23" spans="1:21" customFormat="1" hidden="1" x14ac:dyDescent="0.3">
      <c r="A23" s="3" t="s">
        <v>495</v>
      </c>
      <c r="B23" t="s">
        <v>496</v>
      </c>
      <c r="C23">
        <v>124</v>
      </c>
      <c r="D23" t="s">
        <v>283</v>
      </c>
      <c r="E23" s="8">
        <v>249</v>
      </c>
      <c r="F23" t="s">
        <v>624</v>
      </c>
      <c r="G23" s="20">
        <v>0.08</v>
      </c>
      <c r="H23" s="18">
        <f t="shared" si="0"/>
        <v>19.920000000000002</v>
      </c>
      <c r="I23" s="20">
        <v>0.01</v>
      </c>
      <c r="J23" s="19">
        <f>H23+I23*E23</f>
        <v>22.410000000000004</v>
      </c>
      <c r="K23" s="5">
        <f t="shared" si="6"/>
        <v>19.920000000000002</v>
      </c>
      <c r="L23" s="5"/>
      <c r="M23" s="5"/>
      <c r="P23" t="s">
        <v>644</v>
      </c>
      <c r="Q23" s="5">
        <v>21.55</v>
      </c>
      <c r="R23" s="16" t="s">
        <v>694</v>
      </c>
      <c r="S23">
        <v>2150</v>
      </c>
      <c r="T23" s="5">
        <f t="shared" si="4"/>
        <v>21.5</v>
      </c>
      <c r="U23" s="5">
        <f t="shared" si="3"/>
        <v>1.5799999999999983</v>
      </c>
    </row>
    <row r="24" spans="1:21" customFormat="1" hidden="1" x14ac:dyDescent="0.3">
      <c r="A24" s="3">
        <v>21</v>
      </c>
      <c r="B24" t="s">
        <v>401</v>
      </c>
      <c r="C24">
        <v>37</v>
      </c>
      <c r="D24" t="s">
        <v>374</v>
      </c>
      <c r="E24" s="5">
        <v>44</v>
      </c>
      <c r="F24" t="s">
        <v>624</v>
      </c>
      <c r="G24" s="20">
        <v>0.12</v>
      </c>
      <c r="H24" s="18">
        <f t="shared" si="0"/>
        <v>5.2799999999999994</v>
      </c>
      <c r="I24" s="20">
        <v>0.1</v>
      </c>
      <c r="J24" s="19">
        <f t="shared" ref="J24:J30" si="7">H24+E24*I24</f>
        <v>9.68</v>
      </c>
      <c r="K24" s="5">
        <f>H24/2</f>
        <v>2.6399999999999997</v>
      </c>
      <c r="L24" s="5"/>
      <c r="M24" s="5"/>
      <c r="Q24" s="5"/>
      <c r="R24" s="16" t="s">
        <v>668</v>
      </c>
      <c r="S24">
        <v>500</v>
      </c>
      <c r="T24" s="5">
        <f t="shared" si="4"/>
        <v>5</v>
      </c>
      <c r="U24" s="5">
        <f t="shared" si="3"/>
        <v>-0.27999999999999936</v>
      </c>
    </row>
    <row r="25" spans="1:21" customFormat="1" hidden="1" x14ac:dyDescent="0.3">
      <c r="A25" s="3">
        <v>49</v>
      </c>
      <c r="B25" t="s">
        <v>596</v>
      </c>
      <c r="C25">
        <v>85</v>
      </c>
      <c r="D25" t="s">
        <v>374</v>
      </c>
      <c r="E25" s="5">
        <v>50</v>
      </c>
      <c r="F25" t="s">
        <v>624</v>
      </c>
      <c r="G25" s="20">
        <v>0.12</v>
      </c>
      <c r="H25" s="18">
        <f t="shared" si="0"/>
        <v>6</v>
      </c>
      <c r="I25" s="20">
        <v>0.1</v>
      </c>
      <c r="J25" s="19">
        <f t="shared" si="7"/>
        <v>11</v>
      </c>
      <c r="K25" s="5">
        <f>H25/2</f>
        <v>3</v>
      </c>
      <c r="L25" s="5"/>
      <c r="M25" s="5"/>
      <c r="Q25" s="5"/>
      <c r="R25" s="16" t="s">
        <v>662</v>
      </c>
      <c r="S25">
        <v>550</v>
      </c>
      <c r="T25" s="5">
        <f t="shared" si="4"/>
        <v>5.5</v>
      </c>
      <c r="U25" s="5">
        <f t="shared" si="3"/>
        <v>-0.5</v>
      </c>
    </row>
    <row r="26" spans="1:21" customFormat="1" hidden="1" x14ac:dyDescent="0.3">
      <c r="A26" s="3" t="s">
        <v>319</v>
      </c>
      <c r="B26" t="s">
        <v>320</v>
      </c>
      <c r="C26">
        <v>80</v>
      </c>
      <c r="D26" t="s">
        <v>283</v>
      </c>
      <c r="E26" s="8">
        <v>278</v>
      </c>
      <c r="F26" t="s">
        <v>631</v>
      </c>
      <c r="G26" s="20">
        <v>0.08</v>
      </c>
      <c r="H26" s="18">
        <f t="shared" si="0"/>
        <v>22.240000000000002</v>
      </c>
      <c r="I26" s="20">
        <v>0.05</v>
      </c>
      <c r="J26" s="19">
        <f t="shared" si="7"/>
        <v>36.14</v>
      </c>
      <c r="K26" s="13">
        <f t="shared" ref="K26:K32" si="8">H26</f>
        <v>22.240000000000002</v>
      </c>
      <c r="L26" s="5"/>
      <c r="M26" s="5"/>
      <c r="Q26" s="5"/>
      <c r="R26" s="16" t="s">
        <v>646</v>
      </c>
      <c r="S26">
        <v>2100</v>
      </c>
      <c r="T26" s="5">
        <f t="shared" si="4"/>
        <v>21</v>
      </c>
      <c r="U26" s="5">
        <f t="shared" si="3"/>
        <v>-1.240000000000002</v>
      </c>
    </row>
    <row r="27" spans="1:21" customFormat="1" hidden="1" x14ac:dyDescent="0.3">
      <c r="A27" s="3" t="s">
        <v>323</v>
      </c>
      <c r="B27" t="s">
        <v>322</v>
      </c>
      <c r="C27">
        <v>97</v>
      </c>
      <c r="D27" t="s">
        <v>283</v>
      </c>
      <c r="E27" s="8">
        <v>279</v>
      </c>
      <c r="F27" t="s">
        <v>631</v>
      </c>
      <c r="G27" s="20">
        <v>0.08</v>
      </c>
      <c r="H27" s="18">
        <f t="shared" si="0"/>
        <v>22.32</v>
      </c>
      <c r="I27" s="20">
        <v>0.05</v>
      </c>
      <c r="J27" s="19">
        <f t="shared" si="7"/>
        <v>36.270000000000003</v>
      </c>
      <c r="K27" s="13">
        <f t="shared" si="8"/>
        <v>22.32</v>
      </c>
      <c r="L27" s="5"/>
      <c r="M27" s="5"/>
      <c r="Q27" s="5"/>
      <c r="R27" s="16" t="s">
        <v>646</v>
      </c>
      <c r="S27">
        <v>2100</v>
      </c>
      <c r="T27" s="5">
        <f t="shared" si="4"/>
        <v>21</v>
      </c>
      <c r="U27" s="5">
        <f t="shared" si="3"/>
        <v>-1.3200000000000003</v>
      </c>
    </row>
    <row r="28" spans="1:21" customFormat="1" hidden="1" x14ac:dyDescent="0.3">
      <c r="A28" s="3" t="s">
        <v>336</v>
      </c>
      <c r="B28" t="s">
        <v>337</v>
      </c>
      <c r="C28">
        <v>123</v>
      </c>
      <c r="D28" t="s">
        <v>283</v>
      </c>
      <c r="E28" s="8">
        <v>299</v>
      </c>
      <c r="F28" t="s">
        <v>627</v>
      </c>
      <c r="G28" s="20">
        <v>0.08</v>
      </c>
      <c r="H28" s="18">
        <f t="shared" si="0"/>
        <v>23.92</v>
      </c>
      <c r="I28" s="20">
        <v>0.05</v>
      </c>
      <c r="J28" s="19">
        <f t="shared" si="7"/>
        <v>38.870000000000005</v>
      </c>
      <c r="K28" s="13">
        <f t="shared" si="8"/>
        <v>23.92</v>
      </c>
      <c r="L28" s="5"/>
      <c r="M28" s="5"/>
      <c r="Q28" s="5"/>
      <c r="R28" s="16" t="s">
        <v>646</v>
      </c>
      <c r="S28">
        <v>2100</v>
      </c>
      <c r="T28" s="5">
        <f t="shared" si="4"/>
        <v>21</v>
      </c>
      <c r="U28" s="5">
        <f t="shared" si="3"/>
        <v>-2.9200000000000017</v>
      </c>
    </row>
    <row r="29" spans="1:21" customFormat="1" hidden="1" x14ac:dyDescent="0.3">
      <c r="A29" s="3" t="s">
        <v>499</v>
      </c>
      <c r="B29" t="s">
        <v>500</v>
      </c>
      <c r="C29">
        <v>128</v>
      </c>
      <c r="D29" t="s">
        <v>283</v>
      </c>
      <c r="E29" s="8">
        <v>299</v>
      </c>
      <c r="F29" t="s">
        <v>629</v>
      </c>
      <c r="G29" s="20">
        <v>0.08</v>
      </c>
      <c r="H29" s="18">
        <f t="shared" si="0"/>
        <v>23.92</v>
      </c>
      <c r="I29" s="20">
        <v>0.1</v>
      </c>
      <c r="J29" s="19">
        <f t="shared" si="7"/>
        <v>53.820000000000007</v>
      </c>
      <c r="K29" s="13">
        <f t="shared" si="8"/>
        <v>23.92</v>
      </c>
      <c r="L29" s="5"/>
      <c r="M29" s="5"/>
      <c r="Q29" s="5"/>
      <c r="R29" s="16" t="s">
        <v>646</v>
      </c>
      <c r="S29">
        <v>2100</v>
      </c>
      <c r="T29" s="5">
        <f t="shared" si="4"/>
        <v>21</v>
      </c>
      <c r="U29" s="5">
        <f t="shared" si="3"/>
        <v>-2.9200000000000017</v>
      </c>
    </row>
    <row r="30" spans="1:21" customFormat="1" hidden="1" x14ac:dyDescent="0.3">
      <c r="A30" s="3" t="s">
        <v>366</v>
      </c>
      <c r="B30" t="s">
        <v>367</v>
      </c>
      <c r="C30">
        <v>152</v>
      </c>
      <c r="D30" t="s">
        <v>283</v>
      </c>
      <c r="E30" s="8">
        <v>299</v>
      </c>
      <c r="F30" t="s">
        <v>631</v>
      </c>
      <c r="G30" s="20">
        <v>0.08</v>
      </c>
      <c r="H30" s="18">
        <f t="shared" si="0"/>
        <v>23.92</v>
      </c>
      <c r="I30" s="20">
        <v>0.05</v>
      </c>
      <c r="J30" s="19">
        <f t="shared" si="7"/>
        <v>38.870000000000005</v>
      </c>
      <c r="K30" s="13">
        <f t="shared" si="8"/>
        <v>23.92</v>
      </c>
      <c r="L30" s="5"/>
      <c r="M30" s="5"/>
      <c r="Q30" s="5"/>
      <c r="R30" s="16" t="s">
        <v>646</v>
      </c>
      <c r="S30">
        <v>2100</v>
      </c>
      <c r="T30" s="5">
        <f t="shared" si="4"/>
        <v>21</v>
      </c>
      <c r="U30" s="5">
        <f t="shared" si="3"/>
        <v>-2.9200000000000017</v>
      </c>
    </row>
    <row r="31" spans="1:21" customFormat="1" hidden="1" x14ac:dyDescent="0.3">
      <c r="A31" s="3" t="s">
        <v>501</v>
      </c>
      <c r="B31" t="s">
        <v>502</v>
      </c>
      <c r="C31">
        <v>161</v>
      </c>
      <c r="D31" t="s">
        <v>283</v>
      </c>
      <c r="E31" s="8">
        <v>299</v>
      </c>
      <c r="F31" t="s">
        <v>629</v>
      </c>
      <c r="G31" s="20">
        <v>0.08</v>
      </c>
      <c r="H31" s="18">
        <f t="shared" si="0"/>
        <v>23.92</v>
      </c>
      <c r="I31" s="20">
        <v>0.01</v>
      </c>
      <c r="J31" s="19">
        <f>H31+I31*E31</f>
        <v>26.910000000000004</v>
      </c>
      <c r="K31" s="13">
        <f t="shared" si="8"/>
        <v>23.92</v>
      </c>
      <c r="L31" s="5"/>
      <c r="M31" s="5"/>
      <c r="P31" t="s">
        <v>644</v>
      </c>
      <c r="Q31" s="5">
        <v>21</v>
      </c>
      <c r="R31" s="16" t="s">
        <v>646</v>
      </c>
      <c r="S31">
        <v>2100</v>
      </c>
      <c r="T31" s="5">
        <f t="shared" si="4"/>
        <v>21</v>
      </c>
      <c r="U31" s="5">
        <f t="shared" si="3"/>
        <v>-2.9200000000000017</v>
      </c>
    </row>
    <row r="32" spans="1:21" customFormat="1" hidden="1" x14ac:dyDescent="0.3">
      <c r="A32" s="3" t="s">
        <v>489</v>
      </c>
      <c r="B32" t="s">
        <v>490</v>
      </c>
      <c r="C32">
        <v>114</v>
      </c>
      <c r="D32" t="s">
        <v>639</v>
      </c>
      <c r="E32" s="8">
        <v>503</v>
      </c>
      <c r="F32" t="s">
        <v>625</v>
      </c>
      <c r="G32" s="20">
        <v>7.0000000000000007E-2</v>
      </c>
      <c r="H32" s="18">
        <f t="shared" si="0"/>
        <v>35.21</v>
      </c>
      <c r="I32" s="20">
        <v>0.1</v>
      </c>
      <c r="J32" s="19">
        <f t="shared" ref="J32:J40" si="9">H32+E32*I32</f>
        <v>85.51</v>
      </c>
      <c r="K32" s="13">
        <f t="shared" si="8"/>
        <v>35.21</v>
      </c>
      <c r="L32" s="5"/>
      <c r="M32" s="5"/>
      <c r="Q32" s="5"/>
      <c r="R32" s="16" t="s">
        <v>646</v>
      </c>
      <c r="S32">
        <v>3200</v>
      </c>
      <c r="T32" s="5">
        <f t="shared" si="4"/>
        <v>32</v>
      </c>
      <c r="U32" s="5">
        <f t="shared" si="3"/>
        <v>-3.2100000000000009</v>
      </c>
    </row>
    <row r="33" spans="1:21" customFormat="1" hidden="1" x14ac:dyDescent="0.3">
      <c r="A33" s="9" t="s">
        <v>543</v>
      </c>
      <c r="B33" t="s">
        <v>544</v>
      </c>
      <c r="C33">
        <v>176</v>
      </c>
      <c r="D33" t="s">
        <v>283</v>
      </c>
      <c r="E33" s="8">
        <v>800</v>
      </c>
      <c r="F33" t="s">
        <v>625</v>
      </c>
      <c r="G33" s="20">
        <v>0.12</v>
      </c>
      <c r="H33" s="18">
        <f t="shared" si="0"/>
        <v>96</v>
      </c>
      <c r="I33" s="20">
        <v>0.1</v>
      </c>
      <c r="J33" s="19">
        <f t="shared" si="9"/>
        <v>176</v>
      </c>
      <c r="K33" s="15">
        <f>H33/1.5</f>
        <v>64</v>
      </c>
      <c r="L33" s="5">
        <v>64</v>
      </c>
      <c r="M33" s="5"/>
      <c r="Q33" s="5"/>
      <c r="R33" s="16" t="s">
        <v>694</v>
      </c>
      <c r="S33">
        <v>9250</v>
      </c>
      <c r="T33" s="5">
        <f t="shared" si="4"/>
        <v>92.5</v>
      </c>
      <c r="U33" s="5">
        <f t="shared" si="3"/>
        <v>-3.5</v>
      </c>
    </row>
    <row r="34" spans="1:21" customFormat="1" hidden="1" x14ac:dyDescent="0.3">
      <c r="A34" s="3" t="s">
        <v>533</v>
      </c>
      <c r="B34" t="s">
        <v>534</v>
      </c>
      <c r="C34">
        <v>165</v>
      </c>
      <c r="D34" t="s">
        <v>283</v>
      </c>
      <c r="E34" s="8">
        <v>324</v>
      </c>
      <c r="F34" t="s">
        <v>624</v>
      </c>
      <c r="G34" s="20">
        <v>0.08</v>
      </c>
      <c r="H34" s="18">
        <f t="shared" si="0"/>
        <v>25.92</v>
      </c>
      <c r="I34" s="20">
        <v>0.1</v>
      </c>
      <c r="J34" s="19">
        <f t="shared" si="9"/>
        <v>58.32</v>
      </c>
      <c r="K34" s="13">
        <f>H34</f>
        <v>25.92</v>
      </c>
      <c r="L34" s="5"/>
      <c r="M34" s="5"/>
      <c r="Q34" s="5"/>
      <c r="R34" s="16" t="s">
        <v>646</v>
      </c>
      <c r="S34">
        <v>2100</v>
      </c>
      <c r="T34" s="5">
        <f t="shared" si="4"/>
        <v>21</v>
      </c>
      <c r="U34" s="5">
        <f t="shared" si="3"/>
        <v>-4.9200000000000017</v>
      </c>
    </row>
    <row r="35" spans="1:21" customFormat="1" hidden="1" x14ac:dyDescent="0.3">
      <c r="A35" s="3" t="s">
        <v>321</v>
      </c>
      <c r="B35" t="s">
        <v>322</v>
      </c>
      <c r="C35">
        <v>90</v>
      </c>
      <c r="D35" t="s">
        <v>283</v>
      </c>
      <c r="E35" s="8">
        <v>279</v>
      </c>
      <c r="F35" t="s">
        <v>631</v>
      </c>
      <c r="G35" s="20">
        <v>0.08</v>
      </c>
      <c r="H35" s="18">
        <f t="shared" si="0"/>
        <v>22.32</v>
      </c>
      <c r="I35" s="20">
        <v>0.05</v>
      </c>
      <c r="J35" s="19">
        <f t="shared" si="9"/>
        <v>36.270000000000003</v>
      </c>
      <c r="K35" s="13">
        <f>H35</f>
        <v>22.32</v>
      </c>
      <c r="L35" s="5"/>
      <c r="M35" s="5"/>
      <c r="Q35" s="5"/>
      <c r="R35" s="16" t="s">
        <v>646</v>
      </c>
      <c r="S35">
        <v>1650</v>
      </c>
      <c r="T35" s="5">
        <f t="shared" si="4"/>
        <v>16.5</v>
      </c>
      <c r="U35" s="5">
        <f t="shared" si="3"/>
        <v>-5.82</v>
      </c>
    </row>
    <row r="36" spans="1:21" customFormat="1" hidden="1" x14ac:dyDescent="0.3">
      <c r="A36" s="3" t="s">
        <v>521</v>
      </c>
      <c r="B36" t="s">
        <v>522</v>
      </c>
      <c r="C36">
        <v>148</v>
      </c>
      <c r="D36" t="s">
        <v>268</v>
      </c>
      <c r="E36" s="8">
        <v>334</v>
      </c>
      <c r="F36" t="s">
        <v>623</v>
      </c>
      <c r="G36" s="20">
        <v>7.0000000000000007E-2</v>
      </c>
      <c r="H36" s="18">
        <f t="shared" si="0"/>
        <v>23.380000000000003</v>
      </c>
      <c r="I36" s="20">
        <v>0.1</v>
      </c>
      <c r="J36" s="19">
        <f t="shared" si="9"/>
        <v>56.78</v>
      </c>
      <c r="K36" s="13">
        <f>H36</f>
        <v>23.380000000000003</v>
      </c>
      <c r="L36" s="5"/>
      <c r="M36" s="5"/>
      <c r="Q36" s="5"/>
      <c r="R36" s="16" t="s">
        <v>646</v>
      </c>
      <c r="S36">
        <v>1600</v>
      </c>
      <c r="T36" s="5">
        <f t="shared" si="4"/>
        <v>16</v>
      </c>
      <c r="U36" s="5">
        <f t="shared" si="3"/>
        <v>-7.3800000000000026</v>
      </c>
    </row>
    <row r="37" spans="1:21" customFormat="1" hidden="1" x14ac:dyDescent="0.3">
      <c r="A37" s="3" t="s">
        <v>389</v>
      </c>
      <c r="B37" t="s">
        <v>390</v>
      </c>
      <c r="C37">
        <v>167</v>
      </c>
      <c r="D37" t="s">
        <v>283</v>
      </c>
      <c r="E37" s="8">
        <v>407</v>
      </c>
      <c r="F37" t="s">
        <v>624</v>
      </c>
      <c r="G37" s="20">
        <v>0.08</v>
      </c>
      <c r="H37" s="18">
        <f t="shared" si="0"/>
        <v>32.56</v>
      </c>
      <c r="I37" s="20">
        <v>0.1</v>
      </c>
      <c r="J37" s="19">
        <f t="shared" si="9"/>
        <v>73.260000000000005</v>
      </c>
      <c r="K37" s="13">
        <f>H37</f>
        <v>32.56</v>
      </c>
      <c r="L37" s="5"/>
      <c r="M37" s="5"/>
      <c r="Q37" s="5"/>
      <c r="R37" s="16" t="s">
        <v>646</v>
      </c>
      <c r="S37">
        <v>2500</v>
      </c>
      <c r="T37" s="5">
        <f t="shared" si="4"/>
        <v>25</v>
      </c>
      <c r="U37" s="5">
        <f t="shared" si="3"/>
        <v>-7.5600000000000023</v>
      </c>
    </row>
    <row r="38" spans="1:21" customFormat="1" hidden="1" x14ac:dyDescent="0.3">
      <c r="A38" s="9" t="s">
        <v>348</v>
      </c>
      <c r="B38" t="s">
        <v>349</v>
      </c>
      <c r="C38">
        <v>137</v>
      </c>
      <c r="D38" t="s">
        <v>283</v>
      </c>
      <c r="E38" s="8">
        <v>228</v>
      </c>
      <c r="F38" t="s">
        <v>629</v>
      </c>
      <c r="G38" s="20">
        <v>0.08</v>
      </c>
      <c r="H38" s="18">
        <f t="shared" si="0"/>
        <v>18.240000000000002</v>
      </c>
      <c r="I38" s="20">
        <v>0.1</v>
      </c>
      <c r="J38" s="19">
        <f t="shared" si="9"/>
        <v>41.040000000000006</v>
      </c>
      <c r="K38" s="5">
        <f>H38/1.5</f>
        <v>12.160000000000002</v>
      </c>
      <c r="L38" s="5"/>
      <c r="M38" s="5"/>
      <c r="Q38" s="5"/>
      <c r="R38" s="16" t="s">
        <v>668</v>
      </c>
      <c r="S38">
        <v>1050</v>
      </c>
      <c r="T38" s="5">
        <f t="shared" si="4"/>
        <v>10.5</v>
      </c>
      <c r="U38" s="5">
        <f t="shared" si="3"/>
        <v>-7.740000000000002</v>
      </c>
    </row>
    <row r="39" spans="1:21" customFormat="1" hidden="1" x14ac:dyDescent="0.3">
      <c r="A39" s="3" t="s">
        <v>606</v>
      </c>
      <c r="B39" t="s">
        <v>607</v>
      </c>
      <c r="C39">
        <v>196</v>
      </c>
      <c r="D39" t="s">
        <v>268</v>
      </c>
      <c r="E39" s="8">
        <v>754</v>
      </c>
      <c r="F39" t="s">
        <v>624</v>
      </c>
      <c r="G39" s="20">
        <v>7.0000000000000007E-2</v>
      </c>
      <c r="H39" s="18">
        <f t="shared" si="0"/>
        <v>52.780000000000008</v>
      </c>
      <c r="I39" s="20">
        <v>0.1</v>
      </c>
      <c r="J39" s="19">
        <f t="shared" si="9"/>
        <v>128.18</v>
      </c>
      <c r="K39" s="1">
        <f>H39</f>
        <v>52.780000000000008</v>
      </c>
      <c r="L39" s="5">
        <v>35</v>
      </c>
      <c r="M39" s="5"/>
      <c r="Q39" s="5"/>
      <c r="R39" s="16" t="s">
        <v>662</v>
      </c>
      <c r="S39">
        <v>4500</v>
      </c>
      <c r="T39" s="5">
        <f t="shared" si="4"/>
        <v>45</v>
      </c>
      <c r="U39" s="5">
        <f t="shared" si="3"/>
        <v>-7.7800000000000082</v>
      </c>
    </row>
    <row r="40" spans="1:21" customFormat="1" hidden="1" x14ac:dyDescent="0.3">
      <c r="A40" s="3" t="s">
        <v>426</v>
      </c>
      <c r="B40" t="s">
        <v>427</v>
      </c>
      <c r="C40">
        <v>101</v>
      </c>
      <c r="D40" t="s">
        <v>268</v>
      </c>
      <c r="E40" s="8">
        <v>350</v>
      </c>
      <c r="F40" t="s">
        <v>625</v>
      </c>
      <c r="G40" s="20">
        <v>7.0000000000000007E-2</v>
      </c>
      <c r="H40" s="18">
        <f t="shared" si="0"/>
        <v>24.500000000000004</v>
      </c>
      <c r="I40" s="20">
        <v>0.1</v>
      </c>
      <c r="J40" s="19">
        <f t="shared" si="9"/>
        <v>59.5</v>
      </c>
      <c r="K40" s="13">
        <f>H40</f>
        <v>24.500000000000004</v>
      </c>
      <c r="L40" s="5"/>
      <c r="M40" s="5"/>
      <c r="Q40" s="5"/>
      <c r="R40" s="16" t="s">
        <v>646</v>
      </c>
      <c r="S40">
        <v>1650</v>
      </c>
      <c r="T40" s="5">
        <f t="shared" si="4"/>
        <v>16.5</v>
      </c>
      <c r="U40" s="5">
        <f t="shared" si="3"/>
        <v>-8.0000000000000036</v>
      </c>
    </row>
    <row r="41" spans="1:21" customFormat="1" hidden="1" x14ac:dyDescent="0.3">
      <c r="A41" s="3" t="s">
        <v>273</v>
      </c>
      <c r="B41" t="s">
        <v>274</v>
      </c>
      <c r="C41">
        <v>13</v>
      </c>
      <c r="D41" t="s">
        <v>374</v>
      </c>
      <c r="E41" s="8">
        <v>200</v>
      </c>
      <c r="F41" t="s">
        <v>628</v>
      </c>
      <c r="G41" s="20">
        <v>0.12</v>
      </c>
      <c r="H41" s="18">
        <f t="shared" si="0"/>
        <v>24</v>
      </c>
      <c r="I41" s="20">
        <v>0.01</v>
      </c>
      <c r="J41" s="19">
        <f>H41+I41*E41</f>
        <v>26</v>
      </c>
      <c r="K41" s="5">
        <f>H41</f>
        <v>24</v>
      </c>
      <c r="L41" s="5">
        <v>20</v>
      </c>
      <c r="M41" s="5"/>
      <c r="P41" t="s">
        <v>644</v>
      </c>
      <c r="Q41" s="5">
        <v>26</v>
      </c>
      <c r="R41" s="16" t="s">
        <v>662</v>
      </c>
      <c r="S41">
        <v>1550</v>
      </c>
      <c r="T41" s="5">
        <f t="shared" si="4"/>
        <v>15.5</v>
      </c>
      <c r="U41" s="5">
        <f t="shared" si="3"/>
        <v>-8.5</v>
      </c>
    </row>
    <row r="42" spans="1:21" customFormat="1" hidden="1" x14ac:dyDescent="0.3">
      <c r="A42" s="3" t="s">
        <v>483</v>
      </c>
      <c r="B42" t="s">
        <v>484</v>
      </c>
      <c r="C42">
        <v>104</v>
      </c>
      <c r="D42" t="s">
        <v>268</v>
      </c>
      <c r="E42" s="8">
        <v>600</v>
      </c>
      <c r="F42" t="s">
        <v>624</v>
      </c>
      <c r="G42" s="20">
        <v>7.0000000000000007E-2</v>
      </c>
      <c r="H42" s="18">
        <f t="shared" si="0"/>
        <v>42.000000000000007</v>
      </c>
      <c r="I42" s="20">
        <v>0.1</v>
      </c>
      <c r="J42" s="19">
        <f>H42+E42*I42</f>
        <v>102</v>
      </c>
      <c r="K42" s="13">
        <f>H42</f>
        <v>42.000000000000007</v>
      </c>
      <c r="L42" s="5">
        <v>28</v>
      </c>
      <c r="M42" s="5"/>
      <c r="Q42" s="5"/>
      <c r="R42" s="16" t="s">
        <v>668</v>
      </c>
      <c r="S42">
        <v>3300</v>
      </c>
      <c r="T42" s="5">
        <f t="shared" si="4"/>
        <v>33</v>
      </c>
      <c r="U42" s="5">
        <f t="shared" si="3"/>
        <v>-9.0000000000000071</v>
      </c>
    </row>
    <row r="43" spans="1:21" customFormat="1" hidden="1" x14ac:dyDescent="0.3">
      <c r="A43" s="3" t="s">
        <v>600</v>
      </c>
      <c r="B43" t="s">
        <v>601</v>
      </c>
      <c r="C43">
        <v>194</v>
      </c>
      <c r="D43" t="s">
        <v>283</v>
      </c>
      <c r="E43" s="8">
        <v>474</v>
      </c>
      <c r="F43" t="s">
        <v>623</v>
      </c>
      <c r="G43" s="20">
        <v>0.08</v>
      </c>
      <c r="H43" s="18">
        <f t="shared" si="0"/>
        <v>37.92</v>
      </c>
      <c r="I43" s="20">
        <v>0.01</v>
      </c>
      <c r="J43" s="19">
        <f>H43+I43*E43</f>
        <v>42.660000000000004</v>
      </c>
      <c r="K43" s="13">
        <f>H43</f>
        <v>37.92</v>
      </c>
      <c r="L43" s="5"/>
      <c r="M43" s="5"/>
      <c r="N43" t="s">
        <v>645</v>
      </c>
      <c r="O43">
        <v>55.5</v>
      </c>
      <c r="Q43" s="5"/>
      <c r="R43" s="16" t="s">
        <v>646</v>
      </c>
      <c r="S43">
        <v>2850</v>
      </c>
      <c r="T43" s="5">
        <f t="shared" si="4"/>
        <v>28.5</v>
      </c>
      <c r="U43" s="5">
        <f t="shared" si="3"/>
        <v>-9.4200000000000017</v>
      </c>
    </row>
    <row r="44" spans="1:21" customFormat="1" hidden="1" x14ac:dyDescent="0.3">
      <c r="A44" s="9" t="s">
        <v>555</v>
      </c>
      <c r="B44" t="s">
        <v>556</v>
      </c>
      <c r="C44">
        <v>182</v>
      </c>
      <c r="D44" t="s">
        <v>283</v>
      </c>
      <c r="E44" s="8">
        <v>1000</v>
      </c>
      <c r="F44" t="s">
        <v>626</v>
      </c>
      <c r="G44" s="20">
        <v>0.08</v>
      </c>
      <c r="H44" s="18">
        <f t="shared" si="0"/>
        <v>80</v>
      </c>
      <c r="I44" s="20">
        <v>0.05</v>
      </c>
      <c r="J44" s="19">
        <f>H44+E44*I44</f>
        <v>130</v>
      </c>
      <c r="K44" s="15">
        <f>H44/1.5</f>
        <v>53.333333333333336</v>
      </c>
      <c r="L44" s="5">
        <v>53</v>
      </c>
      <c r="M44" s="5"/>
      <c r="Q44" s="5"/>
      <c r="R44" s="16" t="s">
        <v>668</v>
      </c>
      <c r="S44">
        <v>7050</v>
      </c>
      <c r="T44" s="5">
        <f t="shared" si="4"/>
        <v>70.5</v>
      </c>
      <c r="U44" s="5">
        <f t="shared" si="3"/>
        <v>-9.5</v>
      </c>
    </row>
    <row r="45" spans="1:21" customFormat="1" hidden="1" x14ac:dyDescent="0.3">
      <c r="A45" s="3">
        <v>12</v>
      </c>
      <c r="B45" t="s">
        <v>314</v>
      </c>
      <c r="C45">
        <v>20</v>
      </c>
      <c r="D45" t="s">
        <v>374</v>
      </c>
      <c r="E45" s="8">
        <v>292</v>
      </c>
      <c r="F45" t="s">
        <v>624</v>
      </c>
      <c r="G45" s="20">
        <v>0.12</v>
      </c>
      <c r="H45" s="18">
        <f t="shared" si="0"/>
        <v>35.04</v>
      </c>
      <c r="I45" s="20">
        <v>0.01</v>
      </c>
      <c r="J45" s="19">
        <f>H45+I45*E45</f>
        <v>37.96</v>
      </c>
      <c r="K45" s="13">
        <f t="shared" ref="K45:K51" si="10">H45</f>
        <v>35.04</v>
      </c>
      <c r="L45" s="5">
        <v>15</v>
      </c>
      <c r="M45" s="5"/>
      <c r="P45" t="s">
        <v>644</v>
      </c>
      <c r="Q45" s="5">
        <v>27</v>
      </c>
      <c r="R45" s="16" t="s">
        <v>646</v>
      </c>
      <c r="S45">
        <v>2500</v>
      </c>
      <c r="T45" s="5">
        <f t="shared" si="4"/>
        <v>25</v>
      </c>
      <c r="U45" s="5">
        <f t="shared" si="3"/>
        <v>-10.039999999999999</v>
      </c>
    </row>
    <row r="46" spans="1:21" customFormat="1" hidden="1" x14ac:dyDescent="0.3">
      <c r="A46" s="3" t="s">
        <v>592</v>
      </c>
      <c r="B46" t="s">
        <v>593</v>
      </c>
      <c r="C46">
        <v>191</v>
      </c>
      <c r="D46" t="s">
        <v>268</v>
      </c>
      <c r="E46" s="8">
        <v>1433</v>
      </c>
      <c r="F46" t="s">
        <v>623</v>
      </c>
      <c r="G46" s="20">
        <v>7.0000000000000007E-2</v>
      </c>
      <c r="H46" s="18">
        <f t="shared" si="0"/>
        <v>100.31000000000002</v>
      </c>
      <c r="I46" s="20">
        <v>0.01</v>
      </c>
      <c r="J46" s="19">
        <f>H46+I46*E46</f>
        <v>114.64000000000001</v>
      </c>
      <c r="K46" s="1">
        <f t="shared" si="10"/>
        <v>100.31000000000002</v>
      </c>
      <c r="L46" s="5">
        <v>67</v>
      </c>
      <c r="M46" s="5"/>
      <c r="N46" t="s">
        <v>645</v>
      </c>
      <c r="O46">
        <v>77.5</v>
      </c>
      <c r="Q46" s="5"/>
      <c r="R46" s="16" t="s">
        <v>662</v>
      </c>
      <c r="S46">
        <v>9000</v>
      </c>
      <c r="T46" s="5">
        <f t="shared" si="4"/>
        <v>90</v>
      </c>
      <c r="U46" s="5">
        <f t="shared" si="3"/>
        <v>-10.310000000000016</v>
      </c>
    </row>
    <row r="47" spans="1:21" customFormat="1" hidden="1" x14ac:dyDescent="0.3">
      <c r="A47" s="3" t="s">
        <v>387</v>
      </c>
      <c r="B47" t="s">
        <v>388</v>
      </c>
      <c r="C47">
        <v>166</v>
      </c>
      <c r="D47" t="s">
        <v>283</v>
      </c>
      <c r="E47" s="8">
        <v>507</v>
      </c>
      <c r="F47" t="s">
        <v>624</v>
      </c>
      <c r="G47" s="20">
        <v>0.08</v>
      </c>
      <c r="H47" s="18">
        <f t="shared" si="0"/>
        <v>40.56</v>
      </c>
      <c r="I47" s="20">
        <v>0.1</v>
      </c>
      <c r="J47" s="19">
        <f>H47+E47*I47</f>
        <v>91.26</v>
      </c>
      <c r="K47" s="13">
        <f t="shared" si="10"/>
        <v>40.56</v>
      </c>
      <c r="L47" s="5"/>
      <c r="M47" s="5"/>
      <c r="Q47" s="5"/>
      <c r="R47" s="16" t="s">
        <v>646</v>
      </c>
      <c r="S47">
        <v>2800</v>
      </c>
      <c r="T47" s="5">
        <f t="shared" si="4"/>
        <v>28</v>
      </c>
      <c r="U47" s="5">
        <f t="shared" si="3"/>
        <v>-12.560000000000002</v>
      </c>
    </row>
    <row r="48" spans="1:21" customFormat="1" hidden="1" x14ac:dyDescent="0.3">
      <c r="A48" s="3">
        <v>14</v>
      </c>
      <c r="B48" t="s">
        <v>316</v>
      </c>
      <c r="C48">
        <v>24</v>
      </c>
      <c r="D48" t="s">
        <v>374</v>
      </c>
      <c r="E48" s="8">
        <v>290</v>
      </c>
      <c r="F48" t="s">
        <v>623</v>
      </c>
      <c r="G48" s="20">
        <v>0.12</v>
      </c>
      <c r="H48" s="18">
        <f t="shared" si="0"/>
        <v>34.799999999999997</v>
      </c>
      <c r="I48" s="20">
        <v>0.01</v>
      </c>
      <c r="J48" s="19">
        <f>H48+I48*E48</f>
        <v>37.699999999999996</v>
      </c>
      <c r="K48" s="13">
        <f t="shared" si="10"/>
        <v>34.799999999999997</v>
      </c>
      <c r="L48" s="5">
        <v>20</v>
      </c>
      <c r="M48" s="5"/>
      <c r="P48" t="s">
        <v>644</v>
      </c>
      <c r="Q48" s="5">
        <v>21</v>
      </c>
      <c r="R48" s="16" t="s">
        <v>646</v>
      </c>
      <c r="S48">
        <v>2100</v>
      </c>
      <c r="T48" s="5">
        <f t="shared" si="4"/>
        <v>21</v>
      </c>
      <c r="U48" s="5">
        <f t="shared" si="3"/>
        <v>-13.799999999999997</v>
      </c>
    </row>
    <row r="49" spans="1:21" customFormat="1" hidden="1" x14ac:dyDescent="0.3">
      <c r="A49" s="3" t="s">
        <v>420</v>
      </c>
      <c r="B49" t="s">
        <v>421</v>
      </c>
      <c r="C49">
        <v>99</v>
      </c>
      <c r="D49" t="s">
        <v>283</v>
      </c>
      <c r="E49" s="8">
        <v>1000</v>
      </c>
      <c r="F49" t="s">
        <v>627</v>
      </c>
      <c r="G49" s="20">
        <v>0.08</v>
      </c>
      <c r="H49" s="18">
        <f t="shared" si="0"/>
        <v>80</v>
      </c>
      <c r="I49" s="20">
        <v>0.05</v>
      </c>
      <c r="J49" s="19">
        <f t="shared" ref="J49:J54" si="11">H49+E49*I49</f>
        <v>130</v>
      </c>
      <c r="K49" s="1">
        <f t="shared" si="10"/>
        <v>80</v>
      </c>
      <c r="L49" s="5">
        <v>57.5</v>
      </c>
      <c r="M49" s="5"/>
      <c r="Q49" s="5"/>
      <c r="R49" s="16" t="s">
        <v>662</v>
      </c>
      <c r="S49">
        <v>6500</v>
      </c>
      <c r="T49" s="5">
        <f t="shared" si="4"/>
        <v>65</v>
      </c>
      <c r="U49" s="5">
        <f t="shared" si="3"/>
        <v>-15</v>
      </c>
    </row>
    <row r="50" spans="1:21" customFormat="1" hidden="1" x14ac:dyDescent="0.3">
      <c r="A50" s="3" t="s">
        <v>364</v>
      </c>
      <c r="B50" t="s">
        <v>365</v>
      </c>
      <c r="C50">
        <v>150</v>
      </c>
      <c r="D50" t="s">
        <v>283</v>
      </c>
      <c r="E50" s="8">
        <v>798</v>
      </c>
      <c r="F50" t="s">
        <v>626</v>
      </c>
      <c r="G50" s="20">
        <v>0.08</v>
      </c>
      <c r="H50" s="18">
        <f t="shared" si="0"/>
        <v>63.84</v>
      </c>
      <c r="I50" s="20">
        <v>0.05</v>
      </c>
      <c r="J50" s="19">
        <f t="shared" si="11"/>
        <v>103.74000000000001</v>
      </c>
      <c r="K50" s="1">
        <f t="shared" si="10"/>
        <v>63.84</v>
      </c>
      <c r="L50" s="5">
        <v>43</v>
      </c>
      <c r="M50" s="5"/>
      <c r="Q50" s="5"/>
      <c r="R50" s="16" t="s">
        <v>662</v>
      </c>
      <c r="S50">
        <v>4800</v>
      </c>
      <c r="T50" s="5">
        <f t="shared" si="4"/>
        <v>48</v>
      </c>
      <c r="U50" s="5">
        <f t="shared" si="3"/>
        <v>-15.840000000000003</v>
      </c>
    </row>
    <row r="51" spans="1:21" customFormat="1" hidden="1" x14ac:dyDescent="0.3">
      <c r="A51" s="3" t="s">
        <v>346</v>
      </c>
      <c r="B51" t="s">
        <v>347</v>
      </c>
      <c r="C51">
        <v>135</v>
      </c>
      <c r="D51" t="s">
        <v>283</v>
      </c>
      <c r="E51" s="8">
        <v>6705</v>
      </c>
      <c r="F51" t="s">
        <v>625</v>
      </c>
      <c r="G51" s="20">
        <v>0.08</v>
      </c>
      <c r="H51" s="18">
        <f t="shared" si="0"/>
        <v>536.4</v>
      </c>
      <c r="I51" s="20">
        <v>0.1</v>
      </c>
      <c r="J51" s="19">
        <f t="shared" si="11"/>
        <v>1206.9000000000001</v>
      </c>
      <c r="K51" s="14">
        <f t="shared" si="10"/>
        <v>536.4</v>
      </c>
      <c r="L51" s="5">
        <v>255</v>
      </c>
      <c r="M51" s="5"/>
      <c r="Q51" s="5"/>
      <c r="R51" s="16" t="s">
        <v>668</v>
      </c>
      <c r="S51">
        <v>52000</v>
      </c>
      <c r="T51" s="5">
        <f t="shared" si="4"/>
        <v>520</v>
      </c>
      <c r="U51" s="5">
        <f t="shared" si="3"/>
        <v>-16.399999999999977</v>
      </c>
    </row>
    <row r="52" spans="1:21" customFormat="1" hidden="1" x14ac:dyDescent="0.3">
      <c r="A52" s="9" t="s">
        <v>553</v>
      </c>
      <c r="B52" t="s">
        <v>554</v>
      </c>
      <c r="C52">
        <v>181</v>
      </c>
      <c r="D52" t="s">
        <v>283</v>
      </c>
      <c r="E52" s="8">
        <v>490</v>
      </c>
      <c r="F52" t="s">
        <v>626</v>
      </c>
      <c r="G52" s="20">
        <v>0.08</v>
      </c>
      <c r="H52" s="18">
        <f t="shared" si="0"/>
        <v>39.200000000000003</v>
      </c>
      <c r="I52" s="20">
        <v>0.05</v>
      </c>
      <c r="J52" s="19">
        <f t="shared" si="11"/>
        <v>63.7</v>
      </c>
      <c r="K52" s="15">
        <f>H52/1.5</f>
        <v>26.133333333333336</v>
      </c>
      <c r="L52" s="5"/>
      <c r="M52" s="5"/>
      <c r="Q52" s="5"/>
      <c r="R52" s="16" t="s">
        <v>668</v>
      </c>
      <c r="S52">
        <v>2250</v>
      </c>
      <c r="T52" s="5">
        <f t="shared" si="4"/>
        <v>22.5</v>
      </c>
      <c r="U52" s="5">
        <f t="shared" si="3"/>
        <v>-16.700000000000003</v>
      </c>
    </row>
    <row r="53" spans="1:21" customFormat="1" hidden="1" x14ac:dyDescent="0.3">
      <c r="A53" s="3" t="s">
        <v>590</v>
      </c>
      <c r="B53" t="s">
        <v>591</v>
      </c>
      <c r="C53">
        <v>190</v>
      </c>
      <c r="D53" t="s">
        <v>283</v>
      </c>
      <c r="E53" s="8">
        <v>909</v>
      </c>
      <c r="F53" t="s">
        <v>625</v>
      </c>
      <c r="G53" s="20">
        <v>0.08</v>
      </c>
      <c r="H53" s="18">
        <f t="shared" si="0"/>
        <v>72.72</v>
      </c>
      <c r="I53" s="20">
        <v>0.1</v>
      </c>
      <c r="J53" s="19">
        <f t="shared" si="11"/>
        <v>163.62</v>
      </c>
      <c r="K53" s="1">
        <f t="shared" ref="K53:K60" si="12">H53</f>
        <v>72.72</v>
      </c>
      <c r="L53" s="5">
        <v>75</v>
      </c>
      <c r="M53" s="5"/>
      <c r="Q53" s="5"/>
      <c r="R53" s="16" t="s">
        <v>662</v>
      </c>
      <c r="S53">
        <v>5550</v>
      </c>
      <c r="T53" s="5">
        <f t="shared" si="4"/>
        <v>55.5</v>
      </c>
      <c r="U53" s="5">
        <f t="shared" si="3"/>
        <v>-17.22</v>
      </c>
    </row>
    <row r="54" spans="1:21" customFormat="1" hidden="1" x14ac:dyDescent="0.3">
      <c r="A54" s="3">
        <v>13</v>
      </c>
      <c r="B54" t="s">
        <v>315</v>
      </c>
      <c r="C54">
        <v>22</v>
      </c>
      <c r="D54" t="s">
        <v>374</v>
      </c>
      <c r="E54" s="8">
        <v>519</v>
      </c>
      <c r="F54" t="s">
        <v>623</v>
      </c>
      <c r="G54" s="20">
        <v>0.12</v>
      </c>
      <c r="H54" s="18">
        <f t="shared" si="0"/>
        <v>62.28</v>
      </c>
      <c r="I54" s="20">
        <v>0.1</v>
      </c>
      <c r="J54" s="19">
        <f t="shared" si="11"/>
        <v>114.18</v>
      </c>
      <c r="K54" s="13">
        <f t="shared" si="12"/>
        <v>62.28</v>
      </c>
      <c r="L54" s="5">
        <v>25</v>
      </c>
      <c r="M54" s="5"/>
      <c r="Q54" s="5"/>
      <c r="R54" s="16" t="s">
        <v>646</v>
      </c>
      <c r="S54">
        <v>4500</v>
      </c>
      <c r="T54" s="5">
        <f t="shared" si="4"/>
        <v>45</v>
      </c>
      <c r="U54" s="5">
        <f t="shared" si="3"/>
        <v>-17.28</v>
      </c>
    </row>
    <row r="55" spans="1:21" customFormat="1" hidden="1" x14ac:dyDescent="0.3">
      <c r="A55" s="3" t="s">
        <v>598</v>
      </c>
      <c r="B55" t="s">
        <v>599</v>
      </c>
      <c r="C55">
        <v>193</v>
      </c>
      <c r="D55" t="s">
        <v>283</v>
      </c>
      <c r="E55" s="8">
        <v>699</v>
      </c>
      <c r="F55" t="s">
        <v>623</v>
      </c>
      <c r="G55" s="20">
        <v>0.08</v>
      </c>
      <c r="H55" s="18">
        <f t="shared" si="0"/>
        <v>55.92</v>
      </c>
      <c r="I55" s="20">
        <v>0.01</v>
      </c>
      <c r="J55" s="19">
        <f>H55+I55*E55</f>
        <v>62.910000000000004</v>
      </c>
      <c r="K55" s="1">
        <f t="shared" si="12"/>
        <v>55.92</v>
      </c>
      <c r="L55" s="5">
        <v>37</v>
      </c>
      <c r="M55" s="5"/>
      <c r="N55" t="s">
        <v>645</v>
      </c>
      <c r="O55">
        <v>58.5</v>
      </c>
      <c r="Q55" s="5"/>
      <c r="R55" s="16" t="s">
        <v>662</v>
      </c>
      <c r="S55">
        <v>3800</v>
      </c>
      <c r="T55" s="5">
        <f t="shared" si="4"/>
        <v>38</v>
      </c>
      <c r="U55" s="5">
        <f t="shared" si="3"/>
        <v>-17.920000000000002</v>
      </c>
    </row>
    <row r="56" spans="1:21" customFormat="1" hidden="1" x14ac:dyDescent="0.3">
      <c r="A56" s="3" t="s">
        <v>585</v>
      </c>
      <c r="B56" t="s">
        <v>586</v>
      </c>
      <c r="C56">
        <v>188</v>
      </c>
      <c r="D56" t="s">
        <v>283</v>
      </c>
      <c r="E56" s="8">
        <v>3200</v>
      </c>
      <c r="F56" t="s">
        <v>628</v>
      </c>
      <c r="G56" s="20">
        <v>0.08</v>
      </c>
      <c r="H56" s="18">
        <f t="shared" si="0"/>
        <v>256</v>
      </c>
      <c r="I56" s="20">
        <v>0.1</v>
      </c>
      <c r="J56" s="19">
        <f>H56+E56*I56</f>
        <v>576</v>
      </c>
      <c r="K56" s="14">
        <f t="shared" si="12"/>
        <v>256</v>
      </c>
      <c r="L56" s="5">
        <v>128</v>
      </c>
      <c r="M56" s="5"/>
      <c r="Q56" s="5"/>
      <c r="R56" s="16" t="s">
        <v>668</v>
      </c>
      <c r="S56">
        <v>23800</v>
      </c>
      <c r="T56" s="5">
        <f t="shared" si="4"/>
        <v>238</v>
      </c>
      <c r="U56" s="5">
        <f t="shared" si="3"/>
        <v>-18</v>
      </c>
    </row>
    <row r="57" spans="1:21" customFormat="1" hidden="1" x14ac:dyDescent="0.3">
      <c r="A57" s="3" t="s">
        <v>608</v>
      </c>
      <c r="B57" t="s">
        <v>609</v>
      </c>
      <c r="C57">
        <v>197</v>
      </c>
      <c r="D57" t="s">
        <v>283</v>
      </c>
      <c r="E57" s="8">
        <v>767</v>
      </c>
      <c r="F57" t="s">
        <v>625</v>
      </c>
      <c r="G57" s="20">
        <v>0.08</v>
      </c>
      <c r="H57" s="18">
        <f t="shared" si="0"/>
        <v>61.36</v>
      </c>
      <c r="I57" s="20">
        <v>0.01</v>
      </c>
      <c r="J57" s="19">
        <f>H57+I57*E57</f>
        <v>69.03</v>
      </c>
      <c r="K57" s="1">
        <f t="shared" si="12"/>
        <v>61.36</v>
      </c>
      <c r="L57" s="5">
        <v>41</v>
      </c>
      <c r="M57" s="5"/>
      <c r="N57" t="s">
        <v>645</v>
      </c>
      <c r="O57">
        <v>63.5</v>
      </c>
      <c r="Q57" s="5"/>
      <c r="R57" s="16" t="s">
        <v>662</v>
      </c>
      <c r="S57">
        <v>4200</v>
      </c>
      <c r="T57" s="5">
        <f t="shared" si="4"/>
        <v>42</v>
      </c>
      <c r="U57" s="5">
        <f t="shared" si="3"/>
        <v>-19.36</v>
      </c>
    </row>
    <row r="58" spans="1:21" customFormat="1" hidden="1" x14ac:dyDescent="0.3">
      <c r="A58" s="3" t="s">
        <v>428</v>
      </c>
      <c r="B58" t="s">
        <v>429</v>
      </c>
      <c r="C58">
        <v>106</v>
      </c>
      <c r="D58" t="s">
        <v>283</v>
      </c>
      <c r="E58" s="8">
        <v>2749</v>
      </c>
      <c r="F58" t="s">
        <v>629</v>
      </c>
      <c r="G58" s="20">
        <v>0.12</v>
      </c>
      <c r="H58" s="18">
        <f t="shared" si="0"/>
        <v>329.88</v>
      </c>
      <c r="I58" s="20">
        <v>0.1</v>
      </c>
      <c r="J58" s="19">
        <f>H58+E58*I58</f>
        <v>604.78</v>
      </c>
      <c r="K58" s="14">
        <f t="shared" si="12"/>
        <v>329.88</v>
      </c>
      <c r="L58" s="5">
        <v>165</v>
      </c>
      <c r="M58" s="5"/>
      <c r="Q58" s="5"/>
      <c r="R58" s="16" t="s">
        <v>662</v>
      </c>
      <c r="S58">
        <v>31000</v>
      </c>
      <c r="T58" s="5">
        <f t="shared" si="4"/>
        <v>310</v>
      </c>
      <c r="U58" s="5">
        <f t="shared" si="3"/>
        <v>-19.879999999999995</v>
      </c>
    </row>
    <row r="59" spans="1:21" customFormat="1" hidden="1" x14ac:dyDescent="0.3">
      <c r="A59" s="3" t="s">
        <v>330</v>
      </c>
      <c r="B59" t="s">
        <v>331</v>
      </c>
      <c r="C59">
        <v>112</v>
      </c>
      <c r="D59" t="s">
        <v>283</v>
      </c>
      <c r="E59" s="8">
        <v>1298</v>
      </c>
      <c r="F59" t="s">
        <v>630</v>
      </c>
      <c r="G59" s="20">
        <v>0.08</v>
      </c>
      <c r="H59" s="18">
        <f t="shared" si="0"/>
        <v>103.84</v>
      </c>
      <c r="I59" s="20">
        <v>0.05</v>
      </c>
      <c r="J59" s="19">
        <f>H59+E59*I59</f>
        <v>168.74</v>
      </c>
      <c r="K59" s="1">
        <f t="shared" si="12"/>
        <v>103.84</v>
      </c>
      <c r="L59" s="5">
        <v>80</v>
      </c>
      <c r="M59" s="5"/>
      <c r="Q59" s="5"/>
      <c r="R59" s="16" t="s">
        <v>668</v>
      </c>
      <c r="S59">
        <v>8250</v>
      </c>
      <c r="T59" s="5">
        <f t="shared" si="4"/>
        <v>82.5</v>
      </c>
      <c r="U59" s="5">
        <f t="shared" si="3"/>
        <v>-21.340000000000003</v>
      </c>
    </row>
    <row r="60" spans="1:21" customFormat="1" hidden="1" x14ac:dyDescent="0.3">
      <c r="A60" s="3" t="s">
        <v>551</v>
      </c>
      <c r="B60" t="s">
        <v>552</v>
      </c>
      <c r="C60">
        <v>180</v>
      </c>
      <c r="D60" t="s">
        <v>283</v>
      </c>
      <c r="E60" s="8">
        <v>1380</v>
      </c>
      <c r="F60" t="s">
        <v>624</v>
      </c>
      <c r="G60" s="20">
        <v>0.08</v>
      </c>
      <c r="H60" s="18">
        <f t="shared" si="0"/>
        <v>110.4</v>
      </c>
      <c r="I60" s="20">
        <v>0.1</v>
      </c>
      <c r="J60" s="19">
        <f>H60+E60*I60</f>
        <v>248.4</v>
      </c>
      <c r="K60" s="1">
        <f t="shared" si="12"/>
        <v>110.4</v>
      </c>
      <c r="L60" s="5">
        <v>74</v>
      </c>
      <c r="M60" s="5"/>
      <c r="Q60" s="5"/>
      <c r="R60" s="16" t="s">
        <v>662</v>
      </c>
      <c r="S60">
        <v>8750</v>
      </c>
      <c r="T60" s="5">
        <f t="shared" si="4"/>
        <v>87.5</v>
      </c>
      <c r="U60" s="5">
        <f t="shared" si="3"/>
        <v>-22.900000000000006</v>
      </c>
    </row>
    <row r="61" spans="1:21" customFormat="1" hidden="1" x14ac:dyDescent="0.3">
      <c r="A61" s="9" t="s">
        <v>368</v>
      </c>
      <c r="B61" t="s">
        <v>369</v>
      </c>
      <c r="C61">
        <v>153</v>
      </c>
      <c r="D61" t="s">
        <v>283</v>
      </c>
      <c r="E61" s="8">
        <v>250</v>
      </c>
      <c r="F61" t="s">
        <v>627</v>
      </c>
      <c r="G61" s="20">
        <v>0.12</v>
      </c>
      <c r="H61" s="18">
        <f t="shared" si="0"/>
        <v>30</v>
      </c>
      <c r="I61" s="20">
        <v>0.05</v>
      </c>
      <c r="J61" s="19">
        <f>H61+E61*I61</f>
        <v>42.5</v>
      </c>
      <c r="K61" s="15">
        <f>H61/1.5</f>
        <v>20</v>
      </c>
      <c r="L61" s="5"/>
      <c r="M61" s="5"/>
      <c r="Q61" s="5"/>
      <c r="R61" s="16" t="s">
        <v>668</v>
      </c>
      <c r="S61">
        <v>500</v>
      </c>
      <c r="T61" s="5">
        <f t="shared" si="4"/>
        <v>5</v>
      </c>
      <c r="U61" s="5">
        <f t="shared" si="3"/>
        <v>-25</v>
      </c>
    </row>
    <row r="62" spans="1:21" customFormat="1" hidden="1" x14ac:dyDescent="0.3">
      <c r="A62" s="3" t="s">
        <v>497</v>
      </c>
      <c r="B62" t="s">
        <v>498</v>
      </c>
      <c r="C62">
        <v>127</v>
      </c>
      <c r="D62" t="s">
        <v>283</v>
      </c>
      <c r="E62" s="8">
        <v>1100</v>
      </c>
      <c r="F62" t="s">
        <v>627</v>
      </c>
      <c r="G62" s="20">
        <v>0.08</v>
      </c>
      <c r="H62" s="18">
        <f t="shared" si="0"/>
        <v>88</v>
      </c>
      <c r="I62" s="20">
        <v>0.01</v>
      </c>
      <c r="J62" s="19">
        <f>H62+I62*E62</f>
        <v>99</v>
      </c>
      <c r="K62" s="1">
        <f>H62</f>
        <v>88</v>
      </c>
      <c r="L62" s="5">
        <v>59</v>
      </c>
      <c r="M62" s="5"/>
      <c r="P62" t="s">
        <v>644</v>
      </c>
      <c r="Q62" s="5">
        <v>5.25</v>
      </c>
      <c r="R62" s="16" t="s">
        <v>668</v>
      </c>
      <c r="S62">
        <v>6150</v>
      </c>
      <c r="T62" s="5">
        <f t="shared" si="4"/>
        <v>61.5</v>
      </c>
      <c r="U62" s="5">
        <f t="shared" si="3"/>
        <v>-26.5</v>
      </c>
    </row>
    <row r="63" spans="1:21" customFormat="1" hidden="1" x14ac:dyDescent="0.3">
      <c r="A63" s="3" t="s">
        <v>560</v>
      </c>
      <c r="B63" t="s">
        <v>561</v>
      </c>
      <c r="C63">
        <v>184</v>
      </c>
      <c r="D63" t="s">
        <v>283</v>
      </c>
      <c r="E63" s="8">
        <v>5400</v>
      </c>
      <c r="F63" t="s">
        <v>625</v>
      </c>
      <c r="G63" s="20">
        <v>0.08</v>
      </c>
      <c r="H63" s="18">
        <f t="shared" si="0"/>
        <v>432</v>
      </c>
      <c r="I63" s="20">
        <v>0.1</v>
      </c>
      <c r="J63" s="19">
        <f t="shared" ref="J63:J70" si="13">H63+E63*I63</f>
        <v>972</v>
      </c>
      <c r="K63" s="14">
        <f>H63</f>
        <v>432</v>
      </c>
      <c r="L63" s="5">
        <v>216</v>
      </c>
      <c r="M63" s="5"/>
      <c r="Q63" s="5"/>
      <c r="R63" s="16" t="s">
        <v>668</v>
      </c>
      <c r="S63">
        <v>40500</v>
      </c>
      <c r="T63" s="5">
        <f t="shared" si="4"/>
        <v>405</v>
      </c>
      <c r="U63" s="5">
        <f t="shared" si="3"/>
        <v>-27</v>
      </c>
    </row>
    <row r="64" spans="1:21" customFormat="1" hidden="1" x14ac:dyDescent="0.3">
      <c r="A64" s="9" t="s">
        <v>412</v>
      </c>
      <c r="B64" t="s">
        <v>413</v>
      </c>
      <c r="C64">
        <v>83</v>
      </c>
      <c r="D64" t="s">
        <v>283</v>
      </c>
      <c r="E64" s="8">
        <v>1148</v>
      </c>
      <c r="F64" t="s">
        <v>627</v>
      </c>
      <c r="G64" s="20">
        <v>0.12</v>
      </c>
      <c r="H64" s="18">
        <f t="shared" si="0"/>
        <v>137.76</v>
      </c>
      <c r="I64" s="20">
        <v>0.05</v>
      </c>
      <c r="J64" s="19">
        <f t="shared" si="13"/>
        <v>195.16</v>
      </c>
      <c r="K64" s="15">
        <f>H64/1.5</f>
        <v>91.839999999999989</v>
      </c>
      <c r="L64" s="5">
        <v>92</v>
      </c>
      <c r="M64" s="5"/>
      <c r="Q64" s="5"/>
      <c r="R64" s="16" t="s">
        <v>694</v>
      </c>
      <c r="S64">
        <v>11000</v>
      </c>
      <c r="T64" s="5">
        <f t="shared" si="4"/>
        <v>110</v>
      </c>
      <c r="U64" s="5">
        <f t="shared" si="3"/>
        <v>-27.759999999999991</v>
      </c>
    </row>
    <row r="65" spans="1:21" customFormat="1" hidden="1" x14ac:dyDescent="0.3">
      <c r="A65" s="3" t="s">
        <v>562</v>
      </c>
      <c r="B65" t="s">
        <v>563</v>
      </c>
      <c r="C65">
        <v>185</v>
      </c>
      <c r="D65" t="s">
        <v>283</v>
      </c>
      <c r="E65" s="8">
        <v>4600</v>
      </c>
      <c r="F65" t="s">
        <v>628</v>
      </c>
      <c r="G65" s="20">
        <v>0.08</v>
      </c>
      <c r="H65" s="18">
        <f t="shared" si="0"/>
        <v>368</v>
      </c>
      <c r="I65" s="20">
        <v>0.1</v>
      </c>
      <c r="J65" s="19">
        <f t="shared" si="13"/>
        <v>828</v>
      </c>
      <c r="K65" s="14">
        <f>H65</f>
        <v>368</v>
      </c>
      <c r="L65" s="5">
        <v>185</v>
      </c>
      <c r="M65" s="5"/>
      <c r="Q65" s="5"/>
      <c r="R65" s="16" t="s">
        <v>668</v>
      </c>
      <c r="S65">
        <v>33500</v>
      </c>
      <c r="T65" s="5">
        <f t="shared" si="4"/>
        <v>335</v>
      </c>
      <c r="U65" s="5">
        <f t="shared" si="3"/>
        <v>-33</v>
      </c>
    </row>
    <row r="66" spans="1:21" customFormat="1" hidden="1" x14ac:dyDescent="0.3">
      <c r="A66" s="3" t="s">
        <v>537</v>
      </c>
      <c r="B66" t="s">
        <v>538</v>
      </c>
      <c r="C66">
        <v>170</v>
      </c>
      <c r="D66" t="s">
        <v>283</v>
      </c>
      <c r="E66" s="8">
        <v>1400</v>
      </c>
      <c r="F66" t="s">
        <v>629</v>
      </c>
      <c r="G66" s="20">
        <v>0.08</v>
      </c>
      <c r="H66" s="18">
        <f t="shared" ref="H66:H129" si="14">G66*E66</f>
        <v>112</v>
      </c>
      <c r="I66" s="20">
        <v>0.1</v>
      </c>
      <c r="J66" s="19">
        <f t="shared" si="13"/>
        <v>252</v>
      </c>
      <c r="K66" s="1">
        <f>H66</f>
        <v>112</v>
      </c>
      <c r="L66" s="5">
        <v>75</v>
      </c>
      <c r="M66" s="5"/>
      <c r="Q66" s="5"/>
      <c r="R66" s="16" t="s">
        <v>668</v>
      </c>
      <c r="S66">
        <v>7750</v>
      </c>
      <c r="T66" s="5">
        <f t="shared" ref="T66:T129" si="15">S66/100</f>
        <v>77.5</v>
      </c>
      <c r="U66" s="5">
        <f t="shared" ref="U66:U129" si="16">T66-H66</f>
        <v>-34.5</v>
      </c>
    </row>
    <row r="67" spans="1:21" customFormat="1" hidden="1" x14ac:dyDescent="0.3">
      <c r="A67" s="3" t="s">
        <v>383</v>
      </c>
      <c r="B67" t="s">
        <v>384</v>
      </c>
      <c r="C67">
        <v>163</v>
      </c>
      <c r="D67" t="s">
        <v>283</v>
      </c>
      <c r="E67" s="8">
        <v>1749</v>
      </c>
      <c r="F67" t="s">
        <v>626</v>
      </c>
      <c r="G67" s="20">
        <v>0.08</v>
      </c>
      <c r="H67" s="18">
        <f t="shared" si="14"/>
        <v>139.92000000000002</v>
      </c>
      <c r="I67" s="20">
        <v>0.05</v>
      </c>
      <c r="J67" s="19">
        <f t="shared" si="13"/>
        <v>227.37</v>
      </c>
      <c r="K67" s="14">
        <f>H67</f>
        <v>139.92000000000002</v>
      </c>
      <c r="L67" s="5">
        <v>100</v>
      </c>
      <c r="M67" s="5"/>
      <c r="Q67" s="5"/>
      <c r="R67" s="16" t="s">
        <v>668</v>
      </c>
      <c r="S67">
        <v>10500</v>
      </c>
      <c r="T67" s="5">
        <f t="shared" si="15"/>
        <v>105</v>
      </c>
      <c r="U67" s="5">
        <f t="shared" si="16"/>
        <v>-34.920000000000016</v>
      </c>
    </row>
    <row r="68" spans="1:21" customFormat="1" hidden="1" x14ac:dyDescent="0.3">
      <c r="A68" s="9" t="s">
        <v>602</v>
      </c>
      <c r="B68" t="s">
        <v>603</v>
      </c>
      <c r="C68">
        <v>195</v>
      </c>
      <c r="D68" t="s">
        <v>283</v>
      </c>
      <c r="E68" s="8">
        <v>670</v>
      </c>
      <c r="F68" t="s">
        <v>627</v>
      </c>
      <c r="G68" s="20">
        <v>0.08</v>
      </c>
      <c r="H68" s="18">
        <f t="shared" si="14"/>
        <v>53.6</v>
      </c>
      <c r="I68" s="20">
        <v>0.05</v>
      </c>
      <c r="J68" s="19">
        <f t="shared" si="13"/>
        <v>87.1</v>
      </c>
      <c r="K68" s="15">
        <f>H68/1.5</f>
        <v>35.733333333333334</v>
      </c>
      <c r="L68" s="5">
        <v>36</v>
      </c>
      <c r="M68" s="5"/>
      <c r="Q68" s="5"/>
      <c r="R68" s="16" t="s">
        <v>646</v>
      </c>
      <c r="S68">
        <v>1850</v>
      </c>
      <c r="T68" s="5">
        <f t="shared" si="15"/>
        <v>18.5</v>
      </c>
      <c r="U68" s="5">
        <f t="shared" si="16"/>
        <v>-35.1</v>
      </c>
    </row>
    <row r="69" spans="1:21" customFormat="1" hidden="1" x14ac:dyDescent="0.3">
      <c r="A69" s="9" t="s">
        <v>531</v>
      </c>
      <c r="B69" t="s">
        <v>532</v>
      </c>
      <c r="C69">
        <v>162</v>
      </c>
      <c r="D69" t="s">
        <v>283</v>
      </c>
      <c r="E69" s="8">
        <v>979</v>
      </c>
      <c r="F69" t="s">
        <v>624</v>
      </c>
      <c r="G69" s="20">
        <v>0.08</v>
      </c>
      <c r="H69" s="18">
        <f t="shared" si="14"/>
        <v>78.320000000000007</v>
      </c>
      <c r="I69" s="20">
        <v>0.1</v>
      </c>
      <c r="J69" s="19">
        <f t="shared" si="13"/>
        <v>176.22000000000003</v>
      </c>
      <c r="K69" s="15">
        <f>H69/1.5</f>
        <v>52.213333333333338</v>
      </c>
      <c r="L69" s="5">
        <v>52</v>
      </c>
      <c r="M69" s="5"/>
      <c r="Q69" s="5"/>
      <c r="R69" s="16" t="s">
        <v>646</v>
      </c>
      <c r="S69">
        <v>4150</v>
      </c>
      <c r="T69" s="5">
        <f t="shared" si="15"/>
        <v>41.5</v>
      </c>
      <c r="U69" s="5">
        <f t="shared" si="16"/>
        <v>-36.820000000000007</v>
      </c>
    </row>
    <row r="70" spans="1:21" customFormat="1" hidden="1" x14ac:dyDescent="0.3">
      <c r="A70" s="9" t="s">
        <v>475</v>
      </c>
      <c r="B70" t="s">
        <v>476</v>
      </c>
      <c r="C70">
        <v>82</v>
      </c>
      <c r="D70" t="s">
        <v>283</v>
      </c>
      <c r="E70" s="8">
        <v>844</v>
      </c>
      <c r="F70" t="s">
        <v>627</v>
      </c>
      <c r="G70" s="20">
        <v>0.08</v>
      </c>
      <c r="H70" s="18">
        <f t="shared" si="14"/>
        <v>67.52</v>
      </c>
      <c r="I70" s="20">
        <v>0.05</v>
      </c>
      <c r="J70" s="19">
        <f t="shared" si="13"/>
        <v>109.72</v>
      </c>
      <c r="K70" s="15">
        <f>H70/1.5</f>
        <v>45.013333333333328</v>
      </c>
      <c r="L70" s="5">
        <v>45</v>
      </c>
      <c r="M70" s="5"/>
      <c r="Q70" s="5"/>
      <c r="R70" s="16" t="s">
        <v>646</v>
      </c>
      <c r="S70">
        <v>2875</v>
      </c>
      <c r="T70" s="5">
        <f t="shared" si="15"/>
        <v>28.75</v>
      </c>
      <c r="U70" s="5">
        <f t="shared" si="16"/>
        <v>-38.769999999999996</v>
      </c>
    </row>
    <row r="71" spans="1:21" customFormat="1" hidden="1" x14ac:dyDescent="0.3">
      <c r="A71" s="9" t="s">
        <v>277</v>
      </c>
      <c r="B71" t="s">
        <v>278</v>
      </c>
      <c r="C71">
        <v>17</v>
      </c>
      <c r="D71" t="s">
        <v>283</v>
      </c>
      <c r="E71" s="8">
        <v>661</v>
      </c>
      <c r="F71" t="s">
        <v>627</v>
      </c>
      <c r="G71" s="20">
        <v>0.08</v>
      </c>
      <c r="H71" s="18">
        <f t="shared" si="14"/>
        <v>52.88</v>
      </c>
      <c r="I71" s="20">
        <v>0.01</v>
      </c>
      <c r="J71" s="19">
        <f>H71+I71*E71</f>
        <v>59.49</v>
      </c>
      <c r="K71" s="15">
        <f>H71/1.5</f>
        <v>35.253333333333337</v>
      </c>
      <c r="L71" s="5">
        <v>20</v>
      </c>
      <c r="M71" s="5"/>
      <c r="P71" t="s">
        <v>644</v>
      </c>
      <c r="Q71" s="5">
        <v>10.5</v>
      </c>
      <c r="R71" s="16" t="s">
        <v>662</v>
      </c>
      <c r="S71">
        <v>1250</v>
      </c>
      <c r="T71" s="5">
        <f t="shared" si="15"/>
        <v>12.5</v>
      </c>
      <c r="U71" s="5">
        <f t="shared" si="16"/>
        <v>-40.380000000000003</v>
      </c>
    </row>
    <row r="72" spans="1:21" customFormat="1" hidden="1" x14ac:dyDescent="0.3">
      <c r="A72" s="9" t="s">
        <v>279</v>
      </c>
      <c r="B72" t="s">
        <v>280</v>
      </c>
      <c r="C72">
        <v>21</v>
      </c>
      <c r="D72" t="s">
        <v>283</v>
      </c>
      <c r="E72" s="8">
        <v>661</v>
      </c>
      <c r="F72" t="s">
        <v>627</v>
      </c>
      <c r="G72" s="20">
        <v>0.08</v>
      </c>
      <c r="H72" s="18">
        <f t="shared" si="14"/>
        <v>52.88</v>
      </c>
      <c r="I72" s="20">
        <v>0.01</v>
      </c>
      <c r="J72" s="19">
        <f>H72+I72*E72</f>
        <v>59.49</v>
      </c>
      <c r="K72" s="15">
        <f>H72/1.5</f>
        <v>35.253333333333337</v>
      </c>
      <c r="L72" s="5">
        <v>15</v>
      </c>
      <c r="M72" s="5"/>
      <c r="P72" t="s">
        <v>644</v>
      </c>
      <c r="Q72" s="5">
        <v>12.05</v>
      </c>
      <c r="R72" s="16" t="s">
        <v>662</v>
      </c>
      <c r="S72">
        <v>1250</v>
      </c>
      <c r="T72" s="5">
        <f t="shared" si="15"/>
        <v>12.5</v>
      </c>
      <c r="U72" s="5">
        <f t="shared" si="16"/>
        <v>-40.380000000000003</v>
      </c>
    </row>
    <row r="73" spans="1:21" customFormat="1" hidden="1" x14ac:dyDescent="0.3">
      <c r="A73" s="3" t="s">
        <v>440</v>
      </c>
      <c r="B73" t="s">
        <v>441</v>
      </c>
      <c r="C73">
        <v>117</v>
      </c>
      <c r="D73" t="s">
        <v>283</v>
      </c>
      <c r="E73" s="8">
        <v>1750</v>
      </c>
      <c r="F73" t="s">
        <v>625</v>
      </c>
      <c r="G73" s="20">
        <v>0.08</v>
      </c>
      <c r="H73" s="18">
        <f t="shared" si="14"/>
        <v>140</v>
      </c>
      <c r="I73" s="20">
        <v>0.01</v>
      </c>
      <c r="J73" s="19">
        <f>H73+I73*E73</f>
        <v>157.5</v>
      </c>
      <c r="K73" s="14">
        <f>H73</f>
        <v>140</v>
      </c>
      <c r="L73" s="5">
        <v>100</v>
      </c>
      <c r="M73" s="5"/>
      <c r="N73" t="s">
        <v>645</v>
      </c>
      <c r="O73">
        <v>67.5</v>
      </c>
      <c r="Q73" s="5"/>
      <c r="R73" s="16" t="s">
        <v>668</v>
      </c>
      <c r="S73">
        <v>9550</v>
      </c>
      <c r="T73" s="5">
        <f t="shared" si="15"/>
        <v>95.5</v>
      </c>
      <c r="U73" s="5">
        <f t="shared" si="16"/>
        <v>-44.5</v>
      </c>
    </row>
    <row r="74" spans="1:21" customFormat="1" hidden="1" x14ac:dyDescent="0.3">
      <c r="A74" s="3" t="s">
        <v>281</v>
      </c>
      <c r="B74" t="s">
        <v>282</v>
      </c>
      <c r="C74">
        <v>23</v>
      </c>
      <c r="D74" t="s">
        <v>283</v>
      </c>
      <c r="E74" s="8">
        <v>830</v>
      </c>
      <c r="F74" t="s">
        <v>627</v>
      </c>
      <c r="G74" s="20">
        <v>0.08</v>
      </c>
      <c r="H74" s="18">
        <f t="shared" si="14"/>
        <v>66.400000000000006</v>
      </c>
      <c r="I74" s="20">
        <v>0.01</v>
      </c>
      <c r="J74" s="19">
        <f>H74+I74*E74</f>
        <v>74.7</v>
      </c>
      <c r="K74" s="1">
        <f>H74</f>
        <v>66.400000000000006</v>
      </c>
      <c r="L74" s="5">
        <v>33</v>
      </c>
      <c r="M74" s="5"/>
      <c r="P74" t="s">
        <v>644</v>
      </c>
      <c r="Q74" s="5">
        <v>37</v>
      </c>
      <c r="R74" s="16" t="s">
        <v>662</v>
      </c>
      <c r="S74">
        <v>2100</v>
      </c>
      <c r="T74" s="5">
        <f t="shared" si="15"/>
        <v>21</v>
      </c>
      <c r="U74" s="5">
        <f t="shared" si="16"/>
        <v>-45.400000000000006</v>
      </c>
    </row>
    <row r="75" spans="1:21" customFormat="1" hidden="1" x14ac:dyDescent="0.3">
      <c r="A75" s="9" t="s">
        <v>523</v>
      </c>
      <c r="B75" t="s">
        <v>524</v>
      </c>
      <c r="C75">
        <v>151</v>
      </c>
      <c r="D75" t="s">
        <v>268</v>
      </c>
      <c r="E75" s="8">
        <v>1282</v>
      </c>
      <c r="F75" t="s">
        <v>627</v>
      </c>
      <c r="G75" s="20">
        <v>7.0000000000000007E-2</v>
      </c>
      <c r="H75" s="18">
        <f t="shared" si="14"/>
        <v>89.740000000000009</v>
      </c>
      <c r="I75" s="20">
        <v>0.05</v>
      </c>
      <c r="J75" s="19">
        <f>H75+E75*I75</f>
        <v>153.84000000000003</v>
      </c>
      <c r="K75" s="15">
        <f>H75/1.5</f>
        <v>59.826666666666675</v>
      </c>
      <c r="L75" s="5">
        <v>60</v>
      </c>
      <c r="M75" s="5"/>
      <c r="Q75" s="5"/>
      <c r="R75" s="16" t="s">
        <v>662</v>
      </c>
      <c r="S75">
        <v>3600</v>
      </c>
      <c r="T75" s="5">
        <f t="shared" si="15"/>
        <v>36</v>
      </c>
      <c r="U75" s="5">
        <f t="shared" si="16"/>
        <v>-53.740000000000009</v>
      </c>
    </row>
    <row r="76" spans="1:21" customFormat="1" hidden="1" x14ac:dyDescent="0.3">
      <c r="A76" s="9" t="s">
        <v>594</v>
      </c>
      <c r="B76" t="s">
        <v>595</v>
      </c>
      <c r="C76">
        <v>192</v>
      </c>
      <c r="D76" t="s">
        <v>283</v>
      </c>
      <c r="E76" s="8">
        <v>1098</v>
      </c>
      <c r="F76" t="s">
        <v>627</v>
      </c>
      <c r="G76" s="20">
        <v>0.12</v>
      </c>
      <c r="H76" s="18">
        <f t="shared" si="14"/>
        <v>131.76</v>
      </c>
      <c r="I76" s="20">
        <v>0.05</v>
      </c>
      <c r="J76" s="19">
        <f>H76+E76*I76</f>
        <v>186.66</v>
      </c>
      <c r="K76" s="15">
        <f>H76/1.5</f>
        <v>87.839999999999989</v>
      </c>
      <c r="L76" s="5">
        <v>88</v>
      </c>
      <c r="M76" s="5"/>
      <c r="Q76" s="5"/>
      <c r="R76" s="16" t="s">
        <v>646</v>
      </c>
      <c r="S76">
        <v>7750</v>
      </c>
      <c r="T76" s="5">
        <f t="shared" si="15"/>
        <v>77.5</v>
      </c>
      <c r="U76" s="5">
        <f t="shared" si="16"/>
        <v>-54.259999999999991</v>
      </c>
    </row>
    <row r="77" spans="1:21" customFormat="1" hidden="1" x14ac:dyDescent="0.3">
      <c r="A77" s="9" t="s">
        <v>308</v>
      </c>
      <c r="B77" t="s">
        <v>309</v>
      </c>
      <c r="C77">
        <v>56</v>
      </c>
      <c r="D77" t="s">
        <v>283</v>
      </c>
      <c r="E77" s="8">
        <v>990</v>
      </c>
      <c r="F77" t="s">
        <v>627</v>
      </c>
      <c r="G77" s="20">
        <v>0.08</v>
      </c>
      <c r="H77" s="18">
        <f t="shared" si="14"/>
        <v>79.2</v>
      </c>
      <c r="I77" s="20">
        <v>0.01</v>
      </c>
      <c r="J77" s="19">
        <f>H77+I77*E77</f>
        <v>89.100000000000009</v>
      </c>
      <c r="K77" s="15">
        <f>H77/1.5</f>
        <v>52.800000000000004</v>
      </c>
      <c r="L77" s="5">
        <v>30</v>
      </c>
      <c r="M77" s="5"/>
      <c r="P77" t="s">
        <v>644</v>
      </c>
      <c r="Q77" s="5">
        <v>33.549999999999997</v>
      </c>
      <c r="R77" s="16" t="s">
        <v>646</v>
      </c>
      <c r="S77">
        <v>2150</v>
      </c>
      <c r="T77" s="5">
        <f t="shared" si="15"/>
        <v>21.5</v>
      </c>
      <c r="U77" s="5">
        <f t="shared" si="16"/>
        <v>-57.7</v>
      </c>
    </row>
    <row r="78" spans="1:21" customFormat="1" hidden="1" x14ac:dyDescent="0.3">
      <c r="A78" s="9" t="s">
        <v>436</v>
      </c>
      <c r="B78" t="s">
        <v>437</v>
      </c>
      <c r="C78">
        <v>115</v>
      </c>
      <c r="D78" t="s">
        <v>283</v>
      </c>
      <c r="E78" s="8">
        <v>945</v>
      </c>
      <c r="F78" t="s">
        <v>627</v>
      </c>
      <c r="G78" s="20">
        <v>0.08</v>
      </c>
      <c r="H78" s="18">
        <f t="shared" si="14"/>
        <v>75.600000000000009</v>
      </c>
      <c r="I78" s="20">
        <v>0.05</v>
      </c>
      <c r="J78" s="19">
        <f>H78+E78*I78</f>
        <v>122.85000000000001</v>
      </c>
      <c r="K78" s="15">
        <f>H78/1.5</f>
        <v>50.400000000000006</v>
      </c>
      <c r="L78" s="5">
        <v>30</v>
      </c>
      <c r="M78" s="5"/>
      <c r="Q78" s="5"/>
      <c r="R78" s="16" t="s">
        <v>646</v>
      </c>
      <c r="S78">
        <v>1100</v>
      </c>
      <c r="T78" s="5">
        <f t="shared" si="15"/>
        <v>11</v>
      </c>
      <c r="U78" s="5">
        <f t="shared" si="16"/>
        <v>-64.600000000000009</v>
      </c>
    </row>
    <row r="79" spans="1:21" customFormat="1" hidden="1" x14ac:dyDescent="0.3">
      <c r="A79" s="3" t="s">
        <v>432</v>
      </c>
      <c r="B79" t="s">
        <v>433</v>
      </c>
      <c r="C79">
        <v>110</v>
      </c>
      <c r="D79" t="s">
        <v>283</v>
      </c>
      <c r="E79" s="8">
        <v>1779</v>
      </c>
      <c r="F79" t="s">
        <v>625</v>
      </c>
      <c r="G79" s="20">
        <v>0.12</v>
      </c>
      <c r="H79" s="18">
        <f t="shared" si="14"/>
        <v>213.48</v>
      </c>
      <c r="I79" s="20">
        <v>0.01</v>
      </c>
      <c r="J79" s="19">
        <f>H79+I79*E79</f>
        <v>231.26999999999998</v>
      </c>
      <c r="K79" s="14">
        <f>H79</f>
        <v>213.48</v>
      </c>
      <c r="L79" s="5">
        <v>142</v>
      </c>
      <c r="M79" s="5"/>
      <c r="N79" t="s">
        <v>645</v>
      </c>
      <c r="O79">
        <v>70</v>
      </c>
      <c r="Q79" s="5"/>
      <c r="R79" s="16" t="s">
        <v>668</v>
      </c>
      <c r="S79">
        <v>14700</v>
      </c>
      <c r="T79" s="5">
        <f t="shared" si="15"/>
        <v>147</v>
      </c>
      <c r="U79" s="5">
        <f t="shared" si="16"/>
        <v>-66.47999999999999</v>
      </c>
    </row>
    <row r="80" spans="1:21" customFormat="1" hidden="1" x14ac:dyDescent="0.3">
      <c r="A80" s="9" t="s">
        <v>434</v>
      </c>
      <c r="B80" t="s">
        <v>435</v>
      </c>
      <c r="C80">
        <v>113</v>
      </c>
      <c r="D80" t="s">
        <v>283</v>
      </c>
      <c r="E80" s="8">
        <v>1199</v>
      </c>
      <c r="F80" t="s">
        <v>627</v>
      </c>
      <c r="G80" s="20">
        <v>0.08</v>
      </c>
      <c r="H80" s="18">
        <f t="shared" si="14"/>
        <v>95.92</v>
      </c>
      <c r="I80" s="20">
        <v>0.05</v>
      </c>
      <c r="J80" s="19">
        <f>H80+E80*I80</f>
        <v>155.87</v>
      </c>
      <c r="K80" s="15">
        <f>H80/1.5</f>
        <v>63.946666666666665</v>
      </c>
      <c r="L80" s="5">
        <v>64</v>
      </c>
      <c r="M80" s="5"/>
      <c r="Q80" s="5"/>
      <c r="R80" s="16" t="s">
        <v>662</v>
      </c>
      <c r="S80">
        <v>2650</v>
      </c>
      <c r="T80" s="5">
        <f t="shared" si="15"/>
        <v>26.5</v>
      </c>
      <c r="U80" s="5">
        <f t="shared" si="16"/>
        <v>-69.42</v>
      </c>
    </row>
    <row r="81" spans="1:21" customFormat="1" hidden="1" x14ac:dyDescent="0.3">
      <c r="A81" s="3" t="s">
        <v>298</v>
      </c>
      <c r="B81" t="s">
        <v>299</v>
      </c>
      <c r="C81">
        <v>44</v>
      </c>
      <c r="D81" t="s">
        <v>283</v>
      </c>
      <c r="E81" s="8">
        <v>2649</v>
      </c>
      <c r="F81" t="s">
        <v>629</v>
      </c>
      <c r="G81" s="20">
        <v>0.08</v>
      </c>
      <c r="H81" s="18">
        <f t="shared" si="14"/>
        <v>211.92000000000002</v>
      </c>
      <c r="I81" s="20">
        <v>0.01</v>
      </c>
      <c r="J81" s="19">
        <f>H81+I81*E81</f>
        <v>238.41000000000003</v>
      </c>
      <c r="K81" s="14">
        <f>H81</f>
        <v>211.92000000000002</v>
      </c>
      <c r="L81" s="5">
        <v>106</v>
      </c>
      <c r="M81" s="5"/>
      <c r="P81" t="s">
        <v>646</v>
      </c>
      <c r="Q81" s="5">
        <v>165</v>
      </c>
      <c r="R81" s="16" t="s">
        <v>662</v>
      </c>
      <c r="S81">
        <v>14100</v>
      </c>
      <c r="T81" s="5">
        <f t="shared" si="15"/>
        <v>141</v>
      </c>
      <c r="U81" s="5">
        <f t="shared" si="16"/>
        <v>-70.920000000000016</v>
      </c>
    </row>
    <row r="82" spans="1:21" customFormat="1" hidden="1" x14ac:dyDescent="0.3">
      <c r="A82" s="9" t="s">
        <v>491</v>
      </c>
      <c r="B82" t="s">
        <v>492</v>
      </c>
      <c r="C82">
        <v>119</v>
      </c>
      <c r="D82" t="s">
        <v>374</v>
      </c>
      <c r="E82" s="8">
        <v>799</v>
      </c>
      <c r="F82" t="s">
        <v>630</v>
      </c>
      <c r="G82" s="20">
        <v>0.12</v>
      </c>
      <c r="H82" s="18">
        <f t="shared" si="14"/>
        <v>95.88</v>
      </c>
      <c r="I82" s="20">
        <v>0.01</v>
      </c>
      <c r="J82" s="19">
        <f>H82+I82*E82</f>
        <v>103.86999999999999</v>
      </c>
      <c r="K82" s="15">
        <f>H82/1.5</f>
        <v>63.919999999999995</v>
      </c>
      <c r="L82" s="5">
        <v>40</v>
      </c>
      <c r="M82" s="5"/>
      <c r="P82" t="s">
        <v>644</v>
      </c>
      <c r="Q82" s="5">
        <v>67.5</v>
      </c>
      <c r="R82" s="16" t="s">
        <v>646</v>
      </c>
      <c r="S82">
        <v>1105</v>
      </c>
      <c r="T82" s="5">
        <f t="shared" si="15"/>
        <v>11.05</v>
      </c>
      <c r="U82" s="5">
        <f t="shared" si="16"/>
        <v>-84.83</v>
      </c>
    </row>
    <row r="83" spans="1:21" customFormat="1" hidden="1" x14ac:dyDescent="0.3">
      <c r="A83" s="3" t="s">
        <v>271</v>
      </c>
      <c r="B83" t="s">
        <v>272</v>
      </c>
      <c r="C83">
        <v>11</v>
      </c>
      <c r="D83" t="s">
        <v>268</v>
      </c>
      <c r="E83" s="8">
        <v>1510</v>
      </c>
      <c r="F83" t="s">
        <v>634</v>
      </c>
      <c r="G83" s="20">
        <v>7.0000000000000007E-2</v>
      </c>
      <c r="H83" s="18">
        <f t="shared" si="14"/>
        <v>105.70000000000002</v>
      </c>
      <c r="I83" s="20">
        <v>0.01</v>
      </c>
      <c r="J83" s="19">
        <f>H83+I83*E83</f>
        <v>120.80000000000001</v>
      </c>
      <c r="K83" s="1">
        <f>H83</f>
        <v>105.70000000000002</v>
      </c>
      <c r="L83" s="5">
        <v>49</v>
      </c>
      <c r="M83" s="5"/>
      <c r="P83" t="s">
        <v>644</v>
      </c>
      <c r="Q83" s="5">
        <v>62.5</v>
      </c>
      <c r="R83" s="16" t="s">
        <v>662</v>
      </c>
      <c r="S83">
        <v>1750</v>
      </c>
      <c r="T83" s="5">
        <f t="shared" si="15"/>
        <v>17.5</v>
      </c>
      <c r="U83" s="5">
        <f t="shared" si="16"/>
        <v>-88.200000000000017</v>
      </c>
    </row>
    <row r="84" spans="1:21" customFormat="1" hidden="1" x14ac:dyDescent="0.3">
      <c r="A84" s="9" t="s">
        <v>442</v>
      </c>
      <c r="B84" t="s">
        <v>443</v>
      </c>
      <c r="C84">
        <v>118</v>
      </c>
      <c r="D84" t="s">
        <v>283</v>
      </c>
      <c r="E84" s="8">
        <v>1379</v>
      </c>
      <c r="F84" t="s">
        <v>631</v>
      </c>
      <c r="G84" s="20">
        <v>0.08</v>
      </c>
      <c r="H84" s="18">
        <f t="shared" si="14"/>
        <v>110.32000000000001</v>
      </c>
      <c r="I84" s="20">
        <v>0.01</v>
      </c>
      <c r="J84" s="19">
        <f>H84+I84*E84</f>
        <v>124.11000000000001</v>
      </c>
      <c r="K84" s="15">
        <f>H84/1.5</f>
        <v>73.546666666666667</v>
      </c>
      <c r="L84" s="5">
        <v>70</v>
      </c>
      <c r="M84" s="5"/>
      <c r="N84" t="s">
        <v>645</v>
      </c>
      <c r="O84">
        <v>72.5</v>
      </c>
      <c r="Q84" s="5"/>
      <c r="R84" s="16" t="s">
        <v>662</v>
      </c>
      <c r="S84">
        <v>2150</v>
      </c>
      <c r="T84" s="5">
        <f t="shared" si="15"/>
        <v>21.5</v>
      </c>
      <c r="U84" s="5">
        <f t="shared" si="16"/>
        <v>-88.820000000000007</v>
      </c>
    </row>
    <row r="85" spans="1:21" customFormat="1" hidden="1" x14ac:dyDescent="0.3">
      <c r="A85" s="9" t="s">
        <v>438</v>
      </c>
      <c r="B85" t="s">
        <v>439</v>
      </c>
      <c r="C85">
        <v>116</v>
      </c>
      <c r="D85" t="s">
        <v>283</v>
      </c>
      <c r="E85" s="8">
        <v>1800</v>
      </c>
      <c r="F85" t="s">
        <v>631</v>
      </c>
      <c r="G85" s="20">
        <v>0.08</v>
      </c>
      <c r="H85" s="18">
        <f t="shared" si="14"/>
        <v>144</v>
      </c>
      <c r="I85" s="20">
        <v>0.01</v>
      </c>
      <c r="J85" s="19">
        <f>H85+I85*E85</f>
        <v>162</v>
      </c>
      <c r="K85" s="15">
        <f>H85/1.5</f>
        <v>96</v>
      </c>
      <c r="L85" s="5">
        <v>96</v>
      </c>
      <c r="M85" s="5"/>
      <c r="N85" t="s">
        <v>645</v>
      </c>
      <c r="O85">
        <v>22</v>
      </c>
      <c r="Q85" s="5"/>
      <c r="R85" s="16" t="s">
        <v>662</v>
      </c>
      <c r="S85">
        <v>5250</v>
      </c>
      <c r="T85" s="5">
        <f t="shared" si="15"/>
        <v>52.5</v>
      </c>
      <c r="U85" s="5">
        <f t="shared" si="16"/>
        <v>-91.5</v>
      </c>
    </row>
    <row r="86" spans="1:21" customFormat="1" hidden="1" x14ac:dyDescent="0.3">
      <c r="A86" s="9" t="s">
        <v>549</v>
      </c>
      <c r="B86" t="s">
        <v>550</v>
      </c>
      <c r="C86">
        <v>179</v>
      </c>
      <c r="D86" t="s">
        <v>283</v>
      </c>
      <c r="E86" s="8">
        <v>1100</v>
      </c>
      <c r="F86" t="s">
        <v>627</v>
      </c>
      <c r="G86" s="20">
        <v>0.12</v>
      </c>
      <c r="H86" s="18">
        <f t="shared" si="14"/>
        <v>132</v>
      </c>
      <c r="I86" s="20">
        <v>0.05</v>
      </c>
      <c r="J86" s="19">
        <f>H86+E86*I86</f>
        <v>187</v>
      </c>
      <c r="K86" s="15">
        <f>H86/1.5</f>
        <v>88</v>
      </c>
      <c r="L86" s="5">
        <v>88</v>
      </c>
      <c r="M86" s="5"/>
      <c r="Q86" s="5"/>
      <c r="R86" s="16" t="s">
        <v>646</v>
      </c>
      <c r="S86">
        <v>2700</v>
      </c>
      <c r="T86" s="5">
        <f t="shared" si="15"/>
        <v>27</v>
      </c>
      <c r="U86" s="5">
        <f t="shared" si="16"/>
        <v>-105</v>
      </c>
    </row>
    <row r="87" spans="1:21" customFormat="1" hidden="1" x14ac:dyDescent="0.3">
      <c r="A87" s="9" t="s">
        <v>564</v>
      </c>
      <c r="B87" t="s">
        <v>565</v>
      </c>
      <c r="C87">
        <v>186</v>
      </c>
      <c r="D87" t="s">
        <v>283</v>
      </c>
      <c r="E87" s="8">
        <v>3960</v>
      </c>
      <c r="F87" t="s">
        <v>633</v>
      </c>
      <c r="G87" s="20">
        <v>0.08</v>
      </c>
      <c r="H87" s="18">
        <f t="shared" si="14"/>
        <v>316.8</v>
      </c>
      <c r="I87" s="20">
        <v>0.05</v>
      </c>
      <c r="J87" s="19">
        <f>H87+E87*I87</f>
        <v>514.79999999999995</v>
      </c>
      <c r="K87" s="15">
        <f>H87/1.5</f>
        <v>211.20000000000002</v>
      </c>
      <c r="L87" s="5">
        <v>160</v>
      </c>
      <c r="M87" s="5"/>
      <c r="Q87" s="5"/>
      <c r="R87" s="16" t="s">
        <v>668</v>
      </c>
      <c r="S87">
        <v>19500</v>
      </c>
      <c r="T87" s="5">
        <f t="shared" si="15"/>
        <v>195</v>
      </c>
      <c r="U87" s="5">
        <f t="shared" si="16"/>
        <v>-121.80000000000001</v>
      </c>
    </row>
    <row r="88" spans="1:21" customFormat="1" hidden="1" x14ac:dyDescent="0.3">
      <c r="A88" s="3" t="s">
        <v>395</v>
      </c>
      <c r="B88" t="s">
        <v>396</v>
      </c>
      <c r="C88">
        <v>173</v>
      </c>
      <c r="D88" t="s">
        <v>283</v>
      </c>
      <c r="E88" s="8">
        <v>3299</v>
      </c>
      <c r="F88" t="s">
        <v>631</v>
      </c>
      <c r="G88" s="20">
        <v>0.08</v>
      </c>
      <c r="H88" s="18">
        <f t="shared" si="14"/>
        <v>263.92</v>
      </c>
      <c r="I88" s="20">
        <v>0.05</v>
      </c>
      <c r="J88" s="19">
        <f>H88+E88*I88</f>
        <v>428.87</v>
      </c>
      <c r="K88" s="14">
        <f>H88</f>
        <v>263.92</v>
      </c>
      <c r="L88" s="5">
        <v>132</v>
      </c>
      <c r="M88" s="5"/>
      <c r="Q88" s="5"/>
      <c r="R88" s="16" t="s">
        <v>668</v>
      </c>
      <c r="S88">
        <v>13700</v>
      </c>
      <c r="T88" s="5">
        <f t="shared" si="15"/>
        <v>137</v>
      </c>
      <c r="U88" s="5">
        <f t="shared" si="16"/>
        <v>-126.92000000000002</v>
      </c>
    </row>
    <row r="89" spans="1:21" customFormat="1" hidden="1" x14ac:dyDescent="0.3">
      <c r="A89" s="3" t="s">
        <v>529</v>
      </c>
      <c r="B89" t="s">
        <v>530</v>
      </c>
      <c r="C89">
        <v>158</v>
      </c>
      <c r="D89" t="s">
        <v>283</v>
      </c>
      <c r="E89" s="8">
        <v>2750</v>
      </c>
      <c r="F89" t="s">
        <v>632</v>
      </c>
      <c r="G89" s="20">
        <v>0.08</v>
      </c>
      <c r="H89" s="18">
        <f t="shared" si="14"/>
        <v>220</v>
      </c>
      <c r="I89" s="20">
        <v>0.1</v>
      </c>
      <c r="J89" s="19">
        <f>H89+E89*I89</f>
        <v>495</v>
      </c>
      <c r="K89" s="14">
        <f>H89</f>
        <v>220</v>
      </c>
      <c r="L89" s="5">
        <v>110</v>
      </c>
      <c r="M89" s="5"/>
      <c r="Q89" s="5"/>
      <c r="R89" s="16" t="s">
        <v>668</v>
      </c>
      <c r="S89">
        <v>6850</v>
      </c>
      <c r="T89" s="5">
        <f t="shared" si="15"/>
        <v>68.5</v>
      </c>
      <c r="U89" s="5">
        <f t="shared" si="16"/>
        <v>-151.5</v>
      </c>
    </row>
    <row r="90" spans="1:21" customFormat="1" hidden="1" x14ac:dyDescent="0.3">
      <c r="A90" s="9" t="s">
        <v>296</v>
      </c>
      <c r="B90" t="s">
        <v>297</v>
      </c>
      <c r="C90">
        <v>42</v>
      </c>
      <c r="D90" t="s">
        <v>283</v>
      </c>
      <c r="E90" s="8">
        <v>2298</v>
      </c>
      <c r="F90" t="s">
        <v>627</v>
      </c>
      <c r="G90" s="20">
        <v>0.08</v>
      </c>
      <c r="H90" s="18">
        <f t="shared" si="14"/>
        <v>183.84</v>
      </c>
      <c r="I90" s="20">
        <v>0.01</v>
      </c>
      <c r="J90" s="19">
        <f>H90+I90*E90</f>
        <v>206.82</v>
      </c>
      <c r="K90" s="15">
        <f t="shared" ref="K90:K96" si="17">H90/1.5</f>
        <v>122.56</v>
      </c>
      <c r="L90" s="5">
        <v>92</v>
      </c>
      <c r="M90" s="5"/>
      <c r="P90" t="s">
        <v>646</v>
      </c>
      <c r="Q90" s="5">
        <v>62.5</v>
      </c>
      <c r="R90" s="16" t="s">
        <v>668</v>
      </c>
      <c r="S90">
        <v>2100</v>
      </c>
      <c r="T90" s="5">
        <f t="shared" si="15"/>
        <v>21</v>
      </c>
      <c r="U90" s="5">
        <f t="shared" si="16"/>
        <v>-162.84</v>
      </c>
    </row>
    <row r="91" spans="1:21" customFormat="1" hidden="1" x14ac:dyDescent="0.3">
      <c r="A91" s="9" t="s">
        <v>328</v>
      </c>
      <c r="B91" t="s">
        <v>329</v>
      </c>
      <c r="C91">
        <v>108</v>
      </c>
      <c r="D91" t="s">
        <v>283</v>
      </c>
      <c r="E91" s="8">
        <v>3099</v>
      </c>
      <c r="F91" t="s">
        <v>627</v>
      </c>
      <c r="G91" s="20">
        <v>0.08</v>
      </c>
      <c r="H91" s="18">
        <f t="shared" si="14"/>
        <v>247.92000000000002</v>
      </c>
      <c r="I91" s="20">
        <v>0.05</v>
      </c>
      <c r="J91" s="19">
        <f>H91+E91*I91</f>
        <v>402.87</v>
      </c>
      <c r="K91" s="15">
        <f t="shared" si="17"/>
        <v>165.28</v>
      </c>
      <c r="L91" s="5">
        <v>120</v>
      </c>
      <c r="M91" s="5"/>
      <c r="Q91" s="5"/>
      <c r="R91" s="16" t="s">
        <v>646</v>
      </c>
      <c r="S91">
        <v>8250</v>
      </c>
      <c r="T91" s="5">
        <f t="shared" si="15"/>
        <v>82.5</v>
      </c>
      <c r="U91" s="5">
        <f t="shared" si="16"/>
        <v>-165.42000000000002</v>
      </c>
    </row>
    <row r="92" spans="1:21" customFormat="1" hidden="1" x14ac:dyDescent="0.3">
      <c r="A92" s="9" t="s">
        <v>294</v>
      </c>
      <c r="B92" t="s">
        <v>295</v>
      </c>
      <c r="C92">
        <v>40</v>
      </c>
      <c r="D92" t="s">
        <v>268</v>
      </c>
      <c r="E92" s="8">
        <v>4787</v>
      </c>
      <c r="F92" t="s">
        <v>630</v>
      </c>
      <c r="G92" s="20">
        <v>7.0000000000000007E-2</v>
      </c>
      <c r="H92" s="18">
        <f t="shared" si="14"/>
        <v>335.09000000000003</v>
      </c>
      <c r="I92" s="20">
        <v>0.01</v>
      </c>
      <c r="J92" s="19">
        <f>H92+I92*E92</f>
        <v>382.96000000000004</v>
      </c>
      <c r="K92" s="15">
        <f t="shared" si="17"/>
        <v>223.39333333333335</v>
      </c>
      <c r="L92" s="5">
        <v>160</v>
      </c>
      <c r="M92" s="5"/>
      <c r="P92" t="s">
        <v>646</v>
      </c>
      <c r="Q92" s="5">
        <v>295</v>
      </c>
      <c r="R92" s="16" t="s">
        <v>646</v>
      </c>
      <c r="S92">
        <v>14500</v>
      </c>
      <c r="T92" s="5">
        <f t="shared" si="15"/>
        <v>145</v>
      </c>
      <c r="U92" s="5">
        <f t="shared" si="16"/>
        <v>-190.09000000000003</v>
      </c>
    </row>
    <row r="93" spans="1:21" customFormat="1" hidden="1" x14ac:dyDescent="0.3">
      <c r="A93" s="9" t="s">
        <v>408</v>
      </c>
      <c r="B93" t="s">
        <v>409</v>
      </c>
      <c r="C93">
        <v>78</v>
      </c>
      <c r="D93" t="s">
        <v>283</v>
      </c>
      <c r="E93" s="8">
        <v>1888</v>
      </c>
      <c r="F93" t="s">
        <v>627</v>
      </c>
      <c r="G93" s="20">
        <v>0.12</v>
      </c>
      <c r="H93" s="18">
        <f t="shared" si="14"/>
        <v>226.56</v>
      </c>
      <c r="I93" s="20">
        <v>0.05</v>
      </c>
      <c r="J93" s="19">
        <f t="shared" ref="J93:J105" si="18">H93+E93*I93</f>
        <v>320.96000000000004</v>
      </c>
      <c r="K93" s="15">
        <f t="shared" si="17"/>
        <v>151.04</v>
      </c>
      <c r="L93" s="5">
        <v>113</v>
      </c>
      <c r="M93" s="5"/>
      <c r="Q93" s="5"/>
      <c r="R93" s="16" t="s">
        <v>668</v>
      </c>
      <c r="S93">
        <v>2600</v>
      </c>
      <c r="T93" s="5">
        <f t="shared" si="15"/>
        <v>26</v>
      </c>
      <c r="U93" s="5">
        <f t="shared" si="16"/>
        <v>-200.56</v>
      </c>
    </row>
    <row r="94" spans="1:21" customFormat="1" hidden="1" x14ac:dyDescent="0.3">
      <c r="A94" s="9" t="s">
        <v>292</v>
      </c>
      <c r="B94" t="s">
        <v>293</v>
      </c>
      <c r="C94">
        <v>36</v>
      </c>
      <c r="D94" t="s">
        <v>283</v>
      </c>
      <c r="E94" s="8">
        <v>2798</v>
      </c>
      <c r="F94" t="s">
        <v>627</v>
      </c>
      <c r="G94" s="20">
        <v>0.08</v>
      </c>
      <c r="H94" s="18">
        <f t="shared" si="14"/>
        <v>223.84</v>
      </c>
      <c r="I94" s="20">
        <v>0.05</v>
      </c>
      <c r="J94" s="19">
        <f t="shared" si="18"/>
        <v>363.74</v>
      </c>
      <c r="K94" s="15">
        <f t="shared" si="17"/>
        <v>149.22666666666666</v>
      </c>
      <c r="L94" s="5">
        <v>112</v>
      </c>
      <c r="M94" s="5"/>
      <c r="Q94" s="5"/>
      <c r="R94" s="16" t="s">
        <v>668</v>
      </c>
      <c r="S94">
        <v>2100</v>
      </c>
      <c r="T94" s="5">
        <f t="shared" si="15"/>
        <v>21</v>
      </c>
      <c r="U94" s="5">
        <f t="shared" si="16"/>
        <v>-202.84</v>
      </c>
    </row>
    <row r="95" spans="1:21" customFormat="1" hidden="1" x14ac:dyDescent="0.3">
      <c r="A95" s="9" t="s">
        <v>379</v>
      </c>
      <c r="B95" t="s">
        <v>380</v>
      </c>
      <c r="C95">
        <v>159</v>
      </c>
      <c r="D95" t="s">
        <v>283</v>
      </c>
      <c r="E95" s="8">
        <v>4230</v>
      </c>
      <c r="F95" t="s">
        <v>630</v>
      </c>
      <c r="G95" s="20">
        <v>0.08</v>
      </c>
      <c r="H95" s="18">
        <f t="shared" si="14"/>
        <v>338.40000000000003</v>
      </c>
      <c r="I95" s="20">
        <v>0.05</v>
      </c>
      <c r="J95" s="19">
        <f t="shared" si="18"/>
        <v>549.90000000000009</v>
      </c>
      <c r="K95" s="15">
        <f t="shared" si="17"/>
        <v>225.60000000000002</v>
      </c>
      <c r="L95" s="5">
        <v>170</v>
      </c>
      <c r="M95" s="5"/>
      <c r="Q95" s="5"/>
      <c r="R95" s="16" t="s">
        <v>646</v>
      </c>
      <c r="S95">
        <v>7750</v>
      </c>
      <c r="T95" s="5">
        <f t="shared" si="15"/>
        <v>77.5</v>
      </c>
      <c r="U95" s="5">
        <f t="shared" si="16"/>
        <v>-260.90000000000003</v>
      </c>
    </row>
    <row r="96" spans="1:21" customFormat="1" hidden="1" x14ac:dyDescent="0.3">
      <c r="A96" s="9" t="s">
        <v>397</v>
      </c>
      <c r="B96" s="11" t="s">
        <v>398</v>
      </c>
      <c r="C96">
        <v>174</v>
      </c>
      <c r="D96" t="s">
        <v>283</v>
      </c>
      <c r="E96" s="8">
        <v>4399</v>
      </c>
      <c r="F96" t="s">
        <v>627</v>
      </c>
      <c r="G96" s="20">
        <v>0.12</v>
      </c>
      <c r="H96" s="18">
        <f t="shared" si="14"/>
        <v>527.88</v>
      </c>
      <c r="I96" s="20">
        <v>0.05</v>
      </c>
      <c r="J96" s="19">
        <f t="shared" si="18"/>
        <v>747.83</v>
      </c>
      <c r="K96" s="15">
        <f t="shared" si="17"/>
        <v>351.92</v>
      </c>
      <c r="L96" s="5">
        <v>350</v>
      </c>
      <c r="M96" s="5"/>
      <c r="Q96" s="5"/>
      <c r="R96" s="16" t="s">
        <v>662</v>
      </c>
      <c r="S96">
        <v>16500</v>
      </c>
      <c r="T96" s="5">
        <f t="shared" si="15"/>
        <v>165</v>
      </c>
      <c r="U96" s="5">
        <f t="shared" si="16"/>
        <v>-362.88</v>
      </c>
    </row>
    <row r="97" spans="1:22" x14ac:dyDescent="0.3">
      <c r="A97" s="3" t="s">
        <v>370</v>
      </c>
      <c r="B97" t="s">
        <v>371</v>
      </c>
      <c r="C97">
        <v>34</v>
      </c>
      <c r="D97" t="s">
        <v>283</v>
      </c>
      <c r="E97" s="8">
        <v>4999</v>
      </c>
      <c r="F97" t="s">
        <v>630</v>
      </c>
      <c r="G97" s="20">
        <v>0.08</v>
      </c>
      <c r="H97" s="18">
        <f t="shared" si="14"/>
        <v>399.92</v>
      </c>
      <c r="I97" s="20">
        <v>0.05</v>
      </c>
      <c r="J97" s="19">
        <f t="shared" si="18"/>
        <v>649.87</v>
      </c>
      <c r="K97" s="14">
        <f t="shared" ref="K97:K104" si="19">H97</f>
        <v>399.92</v>
      </c>
      <c r="L97" s="5">
        <v>190</v>
      </c>
      <c r="R97" t="s">
        <v>679</v>
      </c>
      <c r="S97">
        <v>79000</v>
      </c>
      <c r="T97">
        <f t="shared" si="15"/>
        <v>790</v>
      </c>
      <c r="U97" s="5">
        <f t="shared" si="16"/>
        <v>390.08</v>
      </c>
      <c r="V97" s="24">
        <f>T97*10%+U97</f>
        <v>469.08</v>
      </c>
    </row>
    <row r="98" spans="1:22" x14ac:dyDescent="0.3">
      <c r="A98" s="3" t="s">
        <v>466</v>
      </c>
      <c r="B98" t="s">
        <v>465</v>
      </c>
      <c r="C98">
        <v>203</v>
      </c>
      <c r="D98" t="s">
        <v>268</v>
      </c>
      <c r="E98" s="8">
        <v>1933</v>
      </c>
      <c r="F98" t="s">
        <v>625</v>
      </c>
      <c r="G98" s="20">
        <v>7.0000000000000007E-2</v>
      </c>
      <c r="H98" s="18">
        <f t="shared" si="14"/>
        <v>135.31</v>
      </c>
      <c r="I98" s="20">
        <v>0.1</v>
      </c>
      <c r="J98" s="19">
        <f t="shared" si="18"/>
        <v>328.61</v>
      </c>
      <c r="K98" s="14">
        <f t="shared" si="19"/>
        <v>135.31</v>
      </c>
      <c r="L98" s="5">
        <v>68</v>
      </c>
      <c r="R98" t="s">
        <v>684</v>
      </c>
      <c r="S98">
        <v>44000</v>
      </c>
      <c r="T98">
        <f t="shared" si="15"/>
        <v>440</v>
      </c>
      <c r="U98" s="5">
        <f t="shared" si="16"/>
        <v>304.69</v>
      </c>
      <c r="V98" s="24">
        <f t="shared" ref="V98:V161" si="20">T98*10%+U98</f>
        <v>348.69</v>
      </c>
    </row>
    <row r="99" spans="1:22" x14ac:dyDescent="0.3">
      <c r="A99" s="3" t="s">
        <v>464</v>
      </c>
      <c r="B99" t="s">
        <v>465</v>
      </c>
      <c r="C99">
        <v>48</v>
      </c>
      <c r="D99" t="s">
        <v>268</v>
      </c>
      <c r="E99" s="8">
        <v>1933</v>
      </c>
      <c r="F99" t="s">
        <v>626</v>
      </c>
      <c r="G99" s="20">
        <v>7.0000000000000007E-2</v>
      </c>
      <c r="H99" s="18">
        <f t="shared" si="14"/>
        <v>135.31</v>
      </c>
      <c r="I99" s="20">
        <v>0.05</v>
      </c>
      <c r="J99" s="19">
        <f t="shared" si="18"/>
        <v>231.96</v>
      </c>
      <c r="K99" s="14">
        <f t="shared" si="19"/>
        <v>135.31</v>
      </c>
      <c r="L99" s="5">
        <v>68</v>
      </c>
      <c r="R99" t="s">
        <v>684</v>
      </c>
      <c r="S99">
        <v>36000</v>
      </c>
      <c r="T99">
        <f t="shared" si="15"/>
        <v>360</v>
      </c>
      <c r="U99" s="5">
        <f t="shared" si="16"/>
        <v>224.69</v>
      </c>
      <c r="V99" s="24">
        <f t="shared" si="20"/>
        <v>260.69</v>
      </c>
    </row>
    <row r="100" spans="1:22" x14ac:dyDescent="0.3">
      <c r="A100" s="3" t="s">
        <v>525</v>
      </c>
      <c r="B100" t="s">
        <v>526</v>
      </c>
      <c r="C100">
        <v>154</v>
      </c>
      <c r="D100" t="s">
        <v>268</v>
      </c>
      <c r="E100" s="8">
        <v>430</v>
      </c>
      <c r="F100" t="s">
        <v>624</v>
      </c>
      <c r="G100" s="20">
        <v>7.0000000000000007E-2</v>
      </c>
      <c r="H100" s="18">
        <f t="shared" si="14"/>
        <v>30.1</v>
      </c>
      <c r="I100" s="20">
        <v>0.1</v>
      </c>
      <c r="J100" s="19">
        <f t="shared" si="18"/>
        <v>73.099999999999994</v>
      </c>
      <c r="K100" s="13">
        <f t="shared" si="19"/>
        <v>30.1</v>
      </c>
      <c r="R100" t="s">
        <v>659</v>
      </c>
      <c r="S100">
        <v>25000</v>
      </c>
      <c r="T100">
        <f t="shared" si="15"/>
        <v>250</v>
      </c>
      <c r="U100" s="5">
        <f t="shared" si="16"/>
        <v>219.9</v>
      </c>
      <c r="V100" s="24">
        <f t="shared" si="20"/>
        <v>244.9</v>
      </c>
    </row>
    <row r="101" spans="1:22" x14ac:dyDescent="0.3">
      <c r="A101" s="3" t="s">
        <v>462</v>
      </c>
      <c r="B101" t="s">
        <v>463</v>
      </c>
      <c r="C101">
        <v>38</v>
      </c>
      <c r="D101" t="s">
        <v>283</v>
      </c>
      <c r="E101" s="8">
        <v>1699</v>
      </c>
      <c r="F101" t="s">
        <v>623</v>
      </c>
      <c r="G101" s="20">
        <v>0.08</v>
      </c>
      <c r="H101" s="18">
        <f t="shared" si="14"/>
        <v>135.92000000000002</v>
      </c>
      <c r="I101" s="20">
        <v>0.1</v>
      </c>
      <c r="J101" s="19">
        <f t="shared" si="18"/>
        <v>305.82000000000005</v>
      </c>
      <c r="K101" s="14">
        <f t="shared" si="19"/>
        <v>135.92000000000002</v>
      </c>
      <c r="L101" s="5">
        <v>91</v>
      </c>
      <c r="R101" t="s">
        <v>680</v>
      </c>
      <c r="S101">
        <v>35000</v>
      </c>
      <c r="T101">
        <f t="shared" si="15"/>
        <v>350</v>
      </c>
      <c r="U101" s="5">
        <f t="shared" si="16"/>
        <v>214.07999999999998</v>
      </c>
      <c r="V101" s="24">
        <f t="shared" si="20"/>
        <v>249.07999999999998</v>
      </c>
    </row>
    <row r="102" spans="1:22" x14ac:dyDescent="0.3">
      <c r="A102" s="3" t="s">
        <v>445</v>
      </c>
      <c r="B102" t="s">
        <v>446</v>
      </c>
      <c r="C102">
        <v>2</v>
      </c>
      <c r="D102" t="s">
        <v>268</v>
      </c>
      <c r="E102" s="8">
        <v>555</v>
      </c>
      <c r="F102" t="s">
        <v>623</v>
      </c>
      <c r="G102" s="20">
        <v>7.0000000000000007E-2</v>
      </c>
      <c r="H102" s="18">
        <f t="shared" si="14"/>
        <v>38.85</v>
      </c>
      <c r="I102" s="20">
        <v>0.1</v>
      </c>
      <c r="J102" s="19">
        <f t="shared" si="18"/>
        <v>94.35</v>
      </c>
      <c r="K102" s="13">
        <f t="shared" si="19"/>
        <v>38.85</v>
      </c>
      <c r="L102" s="5">
        <v>20</v>
      </c>
      <c r="R102" t="s">
        <v>659</v>
      </c>
      <c r="S102">
        <v>25000</v>
      </c>
      <c r="T102">
        <f t="shared" si="15"/>
        <v>250</v>
      </c>
      <c r="U102" s="5">
        <f t="shared" si="16"/>
        <v>211.15</v>
      </c>
      <c r="V102" s="24">
        <f t="shared" si="20"/>
        <v>236.15</v>
      </c>
    </row>
    <row r="103" spans="1:22" x14ac:dyDescent="0.3">
      <c r="A103" s="3" t="s">
        <v>266</v>
      </c>
      <c r="B103" t="s">
        <v>267</v>
      </c>
      <c r="C103">
        <v>4</v>
      </c>
      <c r="D103" t="s">
        <v>268</v>
      </c>
      <c r="E103" s="8">
        <v>1265</v>
      </c>
      <c r="F103" t="s">
        <v>625</v>
      </c>
      <c r="G103" s="20">
        <v>7.0000000000000007E-2</v>
      </c>
      <c r="H103" s="18">
        <f t="shared" si="14"/>
        <v>88.550000000000011</v>
      </c>
      <c r="I103" s="20">
        <v>0.1</v>
      </c>
      <c r="J103" s="19">
        <f t="shared" si="18"/>
        <v>215.05</v>
      </c>
      <c r="K103" s="1">
        <f t="shared" si="19"/>
        <v>88.550000000000011</v>
      </c>
      <c r="L103" s="5">
        <v>62.5</v>
      </c>
      <c r="R103" t="s">
        <v>672</v>
      </c>
      <c r="S103">
        <v>25500</v>
      </c>
      <c r="T103">
        <f t="shared" si="15"/>
        <v>255</v>
      </c>
      <c r="U103" s="5">
        <f t="shared" si="16"/>
        <v>166.45</v>
      </c>
      <c r="V103" s="24">
        <f t="shared" si="20"/>
        <v>191.95</v>
      </c>
    </row>
    <row r="104" spans="1:22" x14ac:dyDescent="0.3">
      <c r="A104" s="3" t="s">
        <v>519</v>
      </c>
      <c r="B104" t="s">
        <v>520</v>
      </c>
      <c r="C104">
        <v>146</v>
      </c>
      <c r="D104" t="s">
        <v>268</v>
      </c>
      <c r="E104" s="8">
        <v>3315</v>
      </c>
      <c r="F104" t="s">
        <v>624</v>
      </c>
      <c r="G104" s="20">
        <v>7.0000000000000007E-2</v>
      </c>
      <c r="H104" s="18">
        <f t="shared" si="14"/>
        <v>232.05</v>
      </c>
      <c r="I104" s="20">
        <v>0.1</v>
      </c>
      <c r="J104" s="19">
        <f t="shared" si="18"/>
        <v>563.54999999999995</v>
      </c>
      <c r="K104" s="14">
        <f t="shared" si="19"/>
        <v>232.05</v>
      </c>
      <c r="L104" s="5">
        <v>120</v>
      </c>
      <c r="R104" t="s">
        <v>684</v>
      </c>
      <c r="S104">
        <v>39500</v>
      </c>
      <c r="T104">
        <f t="shared" si="15"/>
        <v>395</v>
      </c>
      <c r="U104" s="5">
        <f t="shared" si="16"/>
        <v>162.94999999999999</v>
      </c>
      <c r="V104" s="24">
        <f t="shared" si="20"/>
        <v>202.45</v>
      </c>
    </row>
    <row r="105" spans="1:22" x14ac:dyDescent="0.3">
      <c r="A105" s="10" t="s">
        <v>326</v>
      </c>
      <c r="B105" t="s">
        <v>327</v>
      </c>
      <c r="C105">
        <v>105</v>
      </c>
      <c r="D105" t="s">
        <v>283</v>
      </c>
      <c r="E105" s="8">
        <v>2599</v>
      </c>
      <c r="F105" t="s">
        <v>630</v>
      </c>
      <c r="G105" s="20">
        <v>0.08</v>
      </c>
      <c r="H105" s="18">
        <f t="shared" si="14"/>
        <v>207.92000000000002</v>
      </c>
      <c r="I105" s="20">
        <v>0.1</v>
      </c>
      <c r="J105" s="19">
        <f t="shared" si="18"/>
        <v>467.82000000000005</v>
      </c>
      <c r="K105" s="15">
        <f>H105/1.5</f>
        <v>138.61333333333334</v>
      </c>
      <c r="L105" s="5">
        <v>104</v>
      </c>
      <c r="R105" t="s">
        <v>700</v>
      </c>
      <c r="S105">
        <v>30500</v>
      </c>
      <c r="T105">
        <f t="shared" si="15"/>
        <v>305</v>
      </c>
      <c r="U105" s="5">
        <f t="shared" si="16"/>
        <v>97.079999999999984</v>
      </c>
      <c r="V105" s="24">
        <f t="shared" si="20"/>
        <v>127.57999999999998</v>
      </c>
    </row>
    <row r="106" spans="1:22" x14ac:dyDescent="0.3">
      <c r="A106" s="3" t="s">
        <v>302</v>
      </c>
      <c r="B106" t="s">
        <v>303</v>
      </c>
      <c r="C106">
        <v>50</v>
      </c>
      <c r="D106" t="s">
        <v>268</v>
      </c>
      <c r="E106" s="8">
        <v>1128</v>
      </c>
      <c r="F106" t="s">
        <v>631</v>
      </c>
      <c r="G106" s="20">
        <v>7.0000000000000007E-2</v>
      </c>
      <c r="H106" s="18">
        <f t="shared" si="14"/>
        <v>78.960000000000008</v>
      </c>
      <c r="I106" s="20">
        <v>0.01</v>
      </c>
      <c r="J106" s="19">
        <f>H106+I106*E106</f>
        <v>90.240000000000009</v>
      </c>
      <c r="K106" s="1">
        <f>H106</f>
        <v>78.960000000000008</v>
      </c>
      <c r="L106" s="5">
        <v>53</v>
      </c>
      <c r="P106" t="s">
        <v>644</v>
      </c>
      <c r="Q106" s="5">
        <v>49</v>
      </c>
      <c r="R106" t="s">
        <v>685</v>
      </c>
      <c r="S106">
        <v>17300</v>
      </c>
      <c r="T106">
        <f t="shared" si="15"/>
        <v>173</v>
      </c>
      <c r="U106" s="5">
        <f t="shared" si="16"/>
        <v>94.039999999999992</v>
      </c>
      <c r="V106" s="24">
        <f t="shared" si="20"/>
        <v>111.33999999999999</v>
      </c>
    </row>
    <row r="107" spans="1:22" x14ac:dyDescent="0.3">
      <c r="A107" s="3" t="s">
        <v>385</v>
      </c>
      <c r="B107" t="s">
        <v>386</v>
      </c>
      <c r="C107">
        <v>164</v>
      </c>
      <c r="D107" t="s">
        <v>283</v>
      </c>
      <c r="E107" s="8">
        <v>1049</v>
      </c>
      <c r="F107" t="s">
        <v>626</v>
      </c>
      <c r="G107" s="20">
        <v>0.08</v>
      </c>
      <c r="H107" s="18">
        <f t="shared" si="14"/>
        <v>83.92</v>
      </c>
      <c r="I107" s="20">
        <v>0.05</v>
      </c>
      <c r="J107" s="19">
        <f t="shared" ref="J107:J113" si="21">H107+E107*I107</f>
        <v>136.37</v>
      </c>
      <c r="K107" s="1">
        <f>H107</f>
        <v>83.92</v>
      </c>
      <c r="L107" s="5">
        <v>88</v>
      </c>
      <c r="R107" t="s">
        <v>696</v>
      </c>
      <c r="S107">
        <v>17500</v>
      </c>
      <c r="T107">
        <f t="shared" si="15"/>
        <v>175</v>
      </c>
      <c r="U107" s="5">
        <f t="shared" si="16"/>
        <v>91.08</v>
      </c>
      <c r="V107" s="24">
        <f t="shared" si="20"/>
        <v>108.58</v>
      </c>
    </row>
    <row r="108" spans="1:22" x14ac:dyDescent="0.3">
      <c r="A108" s="3" t="s">
        <v>539</v>
      </c>
      <c r="B108" t="s">
        <v>540</v>
      </c>
      <c r="C108">
        <v>172</v>
      </c>
      <c r="D108" t="s">
        <v>268</v>
      </c>
      <c r="E108" s="8">
        <v>362</v>
      </c>
      <c r="F108" t="s">
        <v>624</v>
      </c>
      <c r="G108" s="20">
        <v>7.0000000000000007E-2</v>
      </c>
      <c r="H108" s="18">
        <f t="shared" si="14"/>
        <v>25.340000000000003</v>
      </c>
      <c r="I108" s="20">
        <v>0.1</v>
      </c>
      <c r="J108" s="19">
        <f t="shared" si="21"/>
        <v>61.540000000000006</v>
      </c>
      <c r="K108" s="13">
        <f>H108</f>
        <v>25.340000000000003</v>
      </c>
      <c r="R108" t="s">
        <v>676</v>
      </c>
      <c r="S108">
        <v>9250</v>
      </c>
      <c r="T108">
        <f t="shared" si="15"/>
        <v>92.5</v>
      </c>
      <c r="U108" s="5">
        <f t="shared" si="16"/>
        <v>67.16</v>
      </c>
      <c r="V108" s="24">
        <f t="shared" si="20"/>
        <v>76.41</v>
      </c>
    </row>
    <row r="109" spans="1:22" x14ac:dyDescent="0.3">
      <c r="A109" s="3" t="s">
        <v>393</v>
      </c>
      <c r="B109" t="s">
        <v>394</v>
      </c>
      <c r="C109">
        <v>171</v>
      </c>
      <c r="D109" t="s">
        <v>283</v>
      </c>
      <c r="E109" s="8">
        <v>1098</v>
      </c>
      <c r="F109" t="s">
        <v>625</v>
      </c>
      <c r="G109" s="20">
        <v>0.08</v>
      </c>
      <c r="H109" s="18">
        <f t="shared" si="14"/>
        <v>87.84</v>
      </c>
      <c r="I109" s="20">
        <v>0.1</v>
      </c>
      <c r="J109" s="19">
        <f t="shared" si="21"/>
        <v>197.64000000000001</v>
      </c>
      <c r="K109" s="1">
        <f>H109</f>
        <v>87.84</v>
      </c>
      <c r="L109" s="5">
        <v>59</v>
      </c>
      <c r="R109" t="s">
        <v>700</v>
      </c>
      <c r="S109">
        <v>13900</v>
      </c>
      <c r="T109">
        <f t="shared" si="15"/>
        <v>139</v>
      </c>
      <c r="U109" s="5">
        <f t="shared" si="16"/>
        <v>51.16</v>
      </c>
      <c r="V109" s="24">
        <f t="shared" si="20"/>
        <v>65.06</v>
      </c>
    </row>
    <row r="110" spans="1:22" x14ac:dyDescent="0.3">
      <c r="A110" s="3" t="s">
        <v>588</v>
      </c>
      <c r="B110" t="s">
        <v>589</v>
      </c>
      <c r="C110">
        <v>189</v>
      </c>
      <c r="D110" t="s">
        <v>374</v>
      </c>
      <c r="E110" s="5">
        <v>130</v>
      </c>
      <c r="F110" t="s">
        <v>624</v>
      </c>
      <c r="G110" s="20">
        <v>0.12</v>
      </c>
      <c r="H110" s="18">
        <f t="shared" si="14"/>
        <v>15.6</v>
      </c>
      <c r="I110" s="20">
        <v>0.1</v>
      </c>
      <c r="J110" s="19">
        <f t="shared" si="21"/>
        <v>28.6</v>
      </c>
      <c r="K110" s="5">
        <f>H110/2</f>
        <v>7.8</v>
      </c>
      <c r="R110" t="s">
        <v>709</v>
      </c>
      <c r="S110">
        <v>6500</v>
      </c>
      <c r="T110">
        <f t="shared" si="15"/>
        <v>65</v>
      </c>
      <c r="U110" s="5">
        <f t="shared" si="16"/>
        <v>49.4</v>
      </c>
      <c r="V110" s="24">
        <f t="shared" si="20"/>
        <v>55.9</v>
      </c>
    </row>
    <row r="111" spans="1:22" x14ac:dyDescent="0.3">
      <c r="A111" s="3">
        <v>16</v>
      </c>
      <c r="B111" t="s">
        <v>318</v>
      </c>
      <c r="C111">
        <v>28</v>
      </c>
      <c r="D111" t="s">
        <v>283</v>
      </c>
      <c r="E111" s="5">
        <v>180</v>
      </c>
      <c r="F111" t="s">
        <v>623</v>
      </c>
      <c r="G111" s="20">
        <v>0.08</v>
      </c>
      <c r="H111" s="18">
        <f t="shared" si="14"/>
        <v>14.4</v>
      </c>
      <c r="I111" s="20">
        <v>0.1</v>
      </c>
      <c r="J111" s="19">
        <f t="shared" si="21"/>
        <v>32.4</v>
      </c>
      <c r="K111" s="5">
        <f>H111</f>
        <v>14.4</v>
      </c>
      <c r="R111" t="s">
        <v>676</v>
      </c>
      <c r="S111">
        <v>5250</v>
      </c>
      <c r="T111">
        <f t="shared" si="15"/>
        <v>52.5</v>
      </c>
      <c r="U111" s="5">
        <f t="shared" si="16"/>
        <v>38.1</v>
      </c>
      <c r="V111" s="24">
        <f t="shared" si="20"/>
        <v>43.35</v>
      </c>
    </row>
    <row r="112" spans="1:22" x14ac:dyDescent="0.3">
      <c r="A112" s="3" t="s">
        <v>340</v>
      </c>
      <c r="B112" t="s">
        <v>341</v>
      </c>
      <c r="C112">
        <v>126</v>
      </c>
      <c r="D112" t="s">
        <v>283</v>
      </c>
      <c r="E112" s="8">
        <v>798</v>
      </c>
      <c r="F112" t="s">
        <v>627</v>
      </c>
      <c r="G112" s="20">
        <v>0.12</v>
      </c>
      <c r="H112" s="18">
        <f t="shared" si="14"/>
        <v>95.759999999999991</v>
      </c>
      <c r="I112" s="20">
        <v>0.05</v>
      </c>
      <c r="J112" s="19">
        <f t="shared" si="21"/>
        <v>135.66</v>
      </c>
      <c r="K112" s="1">
        <f>H112</f>
        <v>95.759999999999991</v>
      </c>
      <c r="L112" s="5">
        <v>60</v>
      </c>
      <c r="R112" t="s">
        <v>676</v>
      </c>
      <c r="S112">
        <v>13350</v>
      </c>
      <c r="T112">
        <f t="shared" si="15"/>
        <v>133.5</v>
      </c>
      <c r="U112" s="5">
        <f t="shared" si="16"/>
        <v>37.740000000000009</v>
      </c>
      <c r="V112" s="24">
        <f t="shared" si="20"/>
        <v>51.090000000000011</v>
      </c>
    </row>
    <row r="113" spans="1:22" x14ac:dyDescent="0.3">
      <c r="A113" s="3" t="s">
        <v>512</v>
      </c>
      <c r="B113" t="s">
        <v>513</v>
      </c>
      <c r="C113">
        <v>141</v>
      </c>
      <c r="D113" t="s">
        <v>268</v>
      </c>
      <c r="E113" s="8">
        <v>499</v>
      </c>
      <c r="F113" t="s">
        <v>623</v>
      </c>
      <c r="G113" s="20">
        <v>7.0000000000000007E-2</v>
      </c>
      <c r="H113" s="18">
        <f t="shared" si="14"/>
        <v>34.930000000000007</v>
      </c>
      <c r="I113" s="20">
        <v>0.1</v>
      </c>
      <c r="J113" s="19">
        <f t="shared" si="21"/>
        <v>84.830000000000013</v>
      </c>
      <c r="K113" s="13">
        <f>H113</f>
        <v>34.930000000000007</v>
      </c>
      <c r="R113" t="s">
        <v>704</v>
      </c>
      <c r="S113">
        <v>7250</v>
      </c>
      <c r="T113">
        <f t="shared" si="15"/>
        <v>72.5</v>
      </c>
      <c r="U113" s="5">
        <f t="shared" si="16"/>
        <v>37.569999999999993</v>
      </c>
      <c r="V113" s="24">
        <f t="shared" si="20"/>
        <v>44.819999999999993</v>
      </c>
    </row>
    <row r="114" spans="1:22" x14ac:dyDescent="0.3">
      <c r="A114" s="3" t="s">
        <v>481</v>
      </c>
      <c r="B114" t="s">
        <v>482</v>
      </c>
      <c r="C114">
        <v>102</v>
      </c>
      <c r="D114" t="s">
        <v>283</v>
      </c>
      <c r="E114" s="8">
        <v>850</v>
      </c>
      <c r="F114" t="s">
        <v>628</v>
      </c>
      <c r="G114" s="20">
        <v>0.08</v>
      </c>
      <c r="H114" s="18">
        <f t="shared" si="14"/>
        <v>68</v>
      </c>
      <c r="I114" s="20">
        <v>0.01</v>
      </c>
      <c r="J114" s="19">
        <f>H114+I114*E114</f>
        <v>76.5</v>
      </c>
      <c r="K114" s="1">
        <f>H114</f>
        <v>68</v>
      </c>
      <c r="L114" s="5">
        <v>36</v>
      </c>
      <c r="P114" t="s">
        <v>644</v>
      </c>
      <c r="Q114" s="5">
        <v>36</v>
      </c>
      <c r="R114" t="s">
        <v>699</v>
      </c>
      <c r="S114">
        <v>10500</v>
      </c>
      <c r="T114">
        <f t="shared" si="15"/>
        <v>105</v>
      </c>
      <c r="U114" s="5">
        <f t="shared" si="16"/>
        <v>37</v>
      </c>
      <c r="V114" s="24">
        <f t="shared" si="20"/>
        <v>47.5</v>
      </c>
    </row>
    <row r="115" spans="1:22" x14ac:dyDescent="0.3">
      <c r="A115" s="9">
        <v>17</v>
      </c>
      <c r="B115" t="s">
        <v>518</v>
      </c>
      <c r="C115">
        <v>30</v>
      </c>
      <c r="D115" t="s">
        <v>374</v>
      </c>
      <c r="E115" s="5">
        <v>130</v>
      </c>
      <c r="F115" t="s">
        <v>627</v>
      </c>
      <c r="G115" s="20">
        <v>0.12</v>
      </c>
      <c r="H115" s="18">
        <f t="shared" si="14"/>
        <v>15.6</v>
      </c>
      <c r="I115" s="20">
        <v>0.05</v>
      </c>
      <c r="J115" s="19">
        <f>H115+E115*I115</f>
        <v>22.1</v>
      </c>
      <c r="R115" t="s">
        <v>677</v>
      </c>
      <c r="S115">
        <v>5250</v>
      </c>
      <c r="T115">
        <f t="shared" si="15"/>
        <v>52.5</v>
      </c>
      <c r="U115" s="5">
        <f t="shared" si="16"/>
        <v>36.9</v>
      </c>
      <c r="V115" s="24">
        <f t="shared" si="20"/>
        <v>42.15</v>
      </c>
    </row>
    <row r="116" spans="1:22" x14ac:dyDescent="0.3">
      <c r="A116" s="3" t="s">
        <v>557</v>
      </c>
      <c r="B116" t="s">
        <v>558</v>
      </c>
      <c r="C116">
        <v>183</v>
      </c>
      <c r="D116" t="s">
        <v>268</v>
      </c>
      <c r="E116" s="5">
        <v>150</v>
      </c>
      <c r="F116" t="s">
        <v>623</v>
      </c>
      <c r="G116" s="20">
        <v>7.0000000000000007E-2</v>
      </c>
      <c r="H116" s="18">
        <f t="shared" si="14"/>
        <v>10.500000000000002</v>
      </c>
      <c r="I116" s="20">
        <v>0.1</v>
      </c>
      <c r="J116" s="19">
        <f>H116+E116*I116</f>
        <v>25.5</v>
      </c>
      <c r="K116" s="5">
        <f>H116</f>
        <v>10.500000000000002</v>
      </c>
      <c r="R116" t="s">
        <v>674</v>
      </c>
      <c r="S116">
        <v>4600</v>
      </c>
      <c r="T116">
        <f t="shared" si="15"/>
        <v>46</v>
      </c>
      <c r="U116" s="5">
        <f t="shared" si="16"/>
        <v>35.5</v>
      </c>
      <c r="V116" s="24">
        <f t="shared" si="20"/>
        <v>40.1</v>
      </c>
    </row>
    <row r="117" spans="1:22" x14ac:dyDescent="0.3">
      <c r="A117" s="3" t="s">
        <v>269</v>
      </c>
      <c r="B117" t="s">
        <v>270</v>
      </c>
      <c r="C117">
        <v>7</v>
      </c>
      <c r="D117" t="s">
        <v>268</v>
      </c>
      <c r="E117" s="8">
        <v>1509</v>
      </c>
      <c r="F117" t="s">
        <v>625</v>
      </c>
      <c r="G117" s="20">
        <v>7.0000000000000007E-2</v>
      </c>
      <c r="H117" s="18">
        <f t="shared" si="14"/>
        <v>105.63000000000001</v>
      </c>
      <c r="I117" s="20">
        <v>0.01</v>
      </c>
      <c r="J117" s="19">
        <f>H117+I117*E117</f>
        <v>120.72000000000001</v>
      </c>
      <c r="K117" s="1">
        <f>H117</f>
        <v>105.63000000000001</v>
      </c>
      <c r="L117" s="5">
        <v>53</v>
      </c>
      <c r="P117" t="s">
        <v>644</v>
      </c>
      <c r="Q117" s="5">
        <v>75</v>
      </c>
      <c r="R117" t="s">
        <v>659</v>
      </c>
      <c r="S117">
        <v>14000</v>
      </c>
      <c r="T117">
        <f t="shared" si="15"/>
        <v>140</v>
      </c>
      <c r="U117" s="5">
        <f t="shared" si="16"/>
        <v>34.36999999999999</v>
      </c>
      <c r="V117" s="24">
        <f t="shared" si="20"/>
        <v>48.36999999999999</v>
      </c>
    </row>
    <row r="118" spans="1:22" x14ac:dyDescent="0.3">
      <c r="A118" s="9" t="s">
        <v>467</v>
      </c>
      <c r="B118" t="s">
        <v>468</v>
      </c>
      <c r="C118">
        <v>202</v>
      </c>
      <c r="D118" t="s">
        <v>283</v>
      </c>
      <c r="E118" s="8">
        <v>935</v>
      </c>
      <c r="F118" t="s">
        <v>627</v>
      </c>
      <c r="G118" s="20">
        <v>0.12</v>
      </c>
      <c r="H118" s="18">
        <f t="shared" si="14"/>
        <v>112.2</v>
      </c>
      <c r="I118" s="20">
        <v>0.05</v>
      </c>
      <c r="J118" s="19">
        <f t="shared" ref="J118:J131" si="22">H118+E118*I118</f>
        <v>158.94999999999999</v>
      </c>
      <c r="K118" s="15">
        <f>H118/1.5</f>
        <v>74.8</v>
      </c>
      <c r="L118" s="5">
        <v>75</v>
      </c>
      <c r="R118" t="s">
        <v>712</v>
      </c>
      <c r="S118">
        <v>14500</v>
      </c>
      <c r="T118">
        <f t="shared" si="15"/>
        <v>145</v>
      </c>
      <c r="U118" s="5">
        <f t="shared" si="16"/>
        <v>32.799999999999997</v>
      </c>
      <c r="V118" s="24">
        <f t="shared" si="20"/>
        <v>47.3</v>
      </c>
    </row>
    <row r="119" spans="1:22" x14ac:dyDescent="0.3">
      <c r="A119" s="9" t="s">
        <v>471</v>
      </c>
      <c r="B119" t="s">
        <v>472</v>
      </c>
      <c r="C119">
        <v>75</v>
      </c>
      <c r="D119" t="s">
        <v>283</v>
      </c>
      <c r="E119" s="8">
        <v>698</v>
      </c>
      <c r="F119" t="s">
        <v>627</v>
      </c>
      <c r="G119" s="20">
        <v>0.12</v>
      </c>
      <c r="H119" s="18">
        <f t="shared" si="14"/>
        <v>83.759999999999991</v>
      </c>
      <c r="I119" s="20">
        <v>0.05</v>
      </c>
      <c r="J119" s="19">
        <f t="shared" si="22"/>
        <v>118.66</v>
      </c>
      <c r="K119" s="15">
        <f>H119/1.5</f>
        <v>55.839999999999996</v>
      </c>
      <c r="L119" s="5">
        <v>56</v>
      </c>
      <c r="R119" t="s">
        <v>680</v>
      </c>
      <c r="S119">
        <v>11000</v>
      </c>
      <c r="T119">
        <f t="shared" si="15"/>
        <v>110</v>
      </c>
      <c r="U119" s="5">
        <f t="shared" si="16"/>
        <v>26.240000000000009</v>
      </c>
      <c r="V119" s="24">
        <f t="shared" si="20"/>
        <v>37.240000000000009</v>
      </c>
    </row>
    <row r="120" spans="1:22" x14ac:dyDescent="0.3">
      <c r="A120" s="9" t="s">
        <v>541</v>
      </c>
      <c r="B120" t="s">
        <v>542</v>
      </c>
      <c r="C120">
        <v>175</v>
      </c>
      <c r="D120" t="s">
        <v>268</v>
      </c>
      <c r="E120" s="8">
        <v>435</v>
      </c>
      <c r="F120" t="s">
        <v>627</v>
      </c>
      <c r="G120" s="20">
        <v>7.0000000000000007E-2</v>
      </c>
      <c r="H120" s="18">
        <f t="shared" si="14"/>
        <v>30.450000000000003</v>
      </c>
      <c r="I120" s="20">
        <v>0.05</v>
      </c>
      <c r="J120" s="19">
        <f t="shared" si="22"/>
        <v>52.2</v>
      </c>
      <c r="K120" s="15">
        <f>H120/1.5</f>
        <v>20.3</v>
      </c>
      <c r="R120" t="s">
        <v>680</v>
      </c>
      <c r="S120">
        <v>5500</v>
      </c>
      <c r="T120">
        <f t="shared" si="15"/>
        <v>55</v>
      </c>
      <c r="U120" s="5">
        <f t="shared" si="16"/>
        <v>24.549999999999997</v>
      </c>
      <c r="V120" s="24">
        <f t="shared" si="20"/>
        <v>30.049999999999997</v>
      </c>
    </row>
    <row r="121" spans="1:22" x14ac:dyDescent="0.3">
      <c r="A121" s="3" t="s">
        <v>547</v>
      </c>
      <c r="B121" t="s">
        <v>548</v>
      </c>
      <c r="C121">
        <v>178</v>
      </c>
      <c r="D121" t="s">
        <v>283</v>
      </c>
      <c r="E121" s="8">
        <v>800</v>
      </c>
      <c r="F121" t="s">
        <v>624</v>
      </c>
      <c r="G121" s="20">
        <v>0.12</v>
      </c>
      <c r="H121" s="18">
        <f t="shared" si="14"/>
        <v>96</v>
      </c>
      <c r="I121" s="20">
        <v>0.1</v>
      </c>
      <c r="J121" s="19">
        <f t="shared" si="22"/>
        <v>176</v>
      </c>
      <c r="K121" s="1">
        <f>H121</f>
        <v>96</v>
      </c>
      <c r="L121" s="5">
        <v>64</v>
      </c>
      <c r="R121" t="s">
        <v>683</v>
      </c>
      <c r="S121">
        <v>11900</v>
      </c>
      <c r="T121">
        <f t="shared" si="15"/>
        <v>119</v>
      </c>
      <c r="U121" s="5">
        <f t="shared" si="16"/>
        <v>23</v>
      </c>
      <c r="V121" s="24">
        <f t="shared" si="20"/>
        <v>34.9</v>
      </c>
    </row>
    <row r="122" spans="1:22" x14ac:dyDescent="0.3">
      <c r="A122" s="3">
        <v>32</v>
      </c>
      <c r="B122" t="s">
        <v>406</v>
      </c>
      <c r="C122">
        <v>58</v>
      </c>
      <c r="D122" t="s">
        <v>374</v>
      </c>
      <c r="E122" s="5">
        <v>60</v>
      </c>
      <c r="F122" t="s">
        <v>628</v>
      </c>
      <c r="G122" s="20">
        <v>0.12</v>
      </c>
      <c r="H122" s="18">
        <f t="shared" si="14"/>
        <v>7.1999999999999993</v>
      </c>
      <c r="I122" s="20">
        <v>0.1</v>
      </c>
      <c r="J122" s="19">
        <f t="shared" si="22"/>
        <v>13.2</v>
      </c>
      <c r="K122" s="5">
        <f>H122/2</f>
        <v>3.5999999999999996</v>
      </c>
      <c r="R122" t="s">
        <v>659</v>
      </c>
      <c r="S122">
        <v>2800</v>
      </c>
      <c r="T122">
        <f t="shared" si="15"/>
        <v>28</v>
      </c>
      <c r="U122" s="5">
        <f t="shared" si="16"/>
        <v>20.8</v>
      </c>
      <c r="V122" s="24">
        <f t="shared" si="20"/>
        <v>23.6</v>
      </c>
    </row>
    <row r="123" spans="1:22" x14ac:dyDescent="0.3">
      <c r="A123" s="3">
        <v>4</v>
      </c>
      <c r="B123" t="s">
        <v>453</v>
      </c>
      <c r="C123">
        <v>5</v>
      </c>
      <c r="D123" t="s">
        <v>374</v>
      </c>
      <c r="E123" s="5">
        <v>55</v>
      </c>
      <c r="F123" t="s">
        <v>624</v>
      </c>
      <c r="G123" s="20">
        <v>0.12</v>
      </c>
      <c r="H123" s="18">
        <f t="shared" si="14"/>
        <v>6.6</v>
      </c>
      <c r="I123" s="20">
        <v>0.1</v>
      </c>
      <c r="J123" s="19">
        <f t="shared" si="22"/>
        <v>12.1</v>
      </c>
      <c r="K123" s="5">
        <f>H123/2</f>
        <v>3.3</v>
      </c>
      <c r="R123" t="s">
        <v>660</v>
      </c>
      <c r="S123">
        <v>2400</v>
      </c>
      <c r="T123">
        <f t="shared" si="15"/>
        <v>24</v>
      </c>
      <c r="U123" s="5">
        <f t="shared" si="16"/>
        <v>17.399999999999999</v>
      </c>
      <c r="V123" s="24">
        <f t="shared" si="20"/>
        <v>19.799999999999997</v>
      </c>
    </row>
    <row r="124" spans="1:22" x14ac:dyDescent="0.3">
      <c r="A124" s="3" t="s">
        <v>375</v>
      </c>
      <c r="B124" t="s">
        <v>376</v>
      </c>
      <c r="C124">
        <v>65</v>
      </c>
      <c r="D124" t="s">
        <v>283</v>
      </c>
      <c r="E124" s="8">
        <v>2399</v>
      </c>
      <c r="F124" t="s">
        <v>631</v>
      </c>
      <c r="G124" s="20">
        <v>0.12</v>
      </c>
      <c r="H124" s="18">
        <f t="shared" si="14"/>
        <v>287.88</v>
      </c>
      <c r="I124" s="20">
        <v>0.05</v>
      </c>
      <c r="J124" s="19">
        <f t="shared" si="22"/>
        <v>407.83</v>
      </c>
      <c r="K124" s="14">
        <f>H124</f>
        <v>287.88</v>
      </c>
      <c r="L124" s="5">
        <v>144</v>
      </c>
      <c r="R124" t="s">
        <v>666</v>
      </c>
      <c r="S124">
        <v>30500</v>
      </c>
      <c r="T124">
        <f t="shared" si="15"/>
        <v>305</v>
      </c>
      <c r="U124" s="5">
        <f t="shared" si="16"/>
        <v>17.120000000000005</v>
      </c>
      <c r="V124" s="24">
        <f t="shared" si="20"/>
        <v>47.620000000000005</v>
      </c>
    </row>
    <row r="125" spans="1:22" x14ac:dyDescent="0.3">
      <c r="A125" s="3">
        <v>33</v>
      </c>
      <c r="B125" t="s">
        <v>575</v>
      </c>
      <c r="C125">
        <v>60</v>
      </c>
      <c r="D125" t="s">
        <v>374</v>
      </c>
      <c r="E125" s="5">
        <v>60</v>
      </c>
      <c r="F125" t="s">
        <v>624</v>
      </c>
      <c r="G125" s="20">
        <v>0.12</v>
      </c>
      <c r="H125" s="18">
        <f t="shared" si="14"/>
        <v>7.1999999999999993</v>
      </c>
      <c r="I125" s="20">
        <v>0.1</v>
      </c>
      <c r="J125" s="19">
        <f t="shared" si="22"/>
        <v>13.2</v>
      </c>
      <c r="K125" s="5">
        <f>H125/2</f>
        <v>3.5999999999999996</v>
      </c>
      <c r="R125" t="s">
        <v>689</v>
      </c>
      <c r="S125">
        <v>2400</v>
      </c>
      <c r="T125">
        <f t="shared" si="15"/>
        <v>24</v>
      </c>
      <c r="U125" s="5">
        <f t="shared" si="16"/>
        <v>16.8</v>
      </c>
      <c r="V125" s="24">
        <f t="shared" si="20"/>
        <v>19.200000000000003</v>
      </c>
    </row>
    <row r="126" spans="1:22" x14ac:dyDescent="0.3">
      <c r="A126" s="3" t="s">
        <v>286</v>
      </c>
      <c r="B126" t="s">
        <v>287</v>
      </c>
      <c r="C126">
        <v>27</v>
      </c>
      <c r="D126" t="s">
        <v>374</v>
      </c>
      <c r="E126" s="8">
        <v>575</v>
      </c>
      <c r="F126" t="s">
        <v>625</v>
      </c>
      <c r="G126" s="20">
        <v>0.12</v>
      </c>
      <c r="H126" s="18">
        <f t="shared" si="14"/>
        <v>69</v>
      </c>
      <c r="I126" s="20">
        <v>0.1</v>
      </c>
      <c r="J126" s="19">
        <f t="shared" si="22"/>
        <v>126.5</v>
      </c>
      <c r="K126" s="13">
        <f>H126</f>
        <v>69</v>
      </c>
      <c r="R126" t="s">
        <v>670</v>
      </c>
      <c r="S126">
        <v>8500</v>
      </c>
      <c r="T126">
        <f t="shared" si="15"/>
        <v>85</v>
      </c>
      <c r="U126" s="5">
        <f t="shared" si="16"/>
        <v>16</v>
      </c>
      <c r="V126" s="24">
        <f t="shared" si="20"/>
        <v>24.5</v>
      </c>
    </row>
    <row r="127" spans="1:22" x14ac:dyDescent="0.3">
      <c r="A127" s="3">
        <v>28</v>
      </c>
      <c r="B127" t="s">
        <v>573</v>
      </c>
      <c r="C127">
        <v>51</v>
      </c>
      <c r="D127" t="s">
        <v>374</v>
      </c>
      <c r="E127" s="5">
        <v>86</v>
      </c>
      <c r="F127" t="s">
        <v>624</v>
      </c>
      <c r="G127" s="20">
        <v>0.12</v>
      </c>
      <c r="H127" s="18">
        <f t="shared" si="14"/>
        <v>10.32</v>
      </c>
      <c r="I127" s="20">
        <v>0.1</v>
      </c>
      <c r="J127" s="19">
        <f t="shared" si="22"/>
        <v>18.920000000000002</v>
      </c>
      <c r="K127" s="5">
        <f>H127/2</f>
        <v>5.16</v>
      </c>
      <c r="R127" t="s">
        <v>686</v>
      </c>
      <c r="S127">
        <v>2575</v>
      </c>
      <c r="T127">
        <f t="shared" si="15"/>
        <v>25.75</v>
      </c>
      <c r="U127" s="5">
        <f t="shared" si="16"/>
        <v>15.43</v>
      </c>
      <c r="V127" s="24">
        <f t="shared" si="20"/>
        <v>18.004999999999999</v>
      </c>
    </row>
    <row r="128" spans="1:22" x14ac:dyDescent="0.3">
      <c r="A128" s="3">
        <v>10</v>
      </c>
      <c r="B128" t="s">
        <v>461</v>
      </c>
      <c r="C128">
        <v>16</v>
      </c>
      <c r="D128" t="s">
        <v>374</v>
      </c>
      <c r="E128" s="5">
        <v>30</v>
      </c>
      <c r="F128" t="s">
        <v>625</v>
      </c>
      <c r="G128" s="20">
        <v>0.12</v>
      </c>
      <c r="H128" s="18">
        <f t="shared" si="14"/>
        <v>3.5999999999999996</v>
      </c>
      <c r="I128" s="20">
        <v>0.1</v>
      </c>
      <c r="J128" s="19">
        <f t="shared" si="22"/>
        <v>6.6</v>
      </c>
      <c r="K128" s="5">
        <f>H128/2</f>
        <v>1.7999999999999998</v>
      </c>
      <c r="R128" t="s">
        <v>665</v>
      </c>
      <c r="S128">
        <v>1900</v>
      </c>
      <c r="T128">
        <f t="shared" si="15"/>
        <v>19</v>
      </c>
      <c r="U128" s="5">
        <f t="shared" si="16"/>
        <v>15.4</v>
      </c>
      <c r="V128" s="24">
        <f t="shared" si="20"/>
        <v>17.3</v>
      </c>
    </row>
    <row r="129" spans="1:22" x14ac:dyDescent="0.3">
      <c r="A129" s="3">
        <v>31</v>
      </c>
      <c r="B129" t="s">
        <v>574</v>
      </c>
      <c r="C129">
        <v>57</v>
      </c>
      <c r="D129" t="s">
        <v>374</v>
      </c>
      <c r="E129" s="5">
        <v>105</v>
      </c>
      <c r="F129" t="s">
        <v>624</v>
      </c>
      <c r="G129" s="20">
        <v>0.12</v>
      </c>
      <c r="H129" s="18">
        <f t="shared" si="14"/>
        <v>12.6</v>
      </c>
      <c r="I129" s="20">
        <v>0.1</v>
      </c>
      <c r="J129" s="19">
        <f t="shared" si="22"/>
        <v>23.1</v>
      </c>
      <c r="K129" s="5">
        <f>H129/2</f>
        <v>6.3</v>
      </c>
      <c r="R129" t="s">
        <v>658</v>
      </c>
      <c r="S129">
        <v>2600</v>
      </c>
      <c r="T129">
        <f t="shared" si="15"/>
        <v>26</v>
      </c>
      <c r="U129" s="5">
        <f t="shared" si="16"/>
        <v>13.4</v>
      </c>
      <c r="V129" s="24">
        <f t="shared" si="20"/>
        <v>16</v>
      </c>
    </row>
    <row r="130" spans="1:22" x14ac:dyDescent="0.3">
      <c r="A130" s="3">
        <v>8</v>
      </c>
      <c r="B130" t="s">
        <v>459</v>
      </c>
      <c r="C130">
        <v>12</v>
      </c>
      <c r="D130" t="s">
        <v>374</v>
      </c>
      <c r="E130" s="5">
        <v>40</v>
      </c>
      <c r="F130" t="s">
        <v>624</v>
      </c>
      <c r="G130" s="20">
        <v>0.12</v>
      </c>
      <c r="H130" s="18">
        <f t="shared" ref="H130:H193" si="23">G130*E130</f>
        <v>4.8</v>
      </c>
      <c r="I130" s="20">
        <v>0.1</v>
      </c>
      <c r="J130" s="19">
        <f t="shared" si="22"/>
        <v>8.8000000000000007</v>
      </c>
      <c r="K130" s="5">
        <f>H130/2</f>
        <v>2.4</v>
      </c>
      <c r="R130" t="s">
        <v>663</v>
      </c>
      <c r="S130">
        <v>1800</v>
      </c>
      <c r="T130">
        <f t="shared" ref="T130:T193" si="24">S130/100</f>
        <v>18</v>
      </c>
      <c r="U130" s="5">
        <f t="shared" ref="U130:U193" si="25">T130-H130</f>
        <v>13.2</v>
      </c>
      <c r="V130" s="24">
        <f t="shared" si="20"/>
        <v>15</v>
      </c>
    </row>
    <row r="131" spans="1:22" x14ac:dyDescent="0.3">
      <c r="A131" s="3" t="s">
        <v>362</v>
      </c>
      <c r="B131" t="s">
        <v>363</v>
      </c>
      <c r="C131">
        <v>149</v>
      </c>
      <c r="D131" t="s">
        <v>283</v>
      </c>
      <c r="E131" s="8">
        <v>200</v>
      </c>
      <c r="F131" t="s">
        <v>631</v>
      </c>
      <c r="G131" s="20">
        <v>0.12</v>
      </c>
      <c r="H131" s="18">
        <f t="shared" si="23"/>
        <v>24</v>
      </c>
      <c r="I131" s="20">
        <v>0.05</v>
      </c>
      <c r="J131" s="19">
        <f t="shared" si="22"/>
        <v>34</v>
      </c>
      <c r="K131" s="5">
        <f>H131</f>
        <v>24</v>
      </c>
      <c r="R131" t="s">
        <v>706</v>
      </c>
      <c r="S131">
        <v>3700</v>
      </c>
      <c r="T131">
        <f t="shared" si="24"/>
        <v>37</v>
      </c>
      <c r="U131" s="5">
        <f t="shared" si="25"/>
        <v>13</v>
      </c>
      <c r="V131" s="24">
        <f t="shared" si="20"/>
        <v>16.7</v>
      </c>
    </row>
    <row r="132" spans="1:22" x14ac:dyDescent="0.3">
      <c r="A132" s="3" t="s">
        <v>469</v>
      </c>
      <c r="B132" t="s">
        <v>470</v>
      </c>
      <c r="C132">
        <v>67</v>
      </c>
      <c r="D132" t="s">
        <v>283</v>
      </c>
      <c r="E132" s="8">
        <v>219</v>
      </c>
      <c r="F132" t="s">
        <v>624</v>
      </c>
      <c r="G132" s="20">
        <v>0.08</v>
      </c>
      <c r="H132" s="18">
        <f t="shared" si="23"/>
        <v>17.52</v>
      </c>
      <c r="I132" s="20">
        <v>0.01</v>
      </c>
      <c r="J132" s="19">
        <f>H132+I132*E132</f>
        <v>19.71</v>
      </c>
      <c r="K132" s="5">
        <f>H132</f>
        <v>17.52</v>
      </c>
      <c r="P132" t="s">
        <v>644</v>
      </c>
      <c r="Q132" s="5">
        <v>23</v>
      </c>
      <c r="R132" t="s">
        <v>660</v>
      </c>
      <c r="S132">
        <v>3025</v>
      </c>
      <c r="T132">
        <f t="shared" si="24"/>
        <v>30.25</v>
      </c>
      <c r="U132" s="5">
        <f t="shared" si="25"/>
        <v>12.73</v>
      </c>
      <c r="V132" s="24">
        <f t="shared" si="20"/>
        <v>15.755000000000001</v>
      </c>
    </row>
    <row r="133" spans="1:22" x14ac:dyDescent="0.3">
      <c r="A133" s="3">
        <v>30</v>
      </c>
      <c r="B133" t="s">
        <v>405</v>
      </c>
      <c r="C133">
        <v>55</v>
      </c>
      <c r="D133" t="s">
        <v>374</v>
      </c>
      <c r="E133" s="5">
        <v>50</v>
      </c>
      <c r="F133" t="s">
        <v>624</v>
      </c>
      <c r="G133" s="20">
        <v>0.12</v>
      </c>
      <c r="H133" s="18">
        <f t="shared" si="23"/>
        <v>6</v>
      </c>
      <c r="I133" s="20">
        <v>0.1</v>
      </c>
      <c r="J133" s="19">
        <f>H133+E133*I133</f>
        <v>11</v>
      </c>
      <c r="K133" s="5">
        <f>H133/2</f>
        <v>3</v>
      </c>
      <c r="R133" t="s">
        <v>681</v>
      </c>
      <c r="S133">
        <v>1850</v>
      </c>
      <c r="T133">
        <f t="shared" si="24"/>
        <v>18.5</v>
      </c>
      <c r="U133" s="5">
        <f t="shared" si="25"/>
        <v>12.5</v>
      </c>
      <c r="V133" s="24">
        <f t="shared" si="20"/>
        <v>14.35</v>
      </c>
    </row>
    <row r="134" spans="1:22" x14ac:dyDescent="0.3">
      <c r="A134" s="3">
        <v>24</v>
      </c>
      <c r="B134" t="s">
        <v>570</v>
      </c>
      <c r="C134">
        <v>43</v>
      </c>
      <c r="D134" t="s">
        <v>374</v>
      </c>
      <c r="E134" s="5">
        <v>85</v>
      </c>
      <c r="F134" t="s">
        <v>624</v>
      </c>
      <c r="G134" s="20">
        <v>0.12</v>
      </c>
      <c r="H134" s="18">
        <f t="shared" si="23"/>
        <v>10.199999999999999</v>
      </c>
      <c r="I134" s="20">
        <v>0.1</v>
      </c>
      <c r="J134" s="19">
        <f>H134+E134*I134</f>
        <v>18.7</v>
      </c>
      <c r="K134" s="5">
        <f>H134/2</f>
        <v>5.0999999999999996</v>
      </c>
      <c r="R134" t="s">
        <v>666</v>
      </c>
      <c r="S134">
        <v>2000</v>
      </c>
      <c r="T134">
        <f t="shared" si="24"/>
        <v>20</v>
      </c>
      <c r="U134" s="5">
        <f t="shared" si="25"/>
        <v>9.8000000000000007</v>
      </c>
      <c r="V134" s="24">
        <f t="shared" si="20"/>
        <v>11.8</v>
      </c>
    </row>
    <row r="135" spans="1:22" x14ac:dyDescent="0.3">
      <c r="A135" s="3">
        <v>57</v>
      </c>
      <c r="B135" t="s">
        <v>615</v>
      </c>
      <c r="C135">
        <v>96</v>
      </c>
      <c r="D135" t="s">
        <v>268</v>
      </c>
      <c r="E135" s="5">
        <v>147</v>
      </c>
      <c r="F135" t="s">
        <v>624</v>
      </c>
      <c r="G135" s="20">
        <v>7.0000000000000007E-2</v>
      </c>
      <c r="H135" s="18">
        <f t="shared" si="23"/>
        <v>10.290000000000001</v>
      </c>
      <c r="I135" s="20">
        <v>0.1</v>
      </c>
      <c r="J135" s="19">
        <f>H135+E135*I135</f>
        <v>24.990000000000002</v>
      </c>
      <c r="K135" s="5">
        <f>H135</f>
        <v>10.290000000000001</v>
      </c>
      <c r="R135" t="s">
        <v>698</v>
      </c>
      <c r="S135">
        <v>2000</v>
      </c>
      <c r="T135">
        <f t="shared" si="24"/>
        <v>20</v>
      </c>
      <c r="U135" s="5">
        <f t="shared" si="25"/>
        <v>9.7099999999999991</v>
      </c>
      <c r="V135" s="24">
        <f t="shared" si="20"/>
        <v>11.709999999999999</v>
      </c>
    </row>
    <row r="136" spans="1:22" x14ac:dyDescent="0.3">
      <c r="A136" s="3" t="s">
        <v>487</v>
      </c>
      <c r="B136" t="s">
        <v>488</v>
      </c>
      <c r="C136">
        <v>107</v>
      </c>
      <c r="D136" t="s">
        <v>283</v>
      </c>
      <c r="E136" s="8">
        <v>707</v>
      </c>
      <c r="F136" t="s">
        <v>628</v>
      </c>
      <c r="G136" s="20">
        <v>0.08</v>
      </c>
      <c r="H136" s="18">
        <f t="shared" si="23"/>
        <v>56.56</v>
      </c>
      <c r="I136" s="20">
        <v>0.01</v>
      </c>
      <c r="J136" s="19">
        <f>H136+I136*E136</f>
        <v>63.63</v>
      </c>
      <c r="K136" s="1">
        <f>H136</f>
        <v>56.56</v>
      </c>
      <c r="L136" s="5">
        <v>38</v>
      </c>
      <c r="P136" t="s">
        <v>644</v>
      </c>
      <c r="Q136" s="5">
        <v>8.25</v>
      </c>
      <c r="R136" t="s">
        <v>693</v>
      </c>
      <c r="S136">
        <v>6600</v>
      </c>
      <c r="T136">
        <f t="shared" si="24"/>
        <v>66</v>
      </c>
      <c r="U136" s="5">
        <f t="shared" si="25"/>
        <v>9.4399999999999977</v>
      </c>
      <c r="V136" s="24">
        <f t="shared" si="20"/>
        <v>16.04</v>
      </c>
    </row>
    <row r="137" spans="1:22" x14ac:dyDescent="0.3">
      <c r="A137" s="3" t="s">
        <v>372</v>
      </c>
      <c r="B137" t="s">
        <v>373</v>
      </c>
      <c r="C137">
        <v>63</v>
      </c>
      <c r="D137" t="s">
        <v>374</v>
      </c>
      <c r="E137" s="8">
        <v>3298</v>
      </c>
      <c r="F137" t="s">
        <v>628</v>
      </c>
      <c r="G137" s="20">
        <v>0.12</v>
      </c>
      <c r="H137" s="18">
        <f t="shared" si="23"/>
        <v>395.76</v>
      </c>
      <c r="I137" s="20">
        <v>0.1</v>
      </c>
      <c r="J137" s="19">
        <f t="shared" ref="J137:J142" si="26">H137+E137*I137</f>
        <v>725.56</v>
      </c>
      <c r="K137" s="14">
        <f>H137</f>
        <v>395.76</v>
      </c>
      <c r="L137" s="5">
        <v>198</v>
      </c>
      <c r="R137" t="s">
        <v>691</v>
      </c>
      <c r="S137">
        <v>40500</v>
      </c>
      <c r="T137">
        <f t="shared" si="24"/>
        <v>405</v>
      </c>
      <c r="U137" s="5">
        <f t="shared" si="25"/>
        <v>9.2400000000000091</v>
      </c>
      <c r="V137" s="24">
        <f t="shared" si="20"/>
        <v>49.740000000000009</v>
      </c>
    </row>
    <row r="138" spans="1:22" x14ac:dyDescent="0.3">
      <c r="A138" s="3">
        <v>35</v>
      </c>
      <c r="B138" t="s">
        <v>407</v>
      </c>
      <c r="C138">
        <v>64</v>
      </c>
      <c r="D138" t="s">
        <v>374</v>
      </c>
      <c r="E138" s="5">
        <v>43</v>
      </c>
      <c r="F138" t="s">
        <v>623</v>
      </c>
      <c r="G138" s="20">
        <v>0.12</v>
      </c>
      <c r="H138" s="18">
        <f t="shared" si="23"/>
        <v>5.16</v>
      </c>
      <c r="I138" s="20">
        <v>0.1</v>
      </c>
      <c r="J138" s="19">
        <f t="shared" si="26"/>
        <v>9.4600000000000009</v>
      </c>
      <c r="K138" s="5">
        <f>H138/2</f>
        <v>2.58</v>
      </c>
      <c r="R138" t="s">
        <v>692</v>
      </c>
      <c r="S138">
        <v>1350</v>
      </c>
      <c r="T138">
        <f t="shared" si="24"/>
        <v>13.5</v>
      </c>
      <c r="U138" s="5">
        <f t="shared" si="25"/>
        <v>8.34</v>
      </c>
      <c r="V138" s="24">
        <f t="shared" si="20"/>
        <v>9.69</v>
      </c>
    </row>
    <row r="139" spans="1:22" x14ac:dyDescent="0.3">
      <c r="A139" s="3">
        <v>29</v>
      </c>
      <c r="B139" t="s">
        <v>404</v>
      </c>
      <c r="C139">
        <v>53</v>
      </c>
      <c r="D139" t="s">
        <v>374</v>
      </c>
      <c r="E139" s="5">
        <v>85</v>
      </c>
      <c r="F139" t="s">
        <v>624</v>
      </c>
      <c r="G139" s="20">
        <v>0.12</v>
      </c>
      <c r="H139" s="18">
        <f t="shared" si="23"/>
        <v>10.199999999999999</v>
      </c>
      <c r="I139" s="20">
        <v>0.1</v>
      </c>
      <c r="J139" s="19">
        <f t="shared" si="26"/>
        <v>18.7</v>
      </c>
      <c r="K139" s="5">
        <f>H139/2</f>
        <v>5.0999999999999996</v>
      </c>
      <c r="R139" t="s">
        <v>675</v>
      </c>
      <c r="S139">
        <v>1850</v>
      </c>
      <c r="T139">
        <f t="shared" si="24"/>
        <v>18.5</v>
      </c>
      <c r="U139" s="5">
        <f t="shared" si="25"/>
        <v>8.3000000000000007</v>
      </c>
      <c r="V139" s="24">
        <f t="shared" si="20"/>
        <v>10.15</v>
      </c>
    </row>
    <row r="140" spans="1:22" x14ac:dyDescent="0.3">
      <c r="A140" s="3" t="s">
        <v>402</v>
      </c>
      <c r="B140" t="s">
        <v>403</v>
      </c>
      <c r="C140">
        <v>69</v>
      </c>
      <c r="D140" t="s">
        <v>374</v>
      </c>
      <c r="E140" s="5">
        <v>129</v>
      </c>
      <c r="F140" t="s">
        <v>624</v>
      </c>
      <c r="G140" s="20">
        <v>0.12</v>
      </c>
      <c r="H140" s="18">
        <f t="shared" si="23"/>
        <v>15.479999999999999</v>
      </c>
      <c r="I140" s="20">
        <v>0.1</v>
      </c>
      <c r="J140" s="19">
        <f t="shared" si="26"/>
        <v>28.38</v>
      </c>
      <c r="K140" s="5">
        <f>H140/2</f>
        <v>7.7399999999999993</v>
      </c>
      <c r="R140" t="s">
        <v>676</v>
      </c>
      <c r="S140">
        <v>2300</v>
      </c>
      <c r="T140">
        <f t="shared" si="24"/>
        <v>23</v>
      </c>
      <c r="U140" s="5">
        <f t="shared" si="25"/>
        <v>7.5200000000000014</v>
      </c>
      <c r="V140" s="24">
        <f t="shared" si="20"/>
        <v>9.8200000000000021</v>
      </c>
    </row>
    <row r="141" spans="1:22" x14ac:dyDescent="0.3">
      <c r="A141" s="9">
        <v>26</v>
      </c>
      <c r="B141" t="s">
        <v>571</v>
      </c>
      <c r="C141">
        <v>47</v>
      </c>
      <c r="D141" t="s">
        <v>374</v>
      </c>
      <c r="E141" s="5">
        <v>79</v>
      </c>
      <c r="F141" t="s">
        <v>627</v>
      </c>
      <c r="G141" s="20">
        <v>0.12</v>
      </c>
      <c r="H141" s="18">
        <f t="shared" si="23"/>
        <v>9.48</v>
      </c>
      <c r="I141" s="20">
        <v>0.05</v>
      </c>
      <c r="J141" s="19">
        <f t="shared" si="26"/>
        <v>13.43</v>
      </c>
      <c r="R141" t="s">
        <v>683</v>
      </c>
      <c r="S141">
        <v>1650</v>
      </c>
      <c r="T141">
        <f t="shared" si="24"/>
        <v>16.5</v>
      </c>
      <c r="U141" s="5">
        <f t="shared" si="25"/>
        <v>7.02</v>
      </c>
      <c r="V141" s="24">
        <f t="shared" si="20"/>
        <v>8.67</v>
      </c>
    </row>
    <row r="142" spans="1:22" x14ac:dyDescent="0.3">
      <c r="A142" s="3">
        <v>42</v>
      </c>
      <c r="B142" t="s">
        <v>444</v>
      </c>
      <c r="C142">
        <v>76</v>
      </c>
      <c r="D142" t="s">
        <v>374</v>
      </c>
      <c r="E142" s="5">
        <v>30</v>
      </c>
      <c r="F142" t="s">
        <v>624</v>
      </c>
      <c r="G142" s="20">
        <v>0.12</v>
      </c>
      <c r="H142" s="18">
        <f t="shared" si="23"/>
        <v>3.5999999999999996</v>
      </c>
      <c r="I142" s="20">
        <v>0.1</v>
      </c>
      <c r="J142" s="19">
        <f t="shared" si="26"/>
        <v>6.6</v>
      </c>
      <c r="K142" s="5">
        <f>H142/2</f>
        <v>1.7999999999999998</v>
      </c>
      <c r="R142" t="s">
        <v>676</v>
      </c>
      <c r="S142">
        <v>1050</v>
      </c>
      <c r="T142">
        <f t="shared" si="24"/>
        <v>10.5</v>
      </c>
      <c r="U142" s="5">
        <f t="shared" si="25"/>
        <v>6.9</v>
      </c>
      <c r="V142" s="24">
        <f t="shared" si="20"/>
        <v>7.95</v>
      </c>
    </row>
    <row r="143" spans="1:22" x14ac:dyDescent="0.3">
      <c r="A143" s="9" t="s">
        <v>310</v>
      </c>
      <c r="B143" t="s">
        <v>311</v>
      </c>
      <c r="C143">
        <v>59</v>
      </c>
      <c r="D143" t="s">
        <v>283</v>
      </c>
      <c r="E143" s="8">
        <v>423</v>
      </c>
      <c r="F143" t="s">
        <v>627</v>
      </c>
      <c r="G143" s="20">
        <v>0.12</v>
      </c>
      <c r="H143" s="18">
        <f t="shared" si="23"/>
        <v>50.76</v>
      </c>
      <c r="I143" s="20">
        <v>0.01</v>
      </c>
      <c r="J143" s="19">
        <f>H143+I143*E143</f>
        <v>54.989999999999995</v>
      </c>
      <c r="K143" s="15">
        <f>H143/1.5</f>
        <v>33.839999999999996</v>
      </c>
      <c r="P143" t="s">
        <v>644</v>
      </c>
      <c r="Q143" s="5">
        <v>67.5</v>
      </c>
      <c r="R143" t="s">
        <v>688</v>
      </c>
      <c r="S143">
        <v>5750</v>
      </c>
      <c r="T143">
        <f t="shared" si="24"/>
        <v>57.5</v>
      </c>
      <c r="U143" s="5">
        <f t="shared" si="25"/>
        <v>6.740000000000002</v>
      </c>
      <c r="V143" s="24">
        <f t="shared" si="20"/>
        <v>12.490000000000002</v>
      </c>
    </row>
    <row r="144" spans="1:22" x14ac:dyDescent="0.3">
      <c r="A144" s="3" t="s">
        <v>290</v>
      </c>
      <c r="B144" t="s">
        <v>291</v>
      </c>
      <c r="C144">
        <v>33</v>
      </c>
      <c r="D144" t="s">
        <v>268</v>
      </c>
      <c r="E144" s="8">
        <v>310</v>
      </c>
      <c r="F144" t="s">
        <v>625</v>
      </c>
      <c r="G144" s="20">
        <v>7.0000000000000007E-2</v>
      </c>
      <c r="H144" s="18">
        <f t="shared" si="23"/>
        <v>21.700000000000003</v>
      </c>
      <c r="I144" s="20">
        <v>0.1</v>
      </c>
      <c r="J144" s="19">
        <f t="shared" ref="J144:J151" si="27">H144+E144*I144</f>
        <v>52.7</v>
      </c>
      <c r="K144" s="13">
        <f>H144</f>
        <v>21.700000000000003</v>
      </c>
      <c r="R144" t="s">
        <v>675</v>
      </c>
      <c r="S144">
        <v>2800</v>
      </c>
      <c r="T144">
        <f t="shared" si="24"/>
        <v>28</v>
      </c>
      <c r="U144" s="5">
        <f t="shared" si="25"/>
        <v>6.2999999999999972</v>
      </c>
      <c r="V144" s="24">
        <f t="shared" si="20"/>
        <v>9.0999999999999979</v>
      </c>
    </row>
    <row r="145" spans="1:22" x14ac:dyDescent="0.3">
      <c r="A145" s="3">
        <v>39</v>
      </c>
      <c r="B145" t="s">
        <v>580</v>
      </c>
      <c r="C145">
        <v>72</v>
      </c>
      <c r="D145" t="s">
        <v>374</v>
      </c>
      <c r="E145" s="5">
        <v>50</v>
      </c>
      <c r="F145" t="s">
        <v>623</v>
      </c>
      <c r="G145" s="20">
        <v>0.12</v>
      </c>
      <c r="H145" s="18">
        <f t="shared" si="23"/>
        <v>6</v>
      </c>
      <c r="I145" s="20">
        <v>0.1</v>
      </c>
      <c r="J145" s="19">
        <f t="shared" si="27"/>
        <v>11</v>
      </c>
      <c r="K145" s="5">
        <f>H145/2</f>
        <v>3</v>
      </c>
      <c r="R145" t="s">
        <v>695</v>
      </c>
      <c r="S145">
        <v>1200</v>
      </c>
      <c r="T145">
        <f t="shared" si="24"/>
        <v>12</v>
      </c>
      <c r="U145" s="5">
        <f t="shared" si="25"/>
        <v>6</v>
      </c>
      <c r="V145" s="24">
        <f t="shared" si="20"/>
        <v>7.2</v>
      </c>
    </row>
    <row r="146" spans="1:22" x14ac:dyDescent="0.3">
      <c r="A146" s="3">
        <v>36</v>
      </c>
      <c r="B146" t="s">
        <v>577</v>
      </c>
      <c r="C146">
        <v>66</v>
      </c>
      <c r="D146" t="s">
        <v>374</v>
      </c>
      <c r="E146" s="5">
        <v>39</v>
      </c>
      <c r="F146" t="s">
        <v>623</v>
      </c>
      <c r="G146" s="20">
        <v>0.12</v>
      </c>
      <c r="H146" s="18">
        <f t="shared" si="23"/>
        <v>4.68</v>
      </c>
      <c r="I146" s="20">
        <v>0.1</v>
      </c>
      <c r="J146" s="19">
        <f t="shared" si="27"/>
        <v>8.58</v>
      </c>
      <c r="K146" s="5">
        <f>H146/2</f>
        <v>2.34</v>
      </c>
      <c r="R146" t="s">
        <v>693</v>
      </c>
      <c r="S146">
        <v>1050</v>
      </c>
      <c r="T146">
        <f t="shared" si="24"/>
        <v>10.5</v>
      </c>
      <c r="U146" s="5">
        <f t="shared" si="25"/>
        <v>5.82</v>
      </c>
      <c r="V146" s="24">
        <f t="shared" si="20"/>
        <v>6.87</v>
      </c>
    </row>
    <row r="147" spans="1:22" x14ac:dyDescent="0.3">
      <c r="A147" s="3" t="s">
        <v>527</v>
      </c>
      <c r="B147" t="s">
        <v>528</v>
      </c>
      <c r="C147">
        <v>156</v>
      </c>
      <c r="D147" t="s">
        <v>283</v>
      </c>
      <c r="E147" s="8">
        <v>330</v>
      </c>
      <c r="F147" t="s">
        <v>625</v>
      </c>
      <c r="G147" s="20">
        <v>0.12</v>
      </c>
      <c r="H147" s="18">
        <f t="shared" si="23"/>
        <v>39.6</v>
      </c>
      <c r="I147" s="20">
        <v>0.1</v>
      </c>
      <c r="J147" s="19">
        <f t="shared" si="27"/>
        <v>72.599999999999994</v>
      </c>
      <c r="K147" s="13">
        <f>H147</f>
        <v>39.6</v>
      </c>
      <c r="R147" t="s">
        <v>707</v>
      </c>
      <c r="S147">
        <v>4500</v>
      </c>
      <c r="T147">
        <f t="shared" si="24"/>
        <v>45</v>
      </c>
      <c r="U147" s="5">
        <f t="shared" si="25"/>
        <v>5.3999999999999986</v>
      </c>
      <c r="V147" s="24">
        <f t="shared" si="20"/>
        <v>9.8999999999999986</v>
      </c>
    </row>
    <row r="148" spans="1:22" x14ac:dyDescent="0.3">
      <c r="A148" s="3" t="s">
        <v>338</v>
      </c>
      <c r="B148" t="s">
        <v>339</v>
      </c>
      <c r="C148">
        <v>125</v>
      </c>
      <c r="D148" t="s">
        <v>283</v>
      </c>
      <c r="E148" s="8">
        <v>250</v>
      </c>
      <c r="F148" t="s">
        <v>631</v>
      </c>
      <c r="G148" s="20">
        <v>0.12</v>
      </c>
      <c r="H148" s="18">
        <f t="shared" si="23"/>
        <v>30</v>
      </c>
      <c r="I148" s="20">
        <v>0.05</v>
      </c>
      <c r="J148" s="19">
        <f t="shared" si="27"/>
        <v>42.5</v>
      </c>
      <c r="K148" s="5">
        <f>H148</f>
        <v>30</v>
      </c>
      <c r="R148" t="s">
        <v>702</v>
      </c>
      <c r="S148">
        <v>3500</v>
      </c>
      <c r="T148">
        <f t="shared" si="24"/>
        <v>35</v>
      </c>
      <c r="U148" s="5">
        <f t="shared" si="25"/>
        <v>5</v>
      </c>
      <c r="V148" s="24">
        <f t="shared" si="20"/>
        <v>8.5</v>
      </c>
    </row>
    <row r="149" spans="1:22" x14ac:dyDescent="0.3">
      <c r="A149" s="3">
        <v>6</v>
      </c>
      <c r="B149" t="s">
        <v>455</v>
      </c>
      <c r="C149">
        <v>8</v>
      </c>
      <c r="D149" t="s">
        <v>374</v>
      </c>
      <c r="E149" s="5">
        <v>66</v>
      </c>
      <c r="F149" t="s">
        <v>651</v>
      </c>
      <c r="G149" s="20">
        <v>0.12</v>
      </c>
      <c r="H149" s="18">
        <f t="shared" si="23"/>
        <v>7.92</v>
      </c>
      <c r="I149" s="20">
        <v>0.1</v>
      </c>
      <c r="J149" s="19">
        <f t="shared" si="27"/>
        <v>14.52</v>
      </c>
      <c r="K149" s="5">
        <f>H149/2</f>
        <v>3.96</v>
      </c>
      <c r="R149" t="s">
        <v>673</v>
      </c>
      <c r="S149">
        <v>1200</v>
      </c>
      <c r="T149">
        <f t="shared" si="24"/>
        <v>12</v>
      </c>
      <c r="U149" s="5">
        <f t="shared" si="25"/>
        <v>4.08</v>
      </c>
      <c r="V149" s="24">
        <f t="shared" si="20"/>
        <v>5.28</v>
      </c>
    </row>
    <row r="150" spans="1:22" x14ac:dyDescent="0.3">
      <c r="A150" s="3" t="s">
        <v>451</v>
      </c>
      <c r="B150" t="s">
        <v>452</v>
      </c>
      <c r="C150">
        <v>19</v>
      </c>
      <c r="D150" t="s">
        <v>268</v>
      </c>
      <c r="E150" s="8">
        <v>978</v>
      </c>
      <c r="F150" t="s">
        <v>623</v>
      </c>
      <c r="G150" s="20">
        <v>7.0000000000000007E-2</v>
      </c>
      <c r="H150" s="18">
        <f t="shared" si="23"/>
        <v>68.460000000000008</v>
      </c>
      <c r="I150" s="20">
        <v>0.1</v>
      </c>
      <c r="J150" s="19">
        <f t="shared" si="27"/>
        <v>166.26000000000002</v>
      </c>
      <c r="K150" s="1">
        <f>H150</f>
        <v>68.460000000000008</v>
      </c>
      <c r="L150" s="5">
        <v>34</v>
      </c>
      <c r="R150" t="s">
        <v>672</v>
      </c>
      <c r="S150">
        <v>7250</v>
      </c>
      <c r="T150">
        <f t="shared" si="24"/>
        <v>72.5</v>
      </c>
      <c r="U150" s="5">
        <f t="shared" si="25"/>
        <v>4.039999999999992</v>
      </c>
      <c r="V150" s="24">
        <f t="shared" si="20"/>
        <v>11.289999999999992</v>
      </c>
    </row>
    <row r="151" spans="1:22" x14ac:dyDescent="0.3">
      <c r="A151" s="3">
        <v>2</v>
      </c>
      <c r="B151" t="s">
        <v>447</v>
      </c>
      <c r="C151">
        <v>1</v>
      </c>
      <c r="D151" t="s">
        <v>374</v>
      </c>
      <c r="E151" s="5">
        <v>20</v>
      </c>
      <c r="F151" t="s">
        <v>624</v>
      </c>
      <c r="G151" s="20">
        <v>0.12</v>
      </c>
      <c r="H151" s="18">
        <f t="shared" si="23"/>
        <v>2.4</v>
      </c>
      <c r="I151" s="20">
        <v>0.1</v>
      </c>
      <c r="J151" s="19">
        <f t="shared" si="27"/>
        <v>4.4000000000000004</v>
      </c>
      <c r="K151" s="5">
        <f>H151/2</f>
        <v>1.2</v>
      </c>
      <c r="R151" t="s">
        <v>658</v>
      </c>
      <c r="S151">
        <v>625</v>
      </c>
      <c r="T151">
        <f t="shared" si="24"/>
        <v>6.25</v>
      </c>
      <c r="U151" s="5">
        <f t="shared" si="25"/>
        <v>3.85</v>
      </c>
      <c r="V151" s="24">
        <f t="shared" si="20"/>
        <v>4.4749999999999996</v>
      </c>
    </row>
    <row r="152" spans="1:22" x14ac:dyDescent="0.3">
      <c r="A152" s="3">
        <v>50</v>
      </c>
      <c r="B152" t="s">
        <v>597</v>
      </c>
      <c r="C152">
        <v>87</v>
      </c>
      <c r="D152" t="s">
        <v>268</v>
      </c>
      <c r="E152" s="5">
        <v>75</v>
      </c>
      <c r="F152" t="s">
        <v>623</v>
      </c>
      <c r="G152" s="20">
        <v>7.0000000000000007E-2</v>
      </c>
      <c r="H152" s="18">
        <f t="shared" si="23"/>
        <v>5.2500000000000009</v>
      </c>
      <c r="I152" s="20">
        <v>0.01</v>
      </c>
      <c r="J152" s="19">
        <f>H152+I152*E152</f>
        <v>6.0000000000000009</v>
      </c>
      <c r="K152" s="5">
        <f>H152/2</f>
        <v>2.6250000000000004</v>
      </c>
      <c r="N152" t="s">
        <v>645</v>
      </c>
      <c r="O152">
        <v>10</v>
      </c>
      <c r="R152" t="s">
        <v>667</v>
      </c>
      <c r="S152">
        <v>900</v>
      </c>
      <c r="T152">
        <f t="shared" si="24"/>
        <v>9</v>
      </c>
      <c r="U152" s="5">
        <f t="shared" si="25"/>
        <v>3.7499999999999991</v>
      </c>
      <c r="V152" s="24">
        <f t="shared" si="20"/>
        <v>4.6499999999999995</v>
      </c>
    </row>
    <row r="153" spans="1:22" x14ac:dyDescent="0.3">
      <c r="A153" s="3">
        <v>41</v>
      </c>
      <c r="B153" t="s">
        <v>582</v>
      </c>
      <c r="C153">
        <v>74</v>
      </c>
      <c r="D153" t="s">
        <v>374</v>
      </c>
      <c r="E153" s="5">
        <v>20</v>
      </c>
      <c r="F153" t="s">
        <v>625</v>
      </c>
      <c r="G153" s="20">
        <v>0.12</v>
      </c>
      <c r="H153" s="18">
        <f t="shared" si="23"/>
        <v>2.4</v>
      </c>
      <c r="I153" s="20">
        <v>0.1</v>
      </c>
      <c r="J153" s="19">
        <f t="shared" ref="J153:J166" si="28">H153+E153*I153</f>
        <v>4.4000000000000004</v>
      </c>
      <c r="K153" s="5">
        <f>H153/2</f>
        <v>1.2</v>
      </c>
      <c r="R153" t="s">
        <v>663</v>
      </c>
      <c r="S153">
        <v>600</v>
      </c>
      <c r="T153">
        <f t="shared" si="24"/>
        <v>6</v>
      </c>
      <c r="U153" s="5">
        <f t="shared" si="25"/>
        <v>3.6</v>
      </c>
      <c r="V153" s="24">
        <f t="shared" si="20"/>
        <v>4.2</v>
      </c>
    </row>
    <row r="154" spans="1:22" x14ac:dyDescent="0.3">
      <c r="A154" s="3" t="s">
        <v>505</v>
      </c>
      <c r="B154" t="s">
        <v>506</v>
      </c>
      <c r="C154">
        <v>132</v>
      </c>
      <c r="D154" t="s">
        <v>400</v>
      </c>
      <c r="E154" s="5">
        <v>110</v>
      </c>
      <c r="F154" t="s">
        <v>624</v>
      </c>
      <c r="G154" s="20">
        <v>0.2</v>
      </c>
      <c r="H154" s="18">
        <f t="shared" si="23"/>
        <v>22</v>
      </c>
      <c r="I154" s="20">
        <v>0.1</v>
      </c>
      <c r="J154" s="19">
        <f t="shared" si="28"/>
        <v>33</v>
      </c>
      <c r="K154" s="5">
        <f>H154/2</f>
        <v>11</v>
      </c>
      <c r="R154" t="s">
        <v>642</v>
      </c>
      <c r="S154">
        <v>2500</v>
      </c>
      <c r="T154">
        <f t="shared" si="24"/>
        <v>25</v>
      </c>
      <c r="U154" s="5">
        <f t="shared" si="25"/>
        <v>3</v>
      </c>
      <c r="V154" s="24">
        <f t="shared" si="20"/>
        <v>5.5</v>
      </c>
    </row>
    <row r="155" spans="1:22" x14ac:dyDescent="0.3">
      <c r="A155" s="3" t="s">
        <v>485</v>
      </c>
      <c r="B155" t="s">
        <v>486</v>
      </c>
      <c r="C155">
        <v>155</v>
      </c>
      <c r="D155" t="s">
        <v>283</v>
      </c>
      <c r="E155" s="5">
        <v>175</v>
      </c>
      <c r="F155" t="s">
        <v>629</v>
      </c>
      <c r="G155" s="20">
        <v>0.12</v>
      </c>
      <c r="H155" s="18">
        <f t="shared" si="23"/>
        <v>21</v>
      </c>
      <c r="I155" s="20">
        <v>0.1</v>
      </c>
      <c r="J155" s="19">
        <f t="shared" si="28"/>
        <v>38.5</v>
      </c>
      <c r="K155" s="5">
        <f>H155</f>
        <v>21</v>
      </c>
      <c r="R155" t="s">
        <v>678</v>
      </c>
      <c r="S155">
        <v>2400</v>
      </c>
      <c r="T155">
        <f t="shared" si="24"/>
        <v>24</v>
      </c>
      <c r="U155" s="5">
        <f t="shared" si="25"/>
        <v>3</v>
      </c>
      <c r="V155" s="24">
        <f t="shared" si="20"/>
        <v>5.4</v>
      </c>
    </row>
    <row r="156" spans="1:22" x14ac:dyDescent="0.3">
      <c r="A156" s="3">
        <v>59</v>
      </c>
      <c r="B156" t="s">
        <v>455</v>
      </c>
      <c r="C156">
        <v>100</v>
      </c>
      <c r="D156" t="s">
        <v>374</v>
      </c>
      <c r="E156" s="5">
        <v>66</v>
      </c>
      <c r="F156" t="s">
        <v>623</v>
      </c>
      <c r="G156" s="20">
        <v>0.12</v>
      </c>
      <c r="H156" s="18">
        <f t="shared" si="23"/>
        <v>7.92</v>
      </c>
      <c r="I156" s="20">
        <v>0.1</v>
      </c>
      <c r="J156" s="19">
        <f t="shared" si="28"/>
        <v>14.52</v>
      </c>
      <c r="K156" s="5">
        <f>H156/2</f>
        <v>3.96</v>
      </c>
      <c r="R156" t="s">
        <v>658</v>
      </c>
      <c r="S156">
        <v>1050</v>
      </c>
      <c r="T156">
        <f t="shared" si="24"/>
        <v>10.5</v>
      </c>
      <c r="U156" s="5">
        <f t="shared" si="25"/>
        <v>2.58</v>
      </c>
      <c r="V156" s="24">
        <f t="shared" si="20"/>
        <v>3.63</v>
      </c>
    </row>
    <row r="157" spans="1:22" x14ac:dyDescent="0.3">
      <c r="A157" s="3" t="s">
        <v>360</v>
      </c>
      <c r="B157" t="s">
        <v>361</v>
      </c>
      <c r="C157">
        <v>147</v>
      </c>
      <c r="D157" t="s">
        <v>283</v>
      </c>
      <c r="E157" s="8">
        <v>1148</v>
      </c>
      <c r="F157" t="s">
        <v>627</v>
      </c>
      <c r="G157" s="20">
        <v>0.12</v>
      </c>
      <c r="H157" s="18">
        <f t="shared" si="23"/>
        <v>137.76</v>
      </c>
      <c r="I157" s="20">
        <v>0.05</v>
      </c>
      <c r="J157" s="19">
        <f t="shared" si="28"/>
        <v>195.16</v>
      </c>
      <c r="K157" s="1">
        <f>H157</f>
        <v>137.76</v>
      </c>
      <c r="L157" s="5">
        <v>90</v>
      </c>
      <c r="R157" t="s">
        <v>693</v>
      </c>
      <c r="S157">
        <v>14000</v>
      </c>
      <c r="T157">
        <f t="shared" si="24"/>
        <v>140</v>
      </c>
      <c r="U157" s="5">
        <f t="shared" si="25"/>
        <v>2.2400000000000091</v>
      </c>
      <c r="V157" s="24">
        <f t="shared" si="20"/>
        <v>16.240000000000009</v>
      </c>
    </row>
    <row r="158" spans="1:22" x14ac:dyDescent="0.3">
      <c r="A158" s="3">
        <v>23</v>
      </c>
      <c r="B158" t="s">
        <v>569</v>
      </c>
      <c r="C158">
        <v>41</v>
      </c>
      <c r="D158" t="s">
        <v>374</v>
      </c>
      <c r="E158" s="5">
        <v>40</v>
      </c>
      <c r="F158" t="s">
        <v>623</v>
      </c>
      <c r="G158" s="20">
        <v>0.12</v>
      </c>
      <c r="H158" s="18">
        <f t="shared" si="23"/>
        <v>4.8</v>
      </c>
      <c r="I158" s="20">
        <v>0.1</v>
      </c>
      <c r="J158" s="19">
        <f t="shared" si="28"/>
        <v>8.8000000000000007</v>
      </c>
      <c r="K158" s="5">
        <f>H158/2</f>
        <v>2.4</v>
      </c>
      <c r="R158" t="s">
        <v>681</v>
      </c>
      <c r="S158">
        <v>675</v>
      </c>
      <c r="T158">
        <f t="shared" si="24"/>
        <v>6.75</v>
      </c>
      <c r="U158" s="5">
        <f t="shared" si="25"/>
        <v>1.9500000000000002</v>
      </c>
      <c r="V158" s="24">
        <f t="shared" si="20"/>
        <v>2.625</v>
      </c>
    </row>
    <row r="159" spans="1:22" x14ac:dyDescent="0.3">
      <c r="A159" s="3">
        <v>37</v>
      </c>
      <c r="B159" t="s">
        <v>578</v>
      </c>
      <c r="C159">
        <v>68</v>
      </c>
      <c r="D159" t="s">
        <v>374</v>
      </c>
      <c r="E159" s="5">
        <v>70</v>
      </c>
      <c r="F159" t="s">
        <v>624</v>
      </c>
      <c r="G159" s="20">
        <v>0.12</v>
      </c>
      <c r="H159" s="18">
        <f t="shared" si="23"/>
        <v>8.4</v>
      </c>
      <c r="I159" s="20">
        <v>0.1</v>
      </c>
      <c r="J159" s="19">
        <f t="shared" si="28"/>
        <v>15.4</v>
      </c>
      <c r="K159" s="5">
        <f>H159/2</f>
        <v>4.2</v>
      </c>
      <c r="R159" t="s">
        <v>675</v>
      </c>
      <c r="S159">
        <v>1000</v>
      </c>
      <c r="T159">
        <f t="shared" si="24"/>
        <v>10</v>
      </c>
      <c r="U159" s="5">
        <f t="shared" si="25"/>
        <v>1.5999999999999996</v>
      </c>
      <c r="V159" s="24">
        <f t="shared" si="20"/>
        <v>2.5999999999999996</v>
      </c>
    </row>
    <row r="160" spans="1:22" x14ac:dyDescent="0.3">
      <c r="A160" s="3">
        <v>56</v>
      </c>
      <c r="B160" t="s">
        <v>614</v>
      </c>
      <c r="C160">
        <v>94</v>
      </c>
      <c r="D160" t="s">
        <v>268</v>
      </c>
      <c r="E160" s="5">
        <v>53</v>
      </c>
      <c r="F160" t="s">
        <v>624</v>
      </c>
      <c r="G160" s="20">
        <v>7.0000000000000007E-2</v>
      </c>
      <c r="H160" s="18">
        <f t="shared" si="23"/>
        <v>3.7100000000000004</v>
      </c>
      <c r="I160" s="20">
        <v>0.1</v>
      </c>
      <c r="J160" s="19">
        <f t="shared" si="28"/>
        <v>9.0100000000000016</v>
      </c>
      <c r="K160" s="5">
        <f>H160/2</f>
        <v>1.8550000000000002</v>
      </c>
      <c r="R160" t="s">
        <v>696</v>
      </c>
      <c r="S160">
        <v>525</v>
      </c>
      <c r="T160">
        <f t="shared" si="24"/>
        <v>5.25</v>
      </c>
      <c r="U160" s="5">
        <f t="shared" si="25"/>
        <v>1.5399999999999996</v>
      </c>
      <c r="V160" s="24">
        <f t="shared" si="20"/>
        <v>2.0649999999999995</v>
      </c>
    </row>
    <row r="161" spans="1:22" x14ac:dyDescent="0.3">
      <c r="A161" s="3">
        <v>34</v>
      </c>
      <c r="B161" t="s">
        <v>576</v>
      </c>
      <c r="C161">
        <v>62</v>
      </c>
      <c r="D161" t="s">
        <v>374</v>
      </c>
      <c r="E161" s="5">
        <v>50</v>
      </c>
      <c r="F161" t="s">
        <v>624</v>
      </c>
      <c r="G161" s="20">
        <v>0.12</v>
      </c>
      <c r="H161" s="18">
        <f t="shared" si="23"/>
        <v>6</v>
      </c>
      <c r="I161" s="20">
        <v>0.1</v>
      </c>
      <c r="J161" s="19">
        <f t="shared" si="28"/>
        <v>11</v>
      </c>
      <c r="K161" s="5">
        <f>H161/2</f>
        <v>3</v>
      </c>
      <c r="R161" t="s">
        <v>658</v>
      </c>
      <c r="S161">
        <v>750</v>
      </c>
      <c r="T161">
        <f t="shared" si="24"/>
        <v>7.5</v>
      </c>
      <c r="U161" s="5">
        <f t="shared" si="25"/>
        <v>1.5</v>
      </c>
      <c r="V161" s="24">
        <f t="shared" si="20"/>
        <v>2.25</v>
      </c>
    </row>
    <row r="162" spans="1:22" x14ac:dyDescent="0.3">
      <c r="A162" s="3" t="s">
        <v>324</v>
      </c>
      <c r="B162" t="s">
        <v>325</v>
      </c>
      <c r="C162">
        <v>103</v>
      </c>
      <c r="D162" t="s">
        <v>283</v>
      </c>
      <c r="E162" s="8">
        <v>398</v>
      </c>
      <c r="F162" t="s">
        <v>627</v>
      </c>
      <c r="G162" s="20">
        <v>0.08</v>
      </c>
      <c r="H162" s="18">
        <f t="shared" si="23"/>
        <v>31.84</v>
      </c>
      <c r="I162" s="20">
        <v>0.05</v>
      </c>
      <c r="J162" s="19">
        <f t="shared" si="28"/>
        <v>51.74</v>
      </c>
      <c r="K162" s="13">
        <f>H162</f>
        <v>31.84</v>
      </c>
      <c r="R162" t="s">
        <v>699</v>
      </c>
      <c r="S162">
        <v>3300</v>
      </c>
      <c r="T162">
        <f t="shared" si="24"/>
        <v>33</v>
      </c>
      <c r="U162" s="5">
        <f t="shared" si="25"/>
        <v>1.1600000000000001</v>
      </c>
      <c r="V162" s="24">
        <f t="shared" ref="V162:V203" si="29">T162*10%+U162</f>
        <v>4.4600000000000009</v>
      </c>
    </row>
    <row r="163" spans="1:22" x14ac:dyDescent="0.3">
      <c r="A163" s="3" t="s">
        <v>354</v>
      </c>
      <c r="B163" t="s">
        <v>355</v>
      </c>
      <c r="C163">
        <v>140</v>
      </c>
      <c r="D163" t="s">
        <v>283</v>
      </c>
      <c r="E163" s="8">
        <v>268</v>
      </c>
      <c r="F163" t="s">
        <v>627</v>
      </c>
      <c r="G163" s="20">
        <v>0.08</v>
      </c>
      <c r="H163" s="18">
        <f t="shared" si="23"/>
        <v>21.44</v>
      </c>
      <c r="I163" s="20">
        <v>0.05</v>
      </c>
      <c r="J163" s="19">
        <f t="shared" si="28"/>
        <v>34.840000000000003</v>
      </c>
      <c r="K163" s="13">
        <f>H163</f>
        <v>21.44</v>
      </c>
      <c r="R163" t="s">
        <v>697</v>
      </c>
      <c r="S163">
        <v>2200</v>
      </c>
      <c r="T163">
        <f t="shared" si="24"/>
        <v>22</v>
      </c>
      <c r="U163" s="5">
        <f t="shared" si="25"/>
        <v>0.55999999999999872</v>
      </c>
      <c r="V163" s="24">
        <f t="shared" si="29"/>
        <v>2.7599999999999989</v>
      </c>
    </row>
    <row r="164" spans="1:22" x14ac:dyDescent="0.3">
      <c r="A164" s="3">
        <v>27</v>
      </c>
      <c r="B164" t="s">
        <v>572</v>
      </c>
      <c r="C164">
        <v>49</v>
      </c>
      <c r="D164" t="s">
        <v>374</v>
      </c>
      <c r="E164" s="5">
        <v>50</v>
      </c>
      <c r="F164" t="s">
        <v>624</v>
      </c>
      <c r="G164" s="20">
        <v>0.12</v>
      </c>
      <c r="H164" s="18">
        <f t="shared" si="23"/>
        <v>6</v>
      </c>
      <c r="I164" s="20">
        <v>0.1</v>
      </c>
      <c r="J164" s="19">
        <f t="shared" si="28"/>
        <v>11</v>
      </c>
      <c r="K164" s="5">
        <f t="shared" ref="K164:K169" si="30">H164/2</f>
        <v>3</v>
      </c>
      <c r="R164" t="s">
        <v>661</v>
      </c>
      <c r="S164">
        <v>650</v>
      </c>
      <c r="T164">
        <f t="shared" si="24"/>
        <v>6.5</v>
      </c>
      <c r="U164" s="5">
        <f t="shared" si="25"/>
        <v>0.5</v>
      </c>
      <c r="V164" s="24">
        <f t="shared" si="29"/>
        <v>1.1499999999999999</v>
      </c>
    </row>
    <row r="165" spans="1:22" x14ac:dyDescent="0.3">
      <c r="A165" s="3">
        <v>38</v>
      </c>
      <c r="B165" t="s">
        <v>579</v>
      </c>
      <c r="C165">
        <v>70</v>
      </c>
      <c r="D165" t="s">
        <v>374</v>
      </c>
      <c r="E165" s="5">
        <v>80</v>
      </c>
      <c r="F165" t="s">
        <v>624</v>
      </c>
      <c r="G165" s="20">
        <v>0.12</v>
      </c>
      <c r="H165" s="18">
        <f t="shared" si="23"/>
        <v>9.6</v>
      </c>
      <c r="I165" s="20">
        <v>0.1</v>
      </c>
      <c r="J165" s="19">
        <f t="shared" si="28"/>
        <v>17.600000000000001</v>
      </c>
      <c r="K165" s="5">
        <f t="shared" si="30"/>
        <v>4.8</v>
      </c>
      <c r="R165" t="s">
        <v>693</v>
      </c>
      <c r="S165">
        <v>950</v>
      </c>
      <c r="T165">
        <f t="shared" si="24"/>
        <v>9.5</v>
      </c>
      <c r="U165" s="5">
        <f t="shared" si="25"/>
        <v>-9.9999999999999645E-2</v>
      </c>
      <c r="V165" s="24">
        <f t="shared" si="29"/>
        <v>0.85000000000000042</v>
      </c>
    </row>
    <row r="166" spans="1:22" x14ac:dyDescent="0.3">
      <c r="A166" s="10">
        <v>25</v>
      </c>
      <c r="B166" t="s">
        <v>455</v>
      </c>
      <c r="C166">
        <v>45</v>
      </c>
      <c r="D166" t="s">
        <v>374</v>
      </c>
      <c r="E166" s="5">
        <v>66</v>
      </c>
      <c r="F166" t="s">
        <v>624</v>
      </c>
      <c r="G166" s="20">
        <v>0.12</v>
      </c>
      <c r="H166" s="18">
        <f t="shared" si="23"/>
        <v>7.92</v>
      </c>
      <c r="I166" s="20">
        <v>0.1</v>
      </c>
      <c r="J166" s="19">
        <f t="shared" si="28"/>
        <v>14.52</v>
      </c>
      <c r="K166" s="5">
        <f t="shared" si="30"/>
        <v>3.96</v>
      </c>
      <c r="R166" t="s">
        <v>658</v>
      </c>
      <c r="S166">
        <v>750</v>
      </c>
      <c r="T166">
        <f t="shared" si="24"/>
        <v>7.5</v>
      </c>
      <c r="U166" s="5">
        <f t="shared" si="25"/>
        <v>-0.41999999999999993</v>
      </c>
      <c r="V166" s="24">
        <f t="shared" si="29"/>
        <v>0.33000000000000007</v>
      </c>
    </row>
    <row r="167" spans="1:22" x14ac:dyDescent="0.3">
      <c r="A167" s="3">
        <v>54</v>
      </c>
      <c r="B167" t="s">
        <v>604</v>
      </c>
      <c r="C167">
        <v>92</v>
      </c>
      <c r="D167" t="s">
        <v>374</v>
      </c>
      <c r="E167" s="5">
        <v>50</v>
      </c>
      <c r="F167" t="s">
        <v>624</v>
      </c>
      <c r="G167" s="20">
        <v>0.12</v>
      </c>
      <c r="H167" s="18">
        <f t="shared" si="23"/>
        <v>6</v>
      </c>
      <c r="I167" s="20">
        <v>0.1</v>
      </c>
      <c r="J167" s="19">
        <f>H167+I167*E167</f>
        <v>11</v>
      </c>
      <c r="K167" s="5">
        <f t="shared" si="30"/>
        <v>3</v>
      </c>
      <c r="N167" t="s">
        <v>642</v>
      </c>
      <c r="O167">
        <v>15</v>
      </c>
      <c r="R167" t="s">
        <v>693</v>
      </c>
      <c r="S167">
        <v>500</v>
      </c>
      <c r="T167">
        <f t="shared" si="24"/>
        <v>5</v>
      </c>
      <c r="U167" s="5">
        <f t="shared" si="25"/>
        <v>-1</v>
      </c>
      <c r="V167" s="24">
        <f t="shared" si="29"/>
        <v>-0.5</v>
      </c>
    </row>
    <row r="168" spans="1:22" x14ac:dyDescent="0.3">
      <c r="A168" s="3">
        <v>22</v>
      </c>
      <c r="B168" t="s">
        <v>568</v>
      </c>
      <c r="C168">
        <v>39</v>
      </c>
      <c r="D168" t="s">
        <v>374</v>
      </c>
      <c r="E168" s="5">
        <v>63</v>
      </c>
      <c r="F168" t="s">
        <v>624</v>
      </c>
      <c r="G168" s="20">
        <v>0.12</v>
      </c>
      <c r="H168" s="18">
        <f t="shared" si="23"/>
        <v>7.56</v>
      </c>
      <c r="I168" s="20">
        <v>0.1</v>
      </c>
      <c r="J168" s="19">
        <f>H168+E168*I168</f>
        <v>13.86</v>
      </c>
      <c r="K168" s="5">
        <f t="shared" si="30"/>
        <v>3.78</v>
      </c>
      <c r="R168" t="s">
        <v>658</v>
      </c>
      <c r="S168">
        <v>600</v>
      </c>
      <c r="T168">
        <f t="shared" si="24"/>
        <v>6</v>
      </c>
      <c r="U168" s="5">
        <f t="shared" si="25"/>
        <v>-1.5599999999999996</v>
      </c>
      <c r="V168" s="24">
        <f t="shared" si="29"/>
        <v>-0.95999999999999952</v>
      </c>
    </row>
    <row r="169" spans="1:22" x14ac:dyDescent="0.3">
      <c r="A169" s="3">
        <v>55</v>
      </c>
      <c r="B169" t="s">
        <v>605</v>
      </c>
      <c r="C169">
        <v>93</v>
      </c>
      <c r="D169" t="s">
        <v>400</v>
      </c>
      <c r="E169" s="5">
        <v>34</v>
      </c>
      <c r="F169" t="s">
        <v>624</v>
      </c>
      <c r="G169" s="20">
        <v>0.2</v>
      </c>
      <c r="H169" s="18">
        <f t="shared" si="23"/>
        <v>6.8000000000000007</v>
      </c>
      <c r="I169" s="20">
        <v>0.01</v>
      </c>
      <c r="J169" s="19">
        <f>H169+I169*E169</f>
        <v>7.1400000000000006</v>
      </c>
      <c r="K169" s="5">
        <f t="shared" si="30"/>
        <v>3.4000000000000004</v>
      </c>
      <c r="N169" t="s">
        <v>645</v>
      </c>
      <c r="O169">
        <v>5</v>
      </c>
      <c r="R169" t="s">
        <v>693</v>
      </c>
      <c r="S169">
        <v>500</v>
      </c>
      <c r="T169">
        <f t="shared" si="24"/>
        <v>5</v>
      </c>
      <c r="U169" s="5">
        <f t="shared" si="25"/>
        <v>-1.8000000000000007</v>
      </c>
      <c r="V169" s="24">
        <f t="shared" si="29"/>
        <v>-1.3000000000000007</v>
      </c>
    </row>
    <row r="170" spans="1:22" x14ac:dyDescent="0.3">
      <c r="A170" s="3" t="s">
        <v>356</v>
      </c>
      <c r="B170" t="s">
        <v>357</v>
      </c>
      <c r="C170">
        <v>143</v>
      </c>
      <c r="D170" t="s">
        <v>283</v>
      </c>
      <c r="E170" s="8">
        <v>249</v>
      </c>
      <c r="F170" t="s">
        <v>631</v>
      </c>
      <c r="G170" s="20">
        <v>0.08</v>
      </c>
      <c r="H170" s="18">
        <f t="shared" si="23"/>
        <v>19.920000000000002</v>
      </c>
      <c r="I170" s="20">
        <v>0.05</v>
      </c>
      <c r="J170" s="19">
        <f>H170+E170*I170</f>
        <v>32.370000000000005</v>
      </c>
      <c r="K170" s="5">
        <f>H170</f>
        <v>19.920000000000002</v>
      </c>
      <c r="R170" t="s">
        <v>697</v>
      </c>
      <c r="S170">
        <v>1750</v>
      </c>
      <c r="T170">
        <f t="shared" si="24"/>
        <v>17.5</v>
      </c>
      <c r="U170" s="5">
        <f t="shared" si="25"/>
        <v>-2.4200000000000017</v>
      </c>
      <c r="V170" s="24">
        <f t="shared" si="29"/>
        <v>-0.67000000000000171</v>
      </c>
    </row>
    <row r="171" spans="1:22" x14ac:dyDescent="0.3">
      <c r="A171" s="3">
        <v>44</v>
      </c>
      <c r="B171" t="s">
        <v>587</v>
      </c>
      <c r="C171">
        <v>79</v>
      </c>
      <c r="D171" t="s">
        <v>268</v>
      </c>
      <c r="E171" s="5">
        <v>107</v>
      </c>
      <c r="F171" t="s">
        <v>624</v>
      </c>
      <c r="G171" s="20">
        <v>7.0000000000000007E-2</v>
      </c>
      <c r="H171" s="18">
        <f t="shared" si="23"/>
        <v>7.4900000000000011</v>
      </c>
      <c r="I171" s="20">
        <v>0.1</v>
      </c>
      <c r="J171" s="19">
        <f>H171+E171*I171</f>
        <v>18.190000000000001</v>
      </c>
      <c r="K171" s="5">
        <f>H171/2</f>
        <v>3.7450000000000006</v>
      </c>
      <c r="R171" t="s">
        <v>669</v>
      </c>
      <c r="S171">
        <v>500</v>
      </c>
      <c r="T171">
        <f t="shared" si="24"/>
        <v>5</v>
      </c>
      <c r="U171" s="5">
        <f t="shared" si="25"/>
        <v>-2.4900000000000011</v>
      </c>
      <c r="V171" s="24">
        <f t="shared" si="29"/>
        <v>-1.9900000000000011</v>
      </c>
    </row>
    <row r="172" spans="1:22" x14ac:dyDescent="0.3">
      <c r="A172" s="3">
        <v>9</v>
      </c>
      <c r="B172" t="s">
        <v>460</v>
      </c>
      <c r="C172">
        <v>14</v>
      </c>
      <c r="D172" t="s">
        <v>374</v>
      </c>
      <c r="E172" s="5">
        <v>63</v>
      </c>
      <c r="F172" t="s">
        <v>624</v>
      </c>
      <c r="G172" s="20">
        <v>0.12</v>
      </c>
      <c r="H172" s="18">
        <f t="shared" si="23"/>
        <v>7.56</v>
      </c>
      <c r="I172" s="20">
        <v>0.01</v>
      </c>
      <c r="J172" s="19">
        <f>H172+I172*E172</f>
        <v>8.19</v>
      </c>
      <c r="K172" s="5">
        <f>H172/2</f>
        <v>3.78</v>
      </c>
      <c r="P172" t="s">
        <v>649</v>
      </c>
      <c r="R172" t="s">
        <v>664</v>
      </c>
      <c r="S172">
        <v>500</v>
      </c>
      <c r="T172">
        <f t="shared" si="24"/>
        <v>5</v>
      </c>
      <c r="U172" s="5">
        <f t="shared" si="25"/>
        <v>-2.5599999999999996</v>
      </c>
      <c r="V172" s="24">
        <f t="shared" si="29"/>
        <v>-2.0599999999999996</v>
      </c>
    </row>
    <row r="173" spans="1:22" x14ac:dyDescent="0.3">
      <c r="A173" s="3" t="s">
        <v>457</v>
      </c>
      <c r="B173" t="s">
        <v>458</v>
      </c>
      <c r="C173">
        <v>29</v>
      </c>
      <c r="D173" t="s">
        <v>374</v>
      </c>
      <c r="E173" s="5">
        <v>110</v>
      </c>
      <c r="F173" t="s">
        <v>624</v>
      </c>
      <c r="G173" s="20">
        <v>0.12</v>
      </c>
      <c r="H173" s="18">
        <f t="shared" si="23"/>
        <v>13.2</v>
      </c>
      <c r="I173" s="20">
        <v>0.1</v>
      </c>
      <c r="J173" s="19">
        <f>H173+E173*I173</f>
        <v>24.2</v>
      </c>
      <c r="K173" s="5">
        <f>H173/2</f>
        <v>6.6</v>
      </c>
      <c r="R173" t="s">
        <v>661</v>
      </c>
      <c r="S173">
        <v>1050</v>
      </c>
      <c r="T173">
        <f t="shared" si="24"/>
        <v>10.5</v>
      </c>
      <c r="U173" s="5">
        <f t="shared" si="25"/>
        <v>-2.6999999999999993</v>
      </c>
      <c r="V173" s="24">
        <f t="shared" si="29"/>
        <v>-1.6499999999999992</v>
      </c>
    </row>
    <row r="174" spans="1:22" x14ac:dyDescent="0.3">
      <c r="A174" s="3">
        <v>3</v>
      </c>
      <c r="B174" t="s">
        <v>448</v>
      </c>
      <c r="C174">
        <v>3</v>
      </c>
      <c r="D174" t="s">
        <v>374</v>
      </c>
      <c r="E174" s="5">
        <v>34</v>
      </c>
      <c r="F174" t="s">
        <v>624</v>
      </c>
      <c r="G174" s="20">
        <v>0.12</v>
      </c>
      <c r="H174" s="18">
        <f t="shared" si="23"/>
        <v>4.08</v>
      </c>
      <c r="I174" s="20">
        <v>0.1</v>
      </c>
      <c r="J174" s="19">
        <f>H174+E174*I174</f>
        <v>7.48</v>
      </c>
      <c r="K174" s="5">
        <f>H174/2</f>
        <v>2.04</v>
      </c>
      <c r="R174" t="s">
        <v>649</v>
      </c>
      <c r="S174">
        <v>0</v>
      </c>
      <c r="T174">
        <f t="shared" si="24"/>
        <v>0</v>
      </c>
      <c r="U174" s="5">
        <f t="shared" si="25"/>
        <v>-4.08</v>
      </c>
      <c r="V174" s="24">
        <f t="shared" si="29"/>
        <v>-4.08</v>
      </c>
    </row>
    <row r="175" spans="1:22" x14ac:dyDescent="0.3">
      <c r="A175" s="3" t="s">
        <v>449</v>
      </c>
      <c r="B175" t="s">
        <v>450</v>
      </c>
      <c r="C175">
        <v>9</v>
      </c>
      <c r="D175" t="s">
        <v>268</v>
      </c>
      <c r="E175" s="5">
        <v>137</v>
      </c>
      <c r="F175" t="s">
        <v>624</v>
      </c>
      <c r="G175" s="20">
        <v>7.0000000000000007E-2</v>
      </c>
      <c r="H175" s="18">
        <f t="shared" si="23"/>
        <v>9.5900000000000016</v>
      </c>
      <c r="I175" s="20">
        <v>0.1</v>
      </c>
      <c r="J175" s="19">
        <f>H175+E175*I175</f>
        <v>23.290000000000003</v>
      </c>
      <c r="K175" s="5">
        <f>H175</f>
        <v>9.5900000000000016</v>
      </c>
      <c r="R175" t="s">
        <v>658</v>
      </c>
      <c r="S175">
        <v>500</v>
      </c>
      <c r="T175">
        <f t="shared" si="24"/>
        <v>5</v>
      </c>
      <c r="U175" s="5">
        <f t="shared" si="25"/>
        <v>-4.5900000000000016</v>
      </c>
      <c r="V175" s="24">
        <f t="shared" si="29"/>
        <v>-4.0900000000000016</v>
      </c>
    </row>
    <row r="176" spans="1:22" x14ac:dyDescent="0.3">
      <c r="A176" s="3">
        <v>11</v>
      </c>
      <c r="B176" t="s">
        <v>509</v>
      </c>
      <c r="C176">
        <v>18</v>
      </c>
      <c r="D176" t="s">
        <v>374</v>
      </c>
      <c r="E176" s="5">
        <v>130</v>
      </c>
      <c r="F176" t="s">
        <v>624</v>
      </c>
      <c r="G176" s="20">
        <v>0.12</v>
      </c>
      <c r="H176" s="18">
        <f t="shared" si="23"/>
        <v>15.6</v>
      </c>
      <c r="I176" s="20">
        <v>0.01</v>
      </c>
      <c r="J176" s="19">
        <f>H176+I176*E176</f>
        <v>16.899999999999999</v>
      </c>
      <c r="K176" s="5">
        <f>H176</f>
        <v>15.6</v>
      </c>
      <c r="P176" t="s">
        <v>650</v>
      </c>
      <c r="Q176" s="5">
        <v>40</v>
      </c>
      <c r="R176" t="s">
        <v>674</v>
      </c>
      <c r="S176">
        <v>1050</v>
      </c>
      <c r="T176">
        <f t="shared" si="24"/>
        <v>10.5</v>
      </c>
      <c r="U176" s="5">
        <f t="shared" si="25"/>
        <v>-5.0999999999999996</v>
      </c>
      <c r="V176" s="24">
        <f t="shared" si="29"/>
        <v>-4.05</v>
      </c>
    </row>
    <row r="177" spans="1:22" x14ac:dyDescent="0.3">
      <c r="A177" s="3">
        <v>15</v>
      </c>
      <c r="B177" t="s">
        <v>317</v>
      </c>
      <c r="C177">
        <v>26</v>
      </c>
      <c r="D177" t="s">
        <v>374</v>
      </c>
      <c r="E177" s="5">
        <v>110</v>
      </c>
      <c r="F177" t="s">
        <v>624</v>
      </c>
      <c r="G177" s="20">
        <v>0.12</v>
      </c>
      <c r="H177" s="18">
        <f t="shared" si="23"/>
        <v>13.2</v>
      </c>
      <c r="I177" s="20">
        <v>0.01</v>
      </c>
      <c r="J177" s="19">
        <f>H177+I177*E177</f>
        <v>14.299999999999999</v>
      </c>
      <c r="K177" s="5">
        <f>H177/2</f>
        <v>6.6</v>
      </c>
      <c r="P177" t="s">
        <v>644</v>
      </c>
      <c r="Q177" s="5">
        <v>5.75</v>
      </c>
      <c r="R177" t="s">
        <v>667</v>
      </c>
      <c r="S177">
        <v>800</v>
      </c>
      <c r="T177">
        <f t="shared" si="24"/>
        <v>8</v>
      </c>
      <c r="U177" s="5">
        <f t="shared" si="25"/>
        <v>-5.1999999999999993</v>
      </c>
      <c r="V177" s="24">
        <f t="shared" si="29"/>
        <v>-4.3999999999999995</v>
      </c>
    </row>
    <row r="178" spans="1:22" x14ac:dyDescent="0.3">
      <c r="A178" s="3">
        <v>7</v>
      </c>
      <c r="B178" t="s">
        <v>456</v>
      </c>
      <c r="C178">
        <v>10</v>
      </c>
      <c r="D178" t="s">
        <v>374</v>
      </c>
      <c r="E178" s="5">
        <v>88</v>
      </c>
      <c r="F178" t="s">
        <v>624</v>
      </c>
      <c r="G178" s="20">
        <v>0.12</v>
      </c>
      <c r="H178" s="18">
        <f t="shared" si="23"/>
        <v>10.559999999999999</v>
      </c>
      <c r="I178" s="20">
        <v>0.1</v>
      </c>
      <c r="J178" s="19">
        <f>H178+E178*I178</f>
        <v>19.36</v>
      </c>
      <c r="K178" s="5">
        <f>H178/2</f>
        <v>5.2799999999999994</v>
      </c>
      <c r="R178" t="s">
        <v>658</v>
      </c>
      <c r="S178">
        <v>525</v>
      </c>
      <c r="T178">
        <f t="shared" si="24"/>
        <v>5.25</v>
      </c>
      <c r="U178" s="5">
        <f t="shared" si="25"/>
        <v>-5.3099999999999987</v>
      </c>
      <c r="V178" s="24">
        <f t="shared" si="29"/>
        <v>-4.7849999999999984</v>
      </c>
    </row>
    <row r="179" spans="1:22" x14ac:dyDescent="0.3">
      <c r="A179" s="3" t="s">
        <v>545</v>
      </c>
      <c r="B179" t="s">
        <v>546</v>
      </c>
      <c r="C179">
        <v>177</v>
      </c>
      <c r="D179" t="s">
        <v>268</v>
      </c>
      <c r="E179" s="8">
        <v>1650</v>
      </c>
      <c r="F179" t="s">
        <v>625</v>
      </c>
      <c r="G179" s="20">
        <v>7.0000000000000007E-2</v>
      </c>
      <c r="H179" s="18">
        <f t="shared" si="23"/>
        <v>115.50000000000001</v>
      </c>
      <c r="I179" s="20">
        <v>0.1</v>
      </c>
      <c r="J179" s="19">
        <f>H179+E179*I179</f>
        <v>280.5</v>
      </c>
      <c r="K179" s="14">
        <f>H179</f>
        <v>115.50000000000001</v>
      </c>
      <c r="L179" s="5">
        <v>80</v>
      </c>
      <c r="R179" t="s">
        <v>708</v>
      </c>
      <c r="S179">
        <v>11000</v>
      </c>
      <c r="T179">
        <f t="shared" si="24"/>
        <v>110</v>
      </c>
      <c r="U179" s="5">
        <f t="shared" si="25"/>
        <v>-5.5000000000000142</v>
      </c>
      <c r="V179" s="24">
        <f t="shared" si="29"/>
        <v>5.4999999999999858</v>
      </c>
    </row>
    <row r="180" spans="1:22" x14ac:dyDescent="0.3">
      <c r="A180" s="3" t="s">
        <v>342</v>
      </c>
      <c r="B180" t="s">
        <v>343</v>
      </c>
      <c r="C180">
        <v>129</v>
      </c>
      <c r="D180" t="s">
        <v>283</v>
      </c>
      <c r="E180" s="5">
        <v>156</v>
      </c>
      <c r="F180" t="s">
        <v>631</v>
      </c>
      <c r="G180" s="20">
        <v>0.08</v>
      </c>
      <c r="H180" s="18">
        <f t="shared" si="23"/>
        <v>12.48</v>
      </c>
      <c r="I180" s="20">
        <v>0.05</v>
      </c>
      <c r="J180" s="19">
        <f>H180+E180*I180</f>
        <v>20.28</v>
      </c>
      <c r="K180" s="5">
        <f>H180</f>
        <v>12.48</v>
      </c>
      <c r="R180" t="s">
        <v>697</v>
      </c>
      <c r="S180">
        <v>575</v>
      </c>
      <c r="T180">
        <f t="shared" si="24"/>
        <v>5.75</v>
      </c>
      <c r="U180" s="5">
        <f t="shared" si="25"/>
        <v>-6.73</v>
      </c>
      <c r="V180" s="24">
        <f t="shared" si="29"/>
        <v>-6.1550000000000002</v>
      </c>
    </row>
    <row r="181" spans="1:22" x14ac:dyDescent="0.3">
      <c r="A181" s="3" t="s">
        <v>275</v>
      </c>
      <c r="B181" t="s">
        <v>276</v>
      </c>
      <c r="C181">
        <v>15</v>
      </c>
      <c r="D181" t="s">
        <v>374</v>
      </c>
      <c r="E181" s="8">
        <v>230</v>
      </c>
      <c r="F181" t="s">
        <v>625</v>
      </c>
      <c r="G181" s="20">
        <v>0.12</v>
      </c>
      <c r="H181" s="18">
        <f t="shared" si="23"/>
        <v>27.599999999999998</v>
      </c>
      <c r="I181" s="20">
        <v>0.01</v>
      </c>
      <c r="J181" s="19">
        <f>H181+I181*E181</f>
        <v>29.9</v>
      </c>
      <c r="K181" s="5">
        <f>H181</f>
        <v>27.599999999999998</v>
      </c>
      <c r="L181" s="5">
        <v>15</v>
      </c>
      <c r="P181" t="s">
        <v>644</v>
      </c>
      <c r="Q181" s="5">
        <v>43</v>
      </c>
      <c r="R181" t="s">
        <v>666</v>
      </c>
      <c r="S181">
        <v>2000</v>
      </c>
      <c r="T181">
        <f t="shared" si="24"/>
        <v>20</v>
      </c>
      <c r="U181" s="5">
        <f t="shared" si="25"/>
        <v>-7.5999999999999979</v>
      </c>
      <c r="V181" s="24">
        <f t="shared" si="29"/>
        <v>-5.5999999999999979</v>
      </c>
    </row>
    <row r="182" spans="1:22" x14ac:dyDescent="0.3">
      <c r="A182" s="3">
        <v>18</v>
      </c>
      <c r="B182" t="s">
        <v>559</v>
      </c>
      <c r="C182">
        <v>32</v>
      </c>
      <c r="D182" t="s">
        <v>374</v>
      </c>
      <c r="E182" s="5">
        <v>110</v>
      </c>
      <c r="F182" t="s">
        <v>623</v>
      </c>
      <c r="G182" s="20">
        <v>0.12</v>
      </c>
      <c r="H182" s="18">
        <f t="shared" si="23"/>
        <v>13.2</v>
      </c>
      <c r="I182" s="20">
        <v>0.1</v>
      </c>
      <c r="J182" s="19">
        <f>H182+E182*I182</f>
        <v>24.2</v>
      </c>
      <c r="K182" s="5">
        <f>H182/2</f>
        <v>6.6</v>
      </c>
      <c r="R182" t="s">
        <v>661</v>
      </c>
      <c r="S182">
        <v>550</v>
      </c>
      <c r="T182">
        <f t="shared" si="24"/>
        <v>5.5</v>
      </c>
      <c r="U182" s="5">
        <f t="shared" si="25"/>
        <v>-7.6999999999999993</v>
      </c>
      <c r="V182" s="24">
        <f t="shared" si="29"/>
        <v>-7.1499999999999995</v>
      </c>
    </row>
    <row r="183" spans="1:22" x14ac:dyDescent="0.3">
      <c r="A183" s="3">
        <v>20</v>
      </c>
      <c r="B183" t="s">
        <v>399</v>
      </c>
      <c r="C183">
        <v>35</v>
      </c>
      <c r="D183" t="s">
        <v>400</v>
      </c>
      <c r="E183" s="5">
        <v>40</v>
      </c>
      <c r="F183" t="s">
        <v>624</v>
      </c>
      <c r="G183" s="20">
        <v>0.2</v>
      </c>
      <c r="H183" s="18">
        <f t="shared" si="23"/>
        <v>8</v>
      </c>
      <c r="I183" s="20">
        <v>0.1</v>
      </c>
      <c r="J183" s="19">
        <f>H183+E183*I183</f>
        <v>12</v>
      </c>
      <c r="K183" s="5">
        <f>H183/2</f>
        <v>4</v>
      </c>
      <c r="R183" t="s">
        <v>649</v>
      </c>
      <c r="S183">
        <v>0</v>
      </c>
      <c r="T183">
        <f t="shared" si="24"/>
        <v>0</v>
      </c>
      <c r="U183" s="5">
        <f t="shared" si="25"/>
        <v>-8</v>
      </c>
      <c r="V183" s="24">
        <f t="shared" si="29"/>
        <v>-8</v>
      </c>
    </row>
    <row r="184" spans="1:22" x14ac:dyDescent="0.3">
      <c r="A184" s="9" t="s">
        <v>306</v>
      </c>
      <c r="B184" t="s">
        <v>307</v>
      </c>
      <c r="C184">
        <v>54</v>
      </c>
      <c r="D184" t="s">
        <v>268</v>
      </c>
      <c r="E184" s="8">
        <v>420</v>
      </c>
      <c r="F184" t="s">
        <v>627</v>
      </c>
      <c r="G184" s="20">
        <v>7.0000000000000007E-2</v>
      </c>
      <c r="H184" s="18">
        <f t="shared" si="23"/>
        <v>29.400000000000002</v>
      </c>
      <c r="I184" s="20">
        <v>0.01</v>
      </c>
      <c r="J184" s="19">
        <f>H184+I184*E184</f>
        <v>33.6</v>
      </c>
      <c r="K184" s="15">
        <f>H184/1.5</f>
        <v>19.600000000000001</v>
      </c>
      <c r="P184" t="s">
        <v>644</v>
      </c>
      <c r="Q184" s="5">
        <v>26</v>
      </c>
      <c r="R184" t="s">
        <v>676</v>
      </c>
      <c r="S184">
        <v>2100</v>
      </c>
      <c r="T184">
        <f t="shared" si="24"/>
        <v>21</v>
      </c>
      <c r="U184" s="5">
        <f t="shared" si="25"/>
        <v>-8.4000000000000021</v>
      </c>
      <c r="V184" s="24">
        <f t="shared" si="29"/>
        <v>-6.3000000000000025</v>
      </c>
    </row>
    <row r="185" spans="1:22" x14ac:dyDescent="0.3">
      <c r="A185" s="3" t="s">
        <v>493</v>
      </c>
      <c r="B185" t="s">
        <v>494</v>
      </c>
      <c r="C185">
        <v>121</v>
      </c>
      <c r="D185" t="s">
        <v>374</v>
      </c>
      <c r="E185" s="8">
        <v>210</v>
      </c>
      <c r="F185" t="s">
        <v>623</v>
      </c>
      <c r="G185" s="20">
        <v>0.12</v>
      </c>
      <c r="H185" s="18">
        <f t="shared" si="23"/>
        <v>25.2</v>
      </c>
      <c r="I185" s="20">
        <v>0.1</v>
      </c>
      <c r="J185" s="19">
        <f>H185+E185*I185</f>
        <v>46.2</v>
      </c>
      <c r="K185" s="5">
        <f>H185</f>
        <v>25.2</v>
      </c>
      <c r="R185" t="s">
        <v>660</v>
      </c>
      <c r="S185">
        <v>1575</v>
      </c>
      <c r="T185">
        <f t="shared" si="24"/>
        <v>15.75</v>
      </c>
      <c r="U185" s="5">
        <f t="shared" si="25"/>
        <v>-9.4499999999999993</v>
      </c>
      <c r="V185" s="24">
        <f t="shared" si="29"/>
        <v>-7.8749999999999991</v>
      </c>
    </row>
    <row r="186" spans="1:22" x14ac:dyDescent="0.3">
      <c r="A186" s="3">
        <v>58</v>
      </c>
      <c r="B186" t="s">
        <v>616</v>
      </c>
      <c r="C186">
        <v>98</v>
      </c>
      <c r="D186" t="s">
        <v>374</v>
      </c>
      <c r="E186" s="5">
        <v>185</v>
      </c>
      <c r="F186" t="s">
        <v>624</v>
      </c>
      <c r="G186" s="20">
        <v>0.12</v>
      </c>
      <c r="H186" s="18">
        <f t="shared" si="23"/>
        <v>22.2</v>
      </c>
      <c r="I186" s="20">
        <v>0.1</v>
      </c>
      <c r="J186" s="19">
        <f>H186+E186*I186</f>
        <v>40.700000000000003</v>
      </c>
      <c r="K186" s="5">
        <f>H186</f>
        <v>22.2</v>
      </c>
      <c r="R186" t="s">
        <v>661</v>
      </c>
      <c r="S186">
        <v>1200</v>
      </c>
      <c r="T186">
        <f t="shared" si="24"/>
        <v>12</v>
      </c>
      <c r="U186" s="5">
        <f t="shared" si="25"/>
        <v>-10.199999999999999</v>
      </c>
      <c r="V186" s="24">
        <f t="shared" si="29"/>
        <v>-9</v>
      </c>
    </row>
    <row r="187" spans="1:22" x14ac:dyDescent="0.3">
      <c r="A187" s="9" t="s">
        <v>479</v>
      </c>
      <c r="B187" t="s">
        <v>480</v>
      </c>
      <c r="C187">
        <v>95</v>
      </c>
      <c r="D187" t="s">
        <v>283</v>
      </c>
      <c r="E187" s="8">
        <v>249</v>
      </c>
      <c r="F187" t="s">
        <v>627</v>
      </c>
      <c r="G187" s="20">
        <v>0.08</v>
      </c>
      <c r="H187" s="18">
        <f t="shared" si="23"/>
        <v>19.920000000000002</v>
      </c>
      <c r="I187" s="20">
        <v>0.01</v>
      </c>
      <c r="J187" s="19">
        <f>H187+I187*E187</f>
        <v>22.410000000000004</v>
      </c>
      <c r="K187" s="15">
        <f>H187/1.5</f>
        <v>13.280000000000001</v>
      </c>
      <c r="P187" t="s">
        <v>644</v>
      </c>
      <c r="Q187" s="5">
        <v>30</v>
      </c>
      <c r="R187" t="s">
        <v>697</v>
      </c>
      <c r="S187">
        <v>925</v>
      </c>
      <c r="T187">
        <f t="shared" si="24"/>
        <v>9.25</v>
      </c>
      <c r="U187" s="5">
        <f t="shared" si="25"/>
        <v>-10.670000000000002</v>
      </c>
      <c r="V187" s="24">
        <f t="shared" si="29"/>
        <v>-9.745000000000001</v>
      </c>
    </row>
    <row r="188" spans="1:22" x14ac:dyDescent="0.3">
      <c r="A188" s="3">
        <v>40</v>
      </c>
      <c r="B188" t="s">
        <v>581</v>
      </c>
      <c r="C188">
        <v>73</v>
      </c>
      <c r="D188" t="s">
        <v>374</v>
      </c>
      <c r="E188" s="5">
        <v>186</v>
      </c>
      <c r="F188" t="s">
        <v>623</v>
      </c>
      <c r="G188" s="20">
        <v>0.12</v>
      </c>
      <c r="H188" s="18">
        <f t="shared" si="23"/>
        <v>22.32</v>
      </c>
      <c r="I188" s="20">
        <v>0.1</v>
      </c>
      <c r="J188" s="19">
        <f>H188+E188*I188</f>
        <v>40.92</v>
      </c>
      <c r="K188" s="5">
        <f>H188</f>
        <v>22.32</v>
      </c>
      <c r="R188" t="s">
        <v>661</v>
      </c>
      <c r="S188">
        <v>625</v>
      </c>
      <c r="T188">
        <f t="shared" si="24"/>
        <v>6.25</v>
      </c>
      <c r="U188" s="5">
        <f t="shared" si="25"/>
        <v>-16.07</v>
      </c>
      <c r="V188" s="24">
        <f t="shared" si="29"/>
        <v>-15.445</v>
      </c>
    </row>
    <row r="189" spans="1:22" x14ac:dyDescent="0.3">
      <c r="A189" s="3">
        <v>5</v>
      </c>
      <c r="B189" t="s">
        <v>454</v>
      </c>
      <c r="C189">
        <v>6</v>
      </c>
      <c r="D189" t="s">
        <v>374</v>
      </c>
      <c r="E189" s="5">
        <v>191</v>
      </c>
      <c r="F189" t="s">
        <v>625</v>
      </c>
      <c r="G189" s="20">
        <v>0.12</v>
      </c>
      <c r="H189" s="18">
        <f t="shared" si="23"/>
        <v>22.919999999999998</v>
      </c>
      <c r="I189" s="20">
        <v>0.1</v>
      </c>
      <c r="J189" s="19">
        <f>H189+E189*I189</f>
        <v>42.019999999999996</v>
      </c>
      <c r="K189" s="5">
        <f>H189</f>
        <v>22.919999999999998</v>
      </c>
      <c r="R189" t="s">
        <v>661</v>
      </c>
      <c r="S189">
        <v>600</v>
      </c>
      <c r="T189">
        <f t="shared" si="24"/>
        <v>6</v>
      </c>
      <c r="U189" s="5">
        <f t="shared" si="25"/>
        <v>-16.919999999999998</v>
      </c>
      <c r="V189" s="24">
        <f t="shared" si="29"/>
        <v>-16.319999999999997</v>
      </c>
    </row>
    <row r="190" spans="1:22" x14ac:dyDescent="0.3">
      <c r="A190" s="9" t="s">
        <v>507</v>
      </c>
      <c r="B190" t="s">
        <v>508</v>
      </c>
      <c r="C190">
        <v>134</v>
      </c>
      <c r="D190" t="s">
        <v>283</v>
      </c>
      <c r="E190" s="8">
        <v>515</v>
      </c>
      <c r="F190" t="s">
        <v>627</v>
      </c>
      <c r="G190" s="20">
        <v>0.12</v>
      </c>
      <c r="H190" s="18">
        <f t="shared" si="23"/>
        <v>61.8</v>
      </c>
      <c r="I190" s="20">
        <v>0.01</v>
      </c>
      <c r="J190" s="19">
        <f>H190+I190*E190</f>
        <v>66.95</v>
      </c>
      <c r="K190" s="15">
        <f t="shared" ref="K190:K196" si="31">H190/1.5</f>
        <v>41.199999999999996</v>
      </c>
      <c r="P190" t="s">
        <v>644</v>
      </c>
      <c r="Q190" s="5">
        <v>42</v>
      </c>
      <c r="R190" t="s">
        <v>703</v>
      </c>
      <c r="S190">
        <v>4200</v>
      </c>
      <c r="T190">
        <f t="shared" si="24"/>
        <v>42</v>
      </c>
      <c r="U190" s="5">
        <f t="shared" si="25"/>
        <v>-19.799999999999997</v>
      </c>
      <c r="V190" s="24">
        <f t="shared" si="29"/>
        <v>-15.599999999999998</v>
      </c>
    </row>
    <row r="191" spans="1:22" x14ac:dyDescent="0.3">
      <c r="A191" s="9" t="s">
        <v>503</v>
      </c>
      <c r="B191" t="s">
        <v>504</v>
      </c>
      <c r="C191">
        <v>130</v>
      </c>
      <c r="D191" t="s">
        <v>268</v>
      </c>
      <c r="E191" s="8">
        <v>999</v>
      </c>
      <c r="F191" t="s">
        <v>627</v>
      </c>
      <c r="G191" s="20">
        <v>7.0000000000000007E-2</v>
      </c>
      <c r="H191" s="18">
        <f t="shared" si="23"/>
        <v>69.930000000000007</v>
      </c>
      <c r="I191" s="20">
        <v>0.01</v>
      </c>
      <c r="J191" s="19">
        <f>H191+I191*E191</f>
        <v>79.92</v>
      </c>
      <c r="K191" s="15">
        <f t="shared" si="31"/>
        <v>46.620000000000005</v>
      </c>
      <c r="L191" s="5">
        <v>47</v>
      </c>
      <c r="P191" t="s">
        <v>644</v>
      </c>
      <c r="Q191" s="5">
        <v>31</v>
      </c>
      <c r="R191" t="s">
        <v>671</v>
      </c>
      <c r="S191">
        <v>4800</v>
      </c>
      <c r="T191">
        <f t="shared" si="24"/>
        <v>48</v>
      </c>
      <c r="U191" s="5">
        <f t="shared" si="25"/>
        <v>-21.930000000000007</v>
      </c>
      <c r="V191" s="24">
        <f t="shared" si="29"/>
        <v>-17.130000000000006</v>
      </c>
    </row>
    <row r="192" spans="1:22" x14ac:dyDescent="0.3">
      <c r="A192" s="9" t="s">
        <v>312</v>
      </c>
      <c r="B192" t="s">
        <v>313</v>
      </c>
      <c r="C192">
        <v>61</v>
      </c>
      <c r="D192" t="s">
        <v>283</v>
      </c>
      <c r="E192" s="8">
        <v>699</v>
      </c>
      <c r="F192" t="s">
        <v>627</v>
      </c>
      <c r="G192" s="20">
        <v>0.12</v>
      </c>
      <c r="H192" s="18">
        <f t="shared" si="23"/>
        <v>83.88</v>
      </c>
      <c r="I192" s="20">
        <v>0.01</v>
      </c>
      <c r="J192" s="19">
        <f>H192+I192*E192</f>
        <v>90.86999999999999</v>
      </c>
      <c r="K192" s="15">
        <f t="shared" si="31"/>
        <v>55.919999999999995</v>
      </c>
      <c r="L192" s="5">
        <v>56</v>
      </c>
      <c r="P192" t="s">
        <v>644</v>
      </c>
      <c r="Q192" s="5">
        <v>31</v>
      </c>
      <c r="R192" t="s">
        <v>690</v>
      </c>
      <c r="S192">
        <v>5850</v>
      </c>
      <c r="T192">
        <f t="shared" si="24"/>
        <v>58.5</v>
      </c>
      <c r="U192" s="5">
        <f t="shared" si="25"/>
        <v>-25.379999999999995</v>
      </c>
      <c r="V192" s="24">
        <f t="shared" si="29"/>
        <v>-19.529999999999994</v>
      </c>
    </row>
    <row r="193" spans="1:22" x14ac:dyDescent="0.3">
      <c r="A193" s="9" t="s">
        <v>284</v>
      </c>
      <c r="B193" t="s">
        <v>285</v>
      </c>
      <c r="C193">
        <v>25</v>
      </c>
      <c r="D193" t="s">
        <v>374</v>
      </c>
      <c r="E193" s="8">
        <v>480</v>
      </c>
      <c r="F193" t="s">
        <v>627</v>
      </c>
      <c r="G193" s="20">
        <v>0.12</v>
      </c>
      <c r="H193" s="18">
        <f t="shared" si="23"/>
        <v>57.599999999999994</v>
      </c>
      <c r="I193" s="20">
        <v>0.01</v>
      </c>
      <c r="J193" s="19">
        <f>H193+I193*E193</f>
        <v>62.399999999999991</v>
      </c>
      <c r="K193" s="15">
        <f t="shared" si="31"/>
        <v>38.4</v>
      </c>
      <c r="L193" s="5">
        <v>25</v>
      </c>
      <c r="P193" t="s">
        <v>644</v>
      </c>
      <c r="Q193" s="5">
        <v>95</v>
      </c>
      <c r="R193" t="s">
        <v>675</v>
      </c>
      <c r="S193">
        <v>3100</v>
      </c>
      <c r="T193">
        <f t="shared" si="24"/>
        <v>31</v>
      </c>
      <c r="U193" s="5">
        <f t="shared" si="25"/>
        <v>-26.599999999999994</v>
      </c>
      <c r="V193" s="24">
        <f t="shared" si="29"/>
        <v>-23.499999999999993</v>
      </c>
    </row>
    <row r="194" spans="1:22" x14ac:dyDescent="0.3">
      <c r="A194" s="9" t="s">
        <v>514</v>
      </c>
      <c r="B194" t="s">
        <v>515</v>
      </c>
      <c r="C194">
        <v>142</v>
      </c>
      <c r="D194" t="s">
        <v>283</v>
      </c>
      <c r="E194" s="8">
        <v>1307</v>
      </c>
      <c r="F194" t="s">
        <v>627</v>
      </c>
      <c r="G194" s="20">
        <v>0.12</v>
      </c>
      <c r="H194" s="18">
        <f t="shared" ref="H194:H203" si="32">G194*E194</f>
        <v>156.84</v>
      </c>
      <c r="I194" s="20">
        <v>0.05</v>
      </c>
      <c r="J194" s="19">
        <f>H194+E194*I194</f>
        <v>222.19</v>
      </c>
      <c r="K194" s="15">
        <f t="shared" si="31"/>
        <v>104.56</v>
      </c>
      <c r="L194" s="5">
        <v>105</v>
      </c>
      <c r="R194" t="s">
        <v>705</v>
      </c>
      <c r="S194">
        <v>12000</v>
      </c>
      <c r="T194">
        <f t="shared" ref="T194:T203" si="33">S194/100</f>
        <v>120</v>
      </c>
      <c r="U194" s="5">
        <f t="shared" ref="U194:U203" si="34">T194-H194</f>
        <v>-36.840000000000003</v>
      </c>
      <c r="V194" s="24">
        <f t="shared" si="29"/>
        <v>-24.840000000000003</v>
      </c>
    </row>
    <row r="195" spans="1:22" x14ac:dyDescent="0.3">
      <c r="A195" s="9" t="s">
        <v>377</v>
      </c>
      <c r="B195" t="s">
        <v>378</v>
      </c>
      <c r="C195">
        <v>157</v>
      </c>
      <c r="D195" t="s">
        <v>283</v>
      </c>
      <c r="E195" s="8">
        <v>2499</v>
      </c>
      <c r="F195" t="s">
        <v>631</v>
      </c>
      <c r="G195" s="20">
        <v>0.08</v>
      </c>
      <c r="H195" s="18">
        <f t="shared" si="32"/>
        <v>199.92000000000002</v>
      </c>
      <c r="I195" s="20">
        <v>0.05</v>
      </c>
      <c r="J195" s="19">
        <f>H195+E195*I195</f>
        <v>324.87</v>
      </c>
      <c r="K195" s="15">
        <f t="shared" si="31"/>
        <v>133.28</v>
      </c>
      <c r="L195" s="5">
        <v>100</v>
      </c>
      <c r="R195" t="s">
        <v>678</v>
      </c>
      <c r="S195">
        <v>16000</v>
      </c>
      <c r="T195">
        <f t="shared" si="33"/>
        <v>160</v>
      </c>
      <c r="U195" s="5">
        <f t="shared" si="34"/>
        <v>-39.920000000000016</v>
      </c>
      <c r="V195" s="24">
        <f t="shared" si="29"/>
        <v>-23.920000000000016</v>
      </c>
    </row>
    <row r="196" spans="1:22" x14ac:dyDescent="0.3">
      <c r="A196" s="9" t="s">
        <v>510</v>
      </c>
      <c r="B196" t="s">
        <v>511</v>
      </c>
      <c r="C196">
        <v>136</v>
      </c>
      <c r="D196" t="s">
        <v>283</v>
      </c>
      <c r="E196" s="8">
        <v>1298</v>
      </c>
      <c r="F196" t="s">
        <v>631</v>
      </c>
      <c r="G196" s="20">
        <v>0.12</v>
      </c>
      <c r="H196" s="18">
        <f t="shared" si="32"/>
        <v>155.76</v>
      </c>
      <c r="I196" s="20">
        <v>0.05</v>
      </c>
      <c r="J196" s="19">
        <f>H196+E196*I196</f>
        <v>220.66</v>
      </c>
      <c r="K196" s="15">
        <f t="shared" si="31"/>
        <v>103.83999999999999</v>
      </c>
      <c r="L196" s="5">
        <v>80</v>
      </c>
      <c r="R196" t="s">
        <v>680</v>
      </c>
      <c r="S196">
        <v>11000</v>
      </c>
      <c r="T196">
        <f t="shared" si="33"/>
        <v>110</v>
      </c>
      <c r="U196" s="5">
        <f t="shared" si="34"/>
        <v>-45.759999999999991</v>
      </c>
      <c r="V196" s="24">
        <f t="shared" si="29"/>
        <v>-34.759999999999991</v>
      </c>
    </row>
    <row r="197" spans="1:22" x14ac:dyDescent="0.3">
      <c r="A197" s="3" t="s">
        <v>610</v>
      </c>
      <c r="B197" t="s">
        <v>611</v>
      </c>
      <c r="C197">
        <v>198</v>
      </c>
      <c r="D197" t="s">
        <v>374</v>
      </c>
      <c r="E197" s="8">
        <v>750</v>
      </c>
      <c r="F197" t="s">
        <v>634</v>
      </c>
      <c r="G197" s="20">
        <v>0.12</v>
      </c>
      <c r="H197" s="18">
        <f t="shared" si="32"/>
        <v>90</v>
      </c>
      <c r="I197" s="20">
        <v>0.1</v>
      </c>
      <c r="J197" s="19">
        <f t="shared" ref="J197:J202" si="35">H197+I197*E197</f>
        <v>165</v>
      </c>
      <c r="K197" s="1">
        <f>H197</f>
        <v>90</v>
      </c>
      <c r="L197" s="5">
        <v>0</v>
      </c>
      <c r="N197" t="s">
        <v>643</v>
      </c>
      <c r="O197">
        <v>77.5</v>
      </c>
      <c r="R197" t="s">
        <v>710</v>
      </c>
      <c r="S197">
        <v>2600</v>
      </c>
      <c r="T197">
        <f t="shared" si="33"/>
        <v>26</v>
      </c>
      <c r="U197" s="5">
        <f t="shared" si="34"/>
        <v>-64</v>
      </c>
      <c r="V197" s="24">
        <f t="shared" si="29"/>
        <v>-61.4</v>
      </c>
    </row>
    <row r="198" spans="1:22" x14ac:dyDescent="0.3">
      <c r="A198" s="9" t="s">
        <v>617</v>
      </c>
      <c r="B198" t="s">
        <v>618</v>
      </c>
      <c r="C198">
        <v>200</v>
      </c>
      <c r="D198" t="s">
        <v>283</v>
      </c>
      <c r="E198" s="8">
        <v>1898</v>
      </c>
      <c r="F198" t="s">
        <v>627</v>
      </c>
      <c r="G198" s="20">
        <v>0.08</v>
      </c>
      <c r="H198" s="18">
        <f t="shared" si="32"/>
        <v>151.84</v>
      </c>
      <c r="I198" s="20">
        <v>0.01</v>
      </c>
      <c r="J198" s="19">
        <f t="shared" si="35"/>
        <v>170.82</v>
      </c>
      <c r="K198" s="15">
        <f>H198/1.5</f>
        <v>101.22666666666667</v>
      </c>
      <c r="L198" s="5">
        <v>76</v>
      </c>
      <c r="N198" t="s">
        <v>646</v>
      </c>
      <c r="O198">
        <v>72.5</v>
      </c>
      <c r="R198" t="s">
        <v>711</v>
      </c>
      <c r="S198">
        <v>8100</v>
      </c>
      <c r="T198">
        <f t="shared" si="33"/>
        <v>81</v>
      </c>
      <c r="U198" s="5">
        <f t="shared" si="34"/>
        <v>-70.84</v>
      </c>
      <c r="V198" s="24">
        <f t="shared" si="29"/>
        <v>-62.74</v>
      </c>
    </row>
    <row r="199" spans="1:22" x14ac:dyDescent="0.3">
      <c r="A199" s="9" t="s">
        <v>430</v>
      </c>
      <c r="B199" t="s">
        <v>431</v>
      </c>
      <c r="C199">
        <v>109</v>
      </c>
      <c r="D199" t="s">
        <v>283</v>
      </c>
      <c r="E199" s="8">
        <v>1899</v>
      </c>
      <c r="F199" t="s">
        <v>627</v>
      </c>
      <c r="G199" s="20">
        <v>0.08</v>
      </c>
      <c r="H199" s="18">
        <f t="shared" si="32"/>
        <v>151.92000000000002</v>
      </c>
      <c r="I199" s="20">
        <v>0.01</v>
      </c>
      <c r="J199" s="19">
        <f t="shared" si="35"/>
        <v>170.91000000000003</v>
      </c>
      <c r="K199" s="15">
        <f>H199/1.5</f>
        <v>101.28000000000002</v>
      </c>
      <c r="L199" s="5">
        <v>76</v>
      </c>
      <c r="N199" t="s">
        <v>644</v>
      </c>
      <c r="O199">
        <v>87.5</v>
      </c>
      <c r="R199" t="s">
        <v>701</v>
      </c>
      <c r="S199">
        <v>7750</v>
      </c>
      <c r="T199">
        <f t="shared" si="33"/>
        <v>77.5</v>
      </c>
      <c r="U199" s="5">
        <f t="shared" si="34"/>
        <v>-74.420000000000016</v>
      </c>
      <c r="V199" s="24">
        <f t="shared" si="29"/>
        <v>-66.670000000000016</v>
      </c>
    </row>
    <row r="200" spans="1:22" x14ac:dyDescent="0.3">
      <c r="A200" s="9" t="s">
        <v>304</v>
      </c>
      <c r="B200" t="s">
        <v>305</v>
      </c>
      <c r="C200">
        <v>52</v>
      </c>
      <c r="D200" t="s">
        <v>283</v>
      </c>
      <c r="E200" s="8">
        <v>1399</v>
      </c>
      <c r="F200" t="s">
        <v>627</v>
      </c>
      <c r="G200" s="20">
        <v>0.08</v>
      </c>
      <c r="H200" s="18">
        <f t="shared" si="32"/>
        <v>111.92</v>
      </c>
      <c r="I200" s="20">
        <v>0.01</v>
      </c>
      <c r="J200" s="19">
        <f t="shared" si="35"/>
        <v>125.91</v>
      </c>
      <c r="K200" s="15">
        <f>H200/1.5</f>
        <v>74.61333333333333</v>
      </c>
      <c r="L200" s="5">
        <v>30</v>
      </c>
      <c r="P200" t="s">
        <v>644</v>
      </c>
      <c r="Q200" s="5">
        <v>23.55</v>
      </c>
      <c r="R200" t="s">
        <v>687</v>
      </c>
      <c r="S200">
        <v>3100</v>
      </c>
      <c r="T200">
        <f t="shared" si="33"/>
        <v>31</v>
      </c>
      <c r="U200" s="5">
        <f t="shared" si="34"/>
        <v>-80.92</v>
      </c>
      <c r="V200" s="24">
        <f t="shared" si="29"/>
        <v>-77.820000000000007</v>
      </c>
    </row>
    <row r="201" spans="1:22" x14ac:dyDescent="0.3">
      <c r="A201" s="9" t="s">
        <v>300</v>
      </c>
      <c r="B201" t="s">
        <v>301</v>
      </c>
      <c r="C201">
        <v>46</v>
      </c>
      <c r="D201" t="s">
        <v>283</v>
      </c>
      <c r="E201" s="8">
        <v>2199</v>
      </c>
      <c r="F201" t="s">
        <v>627</v>
      </c>
      <c r="G201" s="20">
        <v>0.08</v>
      </c>
      <c r="H201" s="18">
        <f t="shared" si="32"/>
        <v>175.92000000000002</v>
      </c>
      <c r="I201" s="20">
        <v>0.01</v>
      </c>
      <c r="J201" s="19">
        <f t="shared" si="35"/>
        <v>197.91000000000003</v>
      </c>
      <c r="K201" s="15">
        <f>H201/1.5</f>
        <v>117.28000000000002</v>
      </c>
      <c r="L201" s="5">
        <v>88</v>
      </c>
      <c r="P201" t="s">
        <v>646</v>
      </c>
      <c r="Q201" s="5">
        <v>62.5</v>
      </c>
      <c r="R201" t="s">
        <v>682</v>
      </c>
      <c r="S201">
        <v>9050</v>
      </c>
      <c r="T201">
        <f t="shared" si="33"/>
        <v>90.5</v>
      </c>
      <c r="U201" s="5">
        <f t="shared" si="34"/>
        <v>-85.420000000000016</v>
      </c>
      <c r="V201" s="24">
        <f t="shared" si="29"/>
        <v>-76.370000000000019</v>
      </c>
    </row>
    <row r="202" spans="1:22" x14ac:dyDescent="0.3">
      <c r="A202" s="9" t="s">
        <v>288</v>
      </c>
      <c r="B202" t="s">
        <v>289</v>
      </c>
      <c r="C202">
        <v>31</v>
      </c>
      <c r="D202" t="s">
        <v>283</v>
      </c>
      <c r="E202" s="8">
        <v>3898</v>
      </c>
      <c r="F202" t="s">
        <v>627</v>
      </c>
      <c r="G202" s="20">
        <v>0.08</v>
      </c>
      <c r="H202" s="18">
        <f t="shared" si="32"/>
        <v>311.84000000000003</v>
      </c>
      <c r="I202" s="20">
        <v>0.01</v>
      </c>
      <c r="J202" s="19">
        <f t="shared" si="35"/>
        <v>350.82000000000005</v>
      </c>
      <c r="K202" s="15">
        <f>H202/1.5</f>
        <v>207.89333333333335</v>
      </c>
      <c r="L202" s="5">
        <v>156</v>
      </c>
      <c r="P202" t="s">
        <v>644</v>
      </c>
      <c r="Q202" s="5">
        <v>154.55000000000001</v>
      </c>
      <c r="R202" t="s">
        <v>678</v>
      </c>
      <c r="S202">
        <v>22000</v>
      </c>
      <c r="T202">
        <f t="shared" si="33"/>
        <v>220</v>
      </c>
      <c r="U202" s="5">
        <f t="shared" si="34"/>
        <v>-91.840000000000032</v>
      </c>
      <c r="V202" s="24">
        <f t="shared" si="29"/>
        <v>-69.840000000000032</v>
      </c>
    </row>
    <row r="203" spans="1:22" x14ac:dyDescent="0.3">
      <c r="A203" s="9" t="s">
        <v>566</v>
      </c>
      <c r="B203" t="s">
        <v>567</v>
      </c>
      <c r="C203">
        <v>187</v>
      </c>
      <c r="D203" t="s">
        <v>268</v>
      </c>
      <c r="E203" s="8">
        <v>5000</v>
      </c>
      <c r="F203" t="s">
        <v>634</v>
      </c>
      <c r="G203" s="20">
        <v>7.0000000000000007E-2</v>
      </c>
      <c r="H203" s="18">
        <f t="shared" si="32"/>
        <v>350.00000000000006</v>
      </c>
      <c r="I203" s="21">
        <v>0</v>
      </c>
      <c r="J203" s="22">
        <f>H203+E203*I203</f>
        <v>350.00000000000006</v>
      </c>
      <c r="K203" s="5">
        <v>0</v>
      </c>
      <c r="L203" s="7">
        <v>25</v>
      </c>
      <c r="M203" s="7"/>
      <c r="R203" t="s">
        <v>674</v>
      </c>
      <c r="S203">
        <v>2600</v>
      </c>
      <c r="T203">
        <f t="shared" si="33"/>
        <v>26</v>
      </c>
      <c r="U203" s="5">
        <f t="shared" si="34"/>
        <v>-324.00000000000006</v>
      </c>
      <c r="V203" s="24">
        <f t="shared" si="29"/>
        <v>-321.40000000000003</v>
      </c>
    </row>
  </sheetData>
  <autoFilter ref="A1:U203" xr:uid="{00000000-0001-0000-0100-000000000000}">
    <filterColumn colId="17">
      <colorFilter dxfId="1"/>
    </filterColumn>
  </autoFilter>
  <pageMargins left="0.7" right="0.7" top="0.75" bottom="0.75" header="0.3" footer="0.3"/>
  <pageSetup scale="78" orientation="portrait" r:id="rId1"/>
  <rowBreaks count="1" manualBreakCount="1">
    <brk id="150" max="20" man="1"/>
  </rowBreaks>
  <colBreaks count="1" manualBreakCount="1">
    <brk id="13" max="202"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B8060-3DA0-48BB-AEF3-0385E7DE12DF}">
  <sheetPr filterMode="1"/>
  <dimension ref="A1:X203"/>
  <sheetViews>
    <sheetView tabSelected="1" view="pageBreakPreview" zoomScale="85" zoomScaleNormal="85" zoomScaleSheetLayoutView="85" workbookViewId="0">
      <pane ySplit="1" topLeftCell="A2" activePane="bottomLeft" state="frozen"/>
      <selection pane="bottomLeft" activeCell="N1" sqref="K1:N1048576"/>
    </sheetView>
  </sheetViews>
  <sheetFormatPr defaultRowHeight="15.05" outlineLevelCol="1" x14ac:dyDescent="0.3"/>
  <cols>
    <col min="1" max="1" width="5.5546875" style="31" bestFit="1" customWidth="1"/>
    <col min="2" max="2" width="43.33203125" customWidth="1"/>
    <col min="3" max="3" width="3.109375" style="31" customWidth="1"/>
    <col min="4" max="4" width="8" customWidth="1"/>
    <col min="5" max="5" width="6.88671875" style="19" customWidth="1"/>
    <col min="6" max="6" width="9.33203125" style="21" customWidth="1"/>
    <col min="7" max="8" width="8.88671875" style="21" hidden="1" customWidth="1" outlineLevel="1"/>
    <col min="9" max="9" width="8.88671875" hidden="1" customWidth="1" outlineLevel="1"/>
    <col min="10" max="10" width="8.88671875" style="31" hidden="1" customWidth="1" outlineLevel="1"/>
    <col min="11" max="11" width="7.77734375" style="34" hidden="1" customWidth="1" collapsed="1"/>
    <col min="12" max="12" width="8.5546875" style="34" hidden="1" customWidth="1"/>
    <col min="13" max="13" width="8.109375" style="34" hidden="1" customWidth="1"/>
    <col min="14" max="14" width="10.21875" style="31" hidden="1" customWidth="1" outlineLevel="1"/>
    <col min="15" max="15" width="20.88671875" style="31" customWidth="1" outlineLevel="1"/>
    <col min="16" max="16" width="8.109375" style="31" customWidth="1" outlineLevel="1"/>
    <col min="17" max="17" width="7.44140625" style="31" hidden="1" customWidth="1" outlineLevel="1"/>
    <col min="18" max="19" width="8.88671875" style="31" hidden="1" customWidth="1" outlineLevel="1"/>
    <col min="20" max="22" width="8.88671875" hidden="1" customWidth="1" outlineLevel="1"/>
  </cols>
  <sheetData>
    <row r="1" spans="1:24" s="38" customFormat="1" x14ac:dyDescent="0.3">
      <c r="A1" s="37" t="s">
        <v>945</v>
      </c>
      <c r="B1" s="38" t="s">
        <v>263</v>
      </c>
      <c r="C1" s="37" t="s">
        <v>621</v>
      </c>
      <c r="D1" s="38" t="s">
        <v>264</v>
      </c>
      <c r="E1" s="39" t="s">
        <v>265</v>
      </c>
      <c r="F1" s="46" t="s">
        <v>622</v>
      </c>
      <c r="G1" s="17" t="s">
        <v>635</v>
      </c>
      <c r="H1" s="47" t="s">
        <v>636</v>
      </c>
      <c r="I1" s="39" t="s">
        <v>637</v>
      </c>
      <c r="J1" s="40" t="s">
        <v>638</v>
      </c>
      <c r="K1" s="41" t="s">
        <v>946</v>
      </c>
      <c r="L1" s="42" t="s">
        <v>947</v>
      </c>
      <c r="M1" s="42" t="s">
        <v>948</v>
      </c>
      <c r="N1" s="43" t="s">
        <v>2945</v>
      </c>
      <c r="O1" s="43" t="s">
        <v>2946</v>
      </c>
      <c r="P1" s="6" t="s">
        <v>656</v>
      </c>
      <c r="Q1" s="43" t="s">
        <v>2947</v>
      </c>
      <c r="R1" s="37" t="s">
        <v>2944</v>
      </c>
      <c r="S1" s="37" t="s">
        <v>2940</v>
      </c>
      <c r="T1" s="37" t="s">
        <v>2941</v>
      </c>
      <c r="U1" s="37" t="s">
        <v>2942</v>
      </c>
      <c r="V1" s="37" t="s">
        <v>2943</v>
      </c>
      <c r="W1" s="4" t="s">
        <v>657</v>
      </c>
      <c r="X1" s="23" t="s">
        <v>713</v>
      </c>
    </row>
    <row r="2" spans="1:24" x14ac:dyDescent="0.3">
      <c r="A2" s="31" t="s">
        <v>533</v>
      </c>
      <c r="B2" t="s">
        <v>838</v>
      </c>
      <c r="C2" s="31">
        <v>169</v>
      </c>
      <c r="D2" t="s">
        <v>283</v>
      </c>
      <c r="E2" s="19">
        <v>1999</v>
      </c>
      <c r="F2" s="21" t="s">
        <v>624</v>
      </c>
      <c r="G2" s="20">
        <v>0.1</v>
      </c>
      <c r="H2" s="48">
        <v>199.9</v>
      </c>
      <c r="I2" s="29">
        <v>0.1</v>
      </c>
      <c r="J2" s="31">
        <f>IF(P2&gt;K2,P2,0)</f>
        <v>300</v>
      </c>
      <c r="K2" s="33">
        <f t="shared" ref="K2:K65" si="0">H2</f>
        <v>199.9</v>
      </c>
      <c r="L2" s="33">
        <f t="shared" ref="L2:L65" si="1">H2+E2*(I2/2)</f>
        <v>299.85000000000002</v>
      </c>
      <c r="M2" s="33">
        <f t="shared" ref="M2:M65" si="2">H2+E2*I2</f>
        <v>399.8</v>
      </c>
      <c r="N2" s="32">
        <f t="shared" ref="N2:N65" si="3">IF(SUM(R2:V2)&gt;0,1,0)</f>
        <v>0</v>
      </c>
      <c r="O2" s="45" t="str">
        <f>VLOOKUP($A2,[1]Sheet2!$A:$N,6,0)</f>
        <v>Almata Atastana</v>
      </c>
      <c r="P2" s="32">
        <f>VLOOKUP($A2,[1]Sheet2!$A:$N,13,0)/100</f>
        <v>300</v>
      </c>
      <c r="Q2" s="32">
        <f>VLOOKUP($A2,[1]Sheet2!$A:$N,14,0)/100</f>
        <v>300</v>
      </c>
      <c r="T2" s="31"/>
      <c r="U2" s="31"/>
      <c r="V2" s="31"/>
      <c r="W2" s="30">
        <f t="shared" ref="W2:W65" si="4">P2-H2</f>
        <v>100.1</v>
      </c>
    </row>
    <row r="3" spans="1:24" hidden="1" x14ac:dyDescent="0.3">
      <c r="A3" s="36" t="s">
        <v>298</v>
      </c>
      <c r="B3" t="s">
        <v>921</v>
      </c>
      <c r="C3" s="31">
        <v>45</v>
      </c>
      <c r="D3" t="s">
        <v>283</v>
      </c>
      <c r="E3" s="8">
        <v>7599</v>
      </c>
      <c r="F3" t="s">
        <v>629</v>
      </c>
      <c r="G3" s="29">
        <v>0.1</v>
      </c>
      <c r="H3" s="30">
        <v>759.90000000000009</v>
      </c>
      <c r="I3" s="29">
        <v>0.04</v>
      </c>
      <c r="J3" s="31">
        <f>IF(Q3&gt;K3,P3,0)</f>
        <v>1497.5</v>
      </c>
      <c r="K3" s="33">
        <f t="shared" si="0"/>
        <v>759.90000000000009</v>
      </c>
      <c r="L3" s="33">
        <f t="shared" si="1"/>
        <v>911.88000000000011</v>
      </c>
      <c r="M3" s="33">
        <f t="shared" si="2"/>
        <v>1063.8600000000001</v>
      </c>
      <c r="N3" s="32">
        <f t="shared" si="3"/>
        <v>0</v>
      </c>
      <c r="O3" s="32" t="str">
        <f>VLOOKUP($A3,[1]Sheet2!$A:$N,6,0)</f>
        <v>Nikos Anagnostopoulos</v>
      </c>
      <c r="P3" s="32">
        <f>VLOOKUP($A3,[1]Sheet2!$A:$N,13,0)/100</f>
        <v>1497.5</v>
      </c>
      <c r="Q3" s="32">
        <f>VLOOKUP($A3,[1]Sheet2!$A:$N,14,0)/100</f>
        <v>1500</v>
      </c>
      <c r="T3" s="31"/>
      <c r="U3" s="31"/>
      <c r="V3" s="31"/>
      <c r="W3" s="30">
        <f t="shared" si="4"/>
        <v>737.59999999999991</v>
      </c>
      <c r="X3" s="24">
        <f>P3*11%+W3</f>
        <v>902.32499999999993</v>
      </c>
    </row>
    <row r="4" spans="1:24" x14ac:dyDescent="0.3">
      <c r="A4" s="36" t="s">
        <v>785</v>
      </c>
      <c r="B4" t="s">
        <v>786</v>
      </c>
      <c r="C4" s="31">
        <v>137</v>
      </c>
      <c r="D4" t="s">
        <v>283</v>
      </c>
      <c r="E4" s="19">
        <v>176</v>
      </c>
      <c r="F4" s="21" t="s">
        <v>627</v>
      </c>
      <c r="G4" s="20">
        <v>0.1</v>
      </c>
      <c r="H4" s="48">
        <v>17.600000000000001</v>
      </c>
      <c r="I4">
        <v>0</v>
      </c>
      <c r="J4" s="31">
        <f>IF(P4&gt;K4,P4,0)</f>
        <v>116</v>
      </c>
      <c r="K4" s="33">
        <f t="shared" si="0"/>
        <v>17.600000000000001</v>
      </c>
      <c r="L4" s="33">
        <f t="shared" si="1"/>
        <v>17.600000000000001</v>
      </c>
      <c r="M4" s="33">
        <f t="shared" si="2"/>
        <v>17.600000000000001</v>
      </c>
      <c r="N4" s="32">
        <f t="shared" si="3"/>
        <v>0</v>
      </c>
      <c r="O4" s="45" t="str">
        <f>VLOOKUP($A4,[1]Sheet2!$A:$N,6,0)</f>
        <v>Sanzhar Houston</v>
      </c>
      <c r="P4" s="32">
        <f>VLOOKUP($A4,[1]Sheet2!$A:$N,13,0)/100</f>
        <v>116</v>
      </c>
      <c r="Q4" s="32">
        <f>VLOOKUP($A4,[1]Sheet2!$A:$N,14,0)/100</f>
        <v>222</v>
      </c>
      <c r="T4" s="31"/>
      <c r="U4" s="31"/>
      <c r="V4" s="31"/>
      <c r="W4" s="30">
        <f t="shared" si="4"/>
        <v>98.4</v>
      </c>
    </row>
    <row r="5" spans="1:24" hidden="1" x14ac:dyDescent="0.3">
      <c r="A5" s="31" t="s">
        <v>510</v>
      </c>
      <c r="B5" t="s">
        <v>782</v>
      </c>
      <c r="C5" s="31">
        <v>134</v>
      </c>
      <c r="D5" t="s">
        <v>283</v>
      </c>
      <c r="E5" s="8">
        <v>3500</v>
      </c>
      <c r="F5" t="s">
        <v>628</v>
      </c>
      <c r="G5" s="29">
        <v>0.1</v>
      </c>
      <c r="H5" s="30">
        <v>350</v>
      </c>
      <c r="I5" s="29">
        <v>0.1</v>
      </c>
      <c r="J5" s="31">
        <f>IF(P5&gt;K5,P5,0)</f>
        <v>840</v>
      </c>
      <c r="K5" s="33">
        <f t="shared" si="0"/>
        <v>350</v>
      </c>
      <c r="L5" s="33">
        <f t="shared" si="1"/>
        <v>525</v>
      </c>
      <c r="M5" s="33">
        <f t="shared" si="2"/>
        <v>700</v>
      </c>
      <c r="N5" s="32">
        <f t="shared" si="3"/>
        <v>0</v>
      </c>
      <c r="O5" s="32" t="str">
        <f>VLOOKUP($A5,[1]Sheet2!$A:$N,6,0)</f>
        <v>Cynthia Echols</v>
      </c>
      <c r="P5" s="32">
        <f>VLOOKUP($A5,[1]Sheet2!$A:$N,13,0)/100</f>
        <v>840</v>
      </c>
      <c r="Q5" s="32">
        <f>VLOOKUP($A5,[1]Sheet2!$A:$N,14,0)/100</f>
        <v>840</v>
      </c>
      <c r="T5" s="31"/>
      <c r="U5" s="31"/>
      <c r="V5" s="31"/>
      <c r="W5" s="30">
        <f t="shared" si="4"/>
        <v>490</v>
      </c>
      <c r="X5" s="24">
        <f>P5*11%+W5</f>
        <v>582.4</v>
      </c>
    </row>
    <row r="6" spans="1:24" hidden="1" x14ac:dyDescent="0.3">
      <c r="A6" s="31" t="s">
        <v>418</v>
      </c>
      <c r="B6" t="s">
        <v>353</v>
      </c>
      <c r="C6" s="31">
        <v>81</v>
      </c>
      <c r="D6" t="s">
        <v>268</v>
      </c>
      <c r="E6" s="8">
        <v>2299</v>
      </c>
      <c r="F6" t="s">
        <v>625</v>
      </c>
      <c r="G6" s="29">
        <v>7.0000000000000007E-2</v>
      </c>
      <c r="H6" s="30">
        <v>160.93</v>
      </c>
      <c r="I6" s="29">
        <v>0.1</v>
      </c>
      <c r="J6" s="31">
        <f>IF(P6&gt;K6,P6,0)</f>
        <v>500.01</v>
      </c>
      <c r="K6" s="33">
        <f t="shared" si="0"/>
        <v>160.93</v>
      </c>
      <c r="L6" s="33">
        <f t="shared" si="1"/>
        <v>275.88</v>
      </c>
      <c r="M6" s="33">
        <f t="shared" si="2"/>
        <v>390.83000000000004</v>
      </c>
      <c r="N6" s="32">
        <f t="shared" si="3"/>
        <v>1</v>
      </c>
      <c r="O6" s="32" t="str">
        <f>VLOOKUP($A6,[1]Sheet2!$A:$N,6,0)</f>
        <v>Rochelle Pedraza</v>
      </c>
      <c r="P6" s="32">
        <f>VLOOKUP($A6,[1]Sheet2!$A:$N,13,0)/100</f>
        <v>500.01</v>
      </c>
      <c r="Q6" s="32">
        <f>VLOOKUP($A6,[1]Sheet2!$A:$N,14,0)/100</f>
        <v>500.01</v>
      </c>
      <c r="T6" s="31"/>
      <c r="U6" s="31"/>
      <c r="V6" s="31">
        <v>570</v>
      </c>
      <c r="W6" s="30">
        <f t="shared" si="4"/>
        <v>339.08</v>
      </c>
      <c r="X6" s="24">
        <f>P6*11%+W6</f>
        <v>394.08109999999999</v>
      </c>
    </row>
    <row r="7" spans="1:24" hidden="1" x14ac:dyDescent="0.3">
      <c r="A7" s="31" t="s">
        <v>787</v>
      </c>
      <c r="B7" t="s">
        <v>788</v>
      </c>
      <c r="C7" s="31">
        <v>138</v>
      </c>
      <c r="D7" t="s">
        <v>283</v>
      </c>
      <c r="E7" s="8">
        <v>4260</v>
      </c>
      <c r="F7" t="s">
        <v>628</v>
      </c>
      <c r="G7" s="29">
        <v>0.1</v>
      </c>
      <c r="H7" s="30">
        <v>426</v>
      </c>
      <c r="I7" s="29">
        <v>0.1</v>
      </c>
      <c r="J7" s="31">
        <v>0</v>
      </c>
      <c r="K7" s="33">
        <f t="shared" si="0"/>
        <v>426</v>
      </c>
      <c r="L7" s="33">
        <f t="shared" si="1"/>
        <v>639</v>
      </c>
      <c r="M7" s="33">
        <f t="shared" si="2"/>
        <v>852</v>
      </c>
      <c r="N7" s="32">
        <f t="shared" si="3"/>
        <v>0</v>
      </c>
      <c r="O7" s="32" t="str">
        <f>VLOOKUP($A7,[1]Sheet2!$A:$N,6,0)</f>
        <v>Alejandro Servin</v>
      </c>
      <c r="P7" s="32">
        <f>VLOOKUP($A7,[1]Sheet2!$A:$N,13,0)/100</f>
        <v>750</v>
      </c>
      <c r="Q7" s="32">
        <f>VLOOKUP($A7,[1]Sheet2!$A:$N,14,0)/100</f>
        <v>750</v>
      </c>
      <c r="T7" s="31"/>
      <c r="U7" s="31"/>
      <c r="V7" s="31"/>
      <c r="W7" s="30">
        <f t="shared" si="4"/>
        <v>324</v>
      </c>
      <c r="X7" s="24">
        <f>P7*11%+W7</f>
        <v>406.5</v>
      </c>
    </row>
    <row r="8" spans="1:24" hidden="1" x14ac:dyDescent="0.3">
      <c r="A8" s="31" t="s">
        <v>395</v>
      </c>
      <c r="B8" t="s">
        <v>850</v>
      </c>
      <c r="C8" s="31">
        <v>177</v>
      </c>
      <c r="D8" t="s">
        <v>283</v>
      </c>
      <c r="E8" s="8">
        <v>4296</v>
      </c>
      <c r="F8" t="s">
        <v>624</v>
      </c>
      <c r="G8" s="29">
        <v>0.1</v>
      </c>
      <c r="H8" s="30">
        <v>429.6</v>
      </c>
      <c r="I8" s="29">
        <v>0.1</v>
      </c>
      <c r="J8" s="31">
        <f t="shared" ref="J8:J39" si="5">IF(P8&gt;K8,P8,0)</f>
        <v>700</v>
      </c>
      <c r="K8" s="33">
        <f t="shared" si="0"/>
        <v>429.6</v>
      </c>
      <c r="L8" s="33">
        <f t="shared" si="1"/>
        <v>644.40000000000009</v>
      </c>
      <c r="M8" s="33">
        <f t="shared" si="2"/>
        <v>859.2</v>
      </c>
      <c r="N8" s="32">
        <f t="shared" si="3"/>
        <v>0</v>
      </c>
      <c r="O8" s="32" t="str">
        <f>VLOOKUP($A8,[1]Sheet2!$A:$N,6,0)</f>
        <v>Daniel Arndt</v>
      </c>
      <c r="P8" s="32">
        <f>VLOOKUP($A8,[1]Sheet2!$A:$N,13,0)/100</f>
        <v>700</v>
      </c>
      <c r="Q8" s="32">
        <f>VLOOKUP($A8,[1]Sheet2!$A:$N,14,0)/100</f>
        <v>700</v>
      </c>
      <c r="T8" s="31"/>
      <c r="U8" s="31"/>
      <c r="V8" s="31"/>
      <c r="W8" s="30">
        <f t="shared" si="4"/>
        <v>270.39999999999998</v>
      </c>
      <c r="X8" s="24">
        <f>P8*11%+W8</f>
        <v>347.4</v>
      </c>
    </row>
    <row r="9" spans="1:24" x14ac:dyDescent="0.3">
      <c r="A9" s="36" t="s">
        <v>514</v>
      </c>
      <c r="B9" t="s">
        <v>789</v>
      </c>
      <c r="C9" s="31">
        <v>139</v>
      </c>
      <c r="D9" t="s">
        <v>283</v>
      </c>
      <c r="E9" s="19">
        <v>679</v>
      </c>
      <c r="F9" s="21" t="s">
        <v>627</v>
      </c>
      <c r="G9" s="20">
        <v>0.1</v>
      </c>
      <c r="H9" s="48">
        <v>67.900000000000006</v>
      </c>
      <c r="I9">
        <v>0</v>
      </c>
      <c r="J9" s="31">
        <f t="shared" si="5"/>
        <v>166</v>
      </c>
      <c r="K9" s="33">
        <f t="shared" si="0"/>
        <v>67.900000000000006</v>
      </c>
      <c r="L9" s="33">
        <f t="shared" si="1"/>
        <v>67.900000000000006</v>
      </c>
      <c r="M9" s="33">
        <f t="shared" si="2"/>
        <v>67.900000000000006</v>
      </c>
      <c r="N9" s="32">
        <f t="shared" si="3"/>
        <v>0</v>
      </c>
      <c r="O9" s="45" t="str">
        <f>VLOOKUP($A9,[1]Sheet2!$A:$N,6,0)</f>
        <v>Sanzhar Houston</v>
      </c>
      <c r="P9" s="32">
        <f>VLOOKUP($A9,[1]Sheet2!$A:$N,13,0)/100</f>
        <v>166</v>
      </c>
      <c r="Q9" s="32">
        <f>VLOOKUP($A9,[1]Sheet2!$A:$N,14,0)/100</f>
        <v>333</v>
      </c>
      <c r="T9" s="31"/>
      <c r="U9" s="31"/>
      <c r="V9" s="31"/>
      <c r="W9" s="30">
        <f t="shared" si="4"/>
        <v>98.1</v>
      </c>
    </row>
    <row r="10" spans="1:24" x14ac:dyDescent="0.3">
      <c r="A10" s="36" t="s">
        <v>273</v>
      </c>
      <c r="B10" t="s">
        <v>904</v>
      </c>
      <c r="C10" s="31">
        <v>13</v>
      </c>
      <c r="D10" t="s">
        <v>283</v>
      </c>
      <c r="E10" s="19">
        <v>3429</v>
      </c>
      <c r="F10" s="21" t="s">
        <v>627</v>
      </c>
      <c r="G10" s="20">
        <v>0.1</v>
      </c>
      <c r="H10" s="48">
        <v>342.90000000000003</v>
      </c>
      <c r="I10">
        <v>0</v>
      </c>
      <c r="J10" s="31">
        <f t="shared" si="5"/>
        <v>378</v>
      </c>
      <c r="K10" s="33">
        <f t="shared" si="0"/>
        <v>342.90000000000003</v>
      </c>
      <c r="L10" s="33">
        <f t="shared" si="1"/>
        <v>342.90000000000003</v>
      </c>
      <c r="M10" s="33">
        <f t="shared" si="2"/>
        <v>342.90000000000003</v>
      </c>
      <c r="N10" s="32">
        <f t="shared" si="3"/>
        <v>0</v>
      </c>
      <c r="O10" s="45" t="str">
        <f>VLOOKUP($A10,[1]Sheet2!$A:$N,6,0)</f>
        <v>Kuralay Kateryne</v>
      </c>
      <c r="P10" s="32">
        <f>VLOOKUP($A10,[1]Sheet2!$A:$N,13,0)/100</f>
        <v>378</v>
      </c>
      <c r="Q10" s="32">
        <f>VLOOKUP($A10,[1]Sheet2!$A:$N,14,0)/100</f>
        <v>383</v>
      </c>
      <c r="T10" s="31"/>
      <c r="U10" s="31"/>
      <c r="V10" s="31"/>
      <c r="W10" s="30">
        <f t="shared" si="4"/>
        <v>35.099999999999966</v>
      </c>
    </row>
    <row r="11" spans="1:24" hidden="1" x14ac:dyDescent="0.3">
      <c r="A11" s="31" t="s">
        <v>553</v>
      </c>
      <c r="B11" t="s">
        <v>880</v>
      </c>
      <c r="C11" s="31">
        <v>194</v>
      </c>
      <c r="D11" t="s">
        <v>283</v>
      </c>
      <c r="E11" s="8">
        <v>1620</v>
      </c>
      <c r="F11" t="s">
        <v>624</v>
      </c>
      <c r="G11" s="29">
        <v>0.1</v>
      </c>
      <c r="H11" s="30">
        <v>162</v>
      </c>
      <c r="I11" s="29">
        <v>0.1</v>
      </c>
      <c r="J11" s="31">
        <f t="shared" si="5"/>
        <v>410</v>
      </c>
      <c r="K11" s="33">
        <f t="shared" si="0"/>
        <v>162</v>
      </c>
      <c r="L11" s="33">
        <f t="shared" si="1"/>
        <v>243</v>
      </c>
      <c r="M11" s="33">
        <f t="shared" si="2"/>
        <v>324</v>
      </c>
      <c r="N11" s="32">
        <f t="shared" si="3"/>
        <v>0</v>
      </c>
      <c r="O11" s="32" t="str">
        <f>VLOOKUP($A11,[1]Sheet2!$A:$N,6,0)</f>
        <v>Adam Munoz</v>
      </c>
      <c r="P11" s="32">
        <f>VLOOKUP($A11,[1]Sheet2!$A:$N,13,0)/100</f>
        <v>410</v>
      </c>
      <c r="Q11" s="32">
        <f>VLOOKUP($A11,[1]Sheet2!$A:$N,14,0)/100</f>
        <v>410</v>
      </c>
      <c r="T11" s="31"/>
      <c r="U11" s="31"/>
      <c r="V11" s="31"/>
      <c r="W11" s="30">
        <f t="shared" si="4"/>
        <v>248</v>
      </c>
      <c r="X11" s="24">
        <f>P11*11%+W11</f>
        <v>293.10000000000002</v>
      </c>
    </row>
    <row r="12" spans="1:24" hidden="1" x14ac:dyDescent="0.3">
      <c r="A12" s="31" t="s">
        <v>825</v>
      </c>
      <c r="B12" t="s">
        <v>826</v>
      </c>
      <c r="C12" s="31">
        <v>161</v>
      </c>
      <c r="D12" t="s">
        <v>283</v>
      </c>
      <c r="E12" s="8">
        <v>1450</v>
      </c>
      <c r="F12" t="s">
        <v>632</v>
      </c>
      <c r="G12" s="29">
        <v>0.1</v>
      </c>
      <c r="H12" s="30">
        <v>145</v>
      </c>
      <c r="I12" s="29">
        <v>0.1</v>
      </c>
      <c r="J12" s="31">
        <f t="shared" si="5"/>
        <v>390</v>
      </c>
      <c r="K12" s="33">
        <f t="shared" si="0"/>
        <v>145</v>
      </c>
      <c r="L12" s="33">
        <f t="shared" si="1"/>
        <v>217.5</v>
      </c>
      <c r="M12" s="33">
        <f t="shared" si="2"/>
        <v>290</v>
      </c>
      <c r="N12" s="32">
        <f t="shared" si="3"/>
        <v>0</v>
      </c>
      <c r="O12" s="32" t="str">
        <f>VLOOKUP($A12,[1]Sheet2!$A:$N,6,0)</f>
        <v>Julie Phillips</v>
      </c>
      <c r="P12" s="32">
        <f>VLOOKUP($A12,[1]Sheet2!$A:$N,13,0)/100</f>
        <v>390</v>
      </c>
      <c r="Q12" s="32">
        <f>VLOOKUP($A12,[1]Sheet2!$A:$N,14,0)/100</f>
        <v>390</v>
      </c>
      <c r="T12" s="31"/>
      <c r="U12" s="31"/>
      <c r="V12" s="31"/>
      <c r="W12" s="30">
        <f t="shared" si="4"/>
        <v>245</v>
      </c>
      <c r="X12" s="24">
        <f>P12*11%+W12</f>
        <v>287.89999999999998</v>
      </c>
    </row>
    <row r="13" spans="1:24" x14ac:dyDescent="0.3">
      <c r="A13" s="31" t="s">
        <v>340</v>
      </c>
      <c r="B13" t="s">
        <v>758</v>
      </c>
      <c r="C13" s="31">
        <v>121</v>
      </c>
      <c r="D13" t="s">
        <v>283</v>
      </c>
      <c r="E13" s="19">
        <v>319</v>
      </c>
      <c r="F13" s="21" t="s">
        <v>624</v>
      </c>
      <c r="G13" s="20">
        <v>0.1</v>
      </c>
      <c r="H13" s="48">
        <v>31.900000000000002</v>
      </c>
      <c r="I13" s="29">
        <v>0.1</v>
      </c>
      <c r="J13" s="31">
        <f t="shared" si="5"/>
        <v>55</v>
      </c>
      <c r="K13" s="33">
        <f t="shared" si="0"/>
        <v>31.900000000000002</v>
      </c>
      <c r="L13" s="33">
        <f t="shared" si="1"/>
        <v>47.85</v>
      </c>
      <c r="M13" s="33">
        <f t="shared" si="2"/>
        <v>63.800000000000004</v>
      </c>
      <c r="N13" s="32">
        <f t="shared" si="3"/>
        <v>0</v>
      </c>
      <c r="O13" s="45" t="str">
        <f>VLOOKUP($A13,[1]Sheet2!$A:$N,6,0)</f>
        <v>Sanzhar Houston</v>
      </c>
      <c r="P13" s="32">
        <f>VLOOKUP($A13,[1]Sheet2!$A:$N,13,0)/100</f>
        <v>55</v>
      </c>
      <c r="Q13" s="32">
        <f>VLOOKUP($A13,[1]Sheet2!$A:$N,14,0)/100</f>
        <v>110</v>
      </c>
      <c r="T13" s="31"/>
      <c r="U13" s="31"/>
      <c r="V13" s="31"/>
      <c r="W13" s="30">
        <f t="shared" si="4"/>
        <v>23.099999999999998</v>
      </c>
    </row>
    <row r="14" spans="1:24" hidden="1" x14ac:dyDescent="0.3">
      <c r="A14" s="31" t="s">
        <v>811</v>
      </c>
      <c r="B14" t="s">
        <v>812</v>
      </c>
      <c r="C14" s="31">
        <v>153</v>
      </c>
      <c r="D14" t="s">
        <v>283</v>
      </c>
      <c r="E14" s="8">
        <v>1298</v>
      </c>
      <c r="F14" t="s">
        <v>625</v>
      </c>
      <c r="G14" s="29">
        <v>0.1</v>
      </c>
      <c r="H14" s="30">
        <v>129.80000000000001</v>
      </c>
      <c r="I14" s="29">
        <v>0.1</v>
      </c>
      <c r="J14" s="31">
        <f t="shared" si="5"/>
        <v>350</v>
      </c>
      <c r="K14" s="33">
        <f t="shared" si="0"/>
        <v>129.80000000000001</v>
      </c>
      <c r="L14" s="33">
        <f t="shared" si="1"/>
        <v>194.70000000000002</v>
      </c>
      <c r="M14" s="33">
        <f t="shared" si="2"/>
        <v>259.60000000000002</v>
      </c>
      <c r="N14" s="32">
        <f t="shared" si="3"/>
        <v>0</v>
      </c>
      <c r="O14" s="32" t="str">
        <f>VLOOKUP($A14,[1]Sheet2!$A:$N,6,0)</f>
        <v>Darren Ibarra</v>
      </c>
      <c r="P14" s="32">
        <f>VLOOKUP($A14,[1]Sheet2!$A:$N,13,0)/100</f>
        <v>350</v>
      </c>
      <c r="Q14" s="32">
        <f>VLOOKUP($A14,[1]Sheet2!$A:$N,14,0)/100</f>
        <v>350</v>
      </c>
      <c r="T14" s="31"/>
      <c r="U14" s="31"/>
      <c r="V14" s="31"/>
      <c r="W14" s="30">
        <f t="shared" si="4"/>
        <v>220.2</v>
      </c>
      <c r="X14" s="24">
        <f>P14*11%+W14</f>
        <v>258.7</v>
      </c>
    </row>
    <row r="15" spans="1:24" hidden="1" x14ac:dyDescent="0.3">
      <c r="A15" s="31" t="s">
        <v>900</v>
      </c>
      <c r="B15" t="s">
        <v>548</v>
      </c>
      <c r="C15" s="31">
        <v>5</v>
      </c>
      <c r="D15" t="s">
        <v>283</v>
      </c>
      <c r="E15" s="8">
        <v>800</v>
      </c>
      <c r="F15" t="s">
        <v>625</v>
      </c>
      <c r="G15" s="29">
        <v>0.1</v>
      </c>
      <c r="H15" s="30">
        <v>80</v>
      </c>
      <c r="I15" s="29">
        <v>0.1</v>
      </c>
      <c r="J15" s="31">
        <f t="shared" si="5"/>
        <v>300</v>
      </c>
      <c r="K15" s="33">
        <f t="shared" si="0"/>
        <v>80</v>
      </c>
      <c r="L15" s="33">
        <f t="shared" si="1"/>
        <v>120</v>
      </c>
      <c r="M15" s="33">
        <f t="shared" si="2"/>
        <v>160</v>
      </c>
      <c r="N15" s="32">
        <f t="shared" si="3"/>
        <v>1</v>
      </c>
      <c r="O15" s="32" t="str">
        <f>VLOOKUP($A15,[1]Sheet2!$A:$N,6,0)</f>
        <v>Jack Bates</v>
      </c>
      <c r="P15" s="32">
        <f>VLOOKUP($A15,[1]Sheet2!$A:$N,13,0)/100</f>
        <v>300</v>
      </c>
      <c r="Q15" s="32">
        <f>VLOOKUP($A15,[1]Sheet2!$A:$N,14,0)/100</f>
        <v>300</v>
      </c>
      <c r="T15" s="31"/>
      <c r="U15" s="31"/>
      <c r="V15" s="31">
        <v>119</v>
      </c>
      <c r="W15" s="30">
        <f t="shared" si="4"/>
        <v>220</v>
      </c>
      <c r="X15" s="24">
        <f>P15*11%+W15</f>
        <v>253</v>
      </c>
    </row>
    <row r="16" spans="1:24" hidden="1" x14ac:dyDescent="0.3">
      <c r="A16" s="31" t="s">
        <v>808</v>
      </c>
      <c r="B16" t="s">
        <v>809</v>
      </c>
      <c r="C16" s="31">
        <v>151</v>
      </c>
      <c r="D16" t="s">
        <v>283</v>
      </c>
      <c r="E16" s="8">
        <v>1450</v>
      </c>
      <c r="F16" t="s">
        <v>625</v>
      </c>
      <c r="G16" s="29">
        <v>0.1</v>
      </c>
      <c r="H16" s="30">
        <v>145</v>
      </c>
      <c r="I16" s="29">
        <v>0.1</v>
      </c>
      <c r="J16" s="31">
        <f t="shared" si="5"/>
        <v>355.75</v>
      </c>
      <c r="K16" s="33">
        <f t="shared" si="0"/>
        <v>145</v>
      </c>
      <c r="L16" s="33">
        <f t="shared" si="1"/>
        <v>217.5</v>
      </c>
      <c r="M16" s="33">
        <f t="shared" si="2"/>
        <v>290</v>
      </c>
      <c r="N16" s="32">
        <f t="shared" si="3"/>
        <v>0</v>
      </c>
      <c r="O16" s="32" t="str">
        <f>VLOOKUP($A16,[1]Sheet2!$A:$N,6,0)</f>
        <v>Cynthia Echols</v>
      </c>
      <c r="P16" s="32">
        <f>VLOOKUP($A16,[1]Sheet2!$A:$N,13,0)/100</f>
        <v>355.75</v>
      </c>
      <c r="Q16" s="32">
        <f>VLOOKUP($A16,[1]Sheet2!$A:$N,14,0)/100</f>
        <v>360.75</v>
      </c>
      <c r="T16" s="31"/>
      <c r="U16" s="31"/>
      <c r="V16" s="31"/>
      <c r="W16" s="30">
        <f t="shared" si="4"/>
        <v>210.75</v>
      </c>
      <c r="X16" s="24">
        <f>P16*11%+W16</f>
        <v>249.88249999999999</v>
      </c>
    </row>
    <row r="17" spans="1:24" hidden="1" x14ac:dyDescent="0.3">
      <c r="A17" s="31" t="s">
        <v>370</v>
      </c>
      <c r="B17" t="s">
        <v>916</v>
      </c>
      <c r="C17" s="31">
        <v>35</v>
      </c>
      <c r="D17" t="s">
        <v>283</v>
      </c>
      <c r="E17" s="8">
        <v>1499</v>
      </c>
      <c r="F17" t="s">
        <v>629</v>
      </c>
      <c r="G17" s="29">
        <v>0.1</v>
      </c>
      <c r="H17" s="30">
        <v>149.9</v>
      </c>
      <c r="I17" s="29">
        <v>0.1</v>
      </c>
      <c r="J17" s="31">
        <f t="shared" si="5"/>
        <v>355</v>
      </c>
      <c r="K17" s="33">
        <f t="shared" si="0"/>
        <v>149.9</v>
      </c>
      <c r="L17" s="33">
        <f t="shared" si="1"/>
        <v>224.85000000000002</v>
      </c>
      <c r="M17" s="33">
        <f t="shared" si="2"/>
        <v>299.8</v>
      </c>
      <c r="N17" s="32">
        <f t="shared" si="3"/>
        <v>0</v>
      </c>
      <c r="O17" s="32" t="str">
        <f>VLOOKUP($A17,[1]Sheet2!$A:$N,6,0)</f>
        <v>Erin Hearon</v>
      </c>
      <c r="P17" s="32">
        <f>VLOOKUP($A17,[1]Sheet2!$A:$N,13,0)/100</f>
        <v>355</v>
      </c>
      <c r="Q17" s="32">
        <f>VLOOKUP($A17,[1]Sheet2!$A:$N,14,0)/100</f>
        <v>355</v>
      </c>
      <c r="T17" s="31"/>
      <c r="U17" s="31"/>
      <c r="V17" s="31"/>
      <c r="W17" s="30">
        <f t="shared" si="4"/>
        <v>205.1</v>
      </c>
      <c r="X17" s="24">
        <f>P17*11%+W17</f>
        <v>244.14999999999998</v>
      </c>
    </row>
    <row r="18" spans="1:24" x14ac:dyDescent="0.3">
      <c r="A18" s="31" t="s">
        <v>940</v>
      </c>
      <c r="B18" t="s">
        <v>417</v>
      </c>
      <c r="C18" s="31">
        <v>100</v>
      </c>
      <c r="D18" t="s">
        <v>283</v>
      </c>
      <c r="E18" s="19">
        <v>1898</v>
      </c>
      <c r="F18" s="21" t="s">
        <v>625</v>
      </c>
      <c r="G18" s="20">
        <v>0.1</v>
      </c>
      <c r="H18" s="48">
        <v>189.8</v>
      </c>
      <c r="I18" s="29">
        <v>0.1</v>
      </c>
      <c r="J18" s="31">
        <f t="shared" si="5"/>
        <v>210</v>
      </c>
      <c r="K18" s="33">
        <f t="shared" si="0"/>
        <v>189.8</v>
      </c>
      <c r="L18" s="33">
        <f t="shared" si="1"/>
        <v>284.70000000000005</v>
      </c>
      <c r="M18" s="33">
        <f t="shared" si="2"/>
        <v>379.6</v>
      </c>
      <c r="N18" s="32">
        <f t="shared" si="3"/>
        <v>0</v>
      </c>
      <c r="O18" s="45" t="str">
        <f>VLOOKUP($A18,[1]Sheet2!$A:$N,6,0)</f>
        <v>Sanzhar Houston</v>
      </c>
      <c r="P18" s="32">
        <f>VLOOKUP($A18,[1]Sheet2!$A:$N,13,0)/100</f>
        <v>210</v>
      </c>
      <c r="Q18" s="32">
        <f>VLOOKUP($A18,[1]Sheet2!$A:$N,14,0)/100</f>
        <v>220</v>
      </c>
      <c r="T18" s="31"/>
      <c r="U18" s="31"/>
      <c r="V18" s="31"/>
      <c r="W18" s="30">
        <f t="shared" si="4"/>
        <v>20.199999999999989</v>
      </c>
    </row>
    <row r="19" spans="1:24" hidden="1" x14ac:dyDescent="0.3">
      <c r="A19" s="36" t="s">
        <v>489</v>
      </c>
      <c r="B19" t="s">
        <v>544</v>
      </c>
      <c r="C19" s="31">
        <v>112</v>
      </c>
      <c r="D19" t="s">
        <v>283</v>
      </c>
      <c r="E19" s="8">
        <v>800</v>
      </c>
      <c r="F19" t="s">
        <v>625</v>
      </c>
      <c r="G19" s="29">
        <v>0.1</v>
      </c>
      <c r="H19" s="30">
        <v>80</v>
      </c>
      <c r="I19" s="29">
        <v>0.04</v>
      </c>
      <c r="J19" s="31">
        <f t="shared" si="5"/>
        <v>260</v>
      </c>
      <c r="K19" s="33">
        <f t="shared" si="0"/>
        <v>80</v>
      </c>
      <c r="L19" s="33">
        <f t="shared" si="1"/>
        <v>96</v>
      </c>
      <c r="M19" s="33">
        <f t="shared" si="2"/>
        <v>112</v>
      </c>
      <c r="N19" s="32">
        <f t="shared" si="3"/>
        <v>0</v>
      </c>
      <c r="O19" s="32" t="str">
        <f>VLOOKUP($A19,[1]Sheet2!$A:$N,6,0)</f>
        <v>Jesus Salinas</v>
      </c>
      <c r="P19" s="32">
        <f>VLOOKUP($A19,[1]Sheet2!$A:$N,13,0)/100</f>
        <v>260</v>
      </c>
      <c r="Q19" s="32">
        <f>VLOOKUP($A19,[1]Sheet2!$A:$N,14,0)/100</f>
        <v>260</v>
      </c>
      <c r="T19" s="31"/>
      <c r="U19" s="31"/>
      <c r="V19" s="31"/>
      <c r="W19" s="30">
        <f t="shared" si="4"/>
        <v>180</v>
      </c>
      <c r="X19" s="24">
        <f>P19*11%+W19</f>
        <v>208.6</v>
      </c>
    </row>
    <row r="20" spans="1:24" hidden="1" x14ac:dyDescent="0.3">
      <c r="A20" s="31" t="s">
        <v>831</v>
      </c>
      <c r="B20" t="s">
        <v>832</v>
      </c>
      <c r="C20" s="31">
        <v>165</v>
      </c>
      <c r="D20" t="s">
        <v>283</v>
      </c>
      <c r="E20" s="8">
        <v>3400</v>
      </c>
      <c r="F20" t="s">
        <v>623</v>
      </c>
      <c r="G20" s="29">
        <v>0.1</v>
      </c>
      <c r="H20" s="30">
        <v>340</v>
      </c>
      <c r="I20" s="29">
        <v>0.1</v>
      </c>
      <c r="J20" s="31">
        <f t="shared" si="5"/>
        <v>500</v>
      </c>
      <c r="K20" s="33">
        <f t="shared" si="0"/>
        <v>340</v>
      </c>
      <c r="L20" s="33">
        <f t="shared" si="1"/>
        <v>510</v>
      </c>
      <c r="M20" s="33">
        <f t="shared" si="2"/>
        <v>680</v>
      </c>
      <c r="N20" s="32">
        <f t="shared" si="3"/>
        <v>0</v>
      </c>
      <c r="O20" s="32" t="str">
        <f>VLOOKUP($A20,[1]Sheet2!$A:$N,6,0)</f>
        <v>ashley ackman</v>
      </c>
      <c r="P20" s="32">
        <f>VLOOKUP($A20,[1]Sheet2!$A:$N,13,0)/100</f>
        <v>500</v>
      </c>
      <c r="Q20" s="32">
        <f>VLOOKUP($A20,[1]Sheet2!$A:$N,14,0)/100</f>
        <v>500</v>
      </c>
      <c r="T20" s="31"/>
      <c r="U20" s="31"/>
      <c r="V20" s="31"/>
      <c r="W20" s="30">
        <f t="shared" si="4"/>
        <v>160</v>
      </c>
      <c r="X20" s="24">
        <f>P20*11%+W20</f>
        <v>215</v>
      </c>
    </row>
    <row r="21" spans="1:24" x14ac:dyDescent="0.3">
      <c r="A21" s="31" t="s">
        <v>525</v>
      </c>
      <c r="B21" t="s">
        <v>813</v>
      </c>
      <c r="C21" s="31">
        <v>154</v>
      </c>
      <c r="D21" t="s">
        <v>283</v>
      </c>
      <c r="E21" s="19">
        <v>898</v>
      </c>
      <c r="F21" s="21" t="s">
        <v>628</v>
      </c>
      <c r="G21" s="20">
        <v>0.1</v>
      </c>
      <c r="H21" s="48">
        <v>89.800000000000011</v>
      </c>
      <c r="I21" s="29">
        <v>0.1</v>
      </c>
      <c r="J21" s="31">
        <f t="shared" si="5"/>
        <v>105</v>
      </c>
      <c r="K21" s="33">
        <f t="shared" si="0"/>
        <v>89.800000000000011</v>
      </c>
      <c r="L21" s="33">
        <f t="shared" si="1"/>
        <v>134.70000000000002</v>
      </c>
      <c r="M21" s="33">
        <f t="shared" si="2"/>
        <v>179.60000000000002</v>
      </c>
      <c r="N21" s="32">
        <f t="shared" si="3"/>
        <v>0</v>
      </c>
      <c r="O21" s="45" t="str">
        <f>VLOOKUP($A21,[1]Sheet2!$A:$N,6,0)</f>
        <v>Sanzhar Houston</v>
      </c>
      <c r="P21" s="32">
        <f>VLOOKUP($A21,[1]Sheet2!$A:$N,13,0)/100</f>
        <v>105</v>
      </c>
      <c r="Q21" s="32">
        <f>VLOOKUP($A21,[1]Sheet2!$A:$N,14,0)/100</f>
        <v>115</v>
      </c>
      <c r="T21" s="31"/>
      <c r="U21" s="31"/>
      <c r="V21" s="31"/>
      <c r="W21" s="30">
        <f t="shared" si="4"/>
        <v>15.199999999999989</v>
      </c>
    </row>
    <row r="22" spans="1:24" x14ac:dyDescent="0.3">
      <c r="A22" s="31" t="s">
        <v>828</v>
      </c>
      <c r="B22" t="s">
        <v>829</v>
      </c>
      <c r="C22" s="31">
        <v>163</v>
      </c>
      <c r="D22" t="s">
        <v>283</v>
      </c>
      <c r="E22" s="19">
        <v>7800</v>
      </c>
      <c r="F22" s="21" t="s">
        <v>624</v>
      </c>
      <c r="G22" s="20">
        <v>0.1</v>
      </c>
      <c r="H22" s="48">
        <v>780</v>
      </c>
      <c r="I22" s="29">
        <v>0.1</v>
      </c>
      <c r="J22" s="31">
        <f t="shared" si="5"/>
        <v>790</v>
      </c>
      <c r="K22" s="33">
        <f t="shared" si="0"/>
        <v>780</v>
      </c>
      <c r="L22" s="33">
        <f t="shared" si="1"/>
        <v>1170</v>
      </c>
      <c r="M22" s="33">
        <f t="shared" si="2"/>
        <v>1560</v>
      </c>
      <c r="N22" s="32">
        <f t="shared" si="3"/>
        <v>0</v>
      </c>
      <c r="O22" s="45" t="str">
        <f>VLOOKUP($A22,[1]Sheet2!$A:$N,6,0)</f>
        <v>Kuralay Kateryne</v>
      </c>
      <c r="P22" s="32">
        <f>VLOOKUP($A22,[1]Sheet2!$A:$N,13,0)/100</f>
        <v>790</v>
      </c>
      <c r="Q22" s="32">
        <f>VLOOKUP($A22,[1]Sheet2!$A:$N,14,0)/100</f>
        <v>1600</v>
      </c>
      <c r="T22" s="31"/>
      <c r="U22" s="31"/>
      <c r="V22" s="31"/>
      <c r="W22" s="30">
        <f t="shared" si="4"/>
        <v>10</v>
      </c>
    </row>
    <row r="23" spans="1:24" x14ac:dyDescent="0.3">
      <c r="A23" s="31" t="s">
        <v>430</v>
      </c>
      <c r="B23" t="s">
        <v>415</v>
      </c>
      <c r="C23" s="31">
        <v>104</v>
      </c>
      <c r="D23" t="s">
        <v>283</v>
      </c>
      <c r="E23" s="19">
        <v>2098</v>
      </c>
      <c r="F23" s="21" t="s">
        <v>625</v>
      </c>
      <c r="G23" s="20">
        <v>0.1</v>
      </c>
      <c r="H23" s="48">
        <v>209.8</v>
      </c>
      <c r="I23" s="29">
        <v>0.1</v>
      </c>
      <c r="J23" s="31">
        <f t="shared" si="5"/>
        <v>215</v>
      </c>
      <c r="K23" s="33">
        <f t="shared" si="0"/>
        <v>209.8</v>
      </c>
      <c r="L23" s="33">
        <f t="shared" si="1"/>
        <v>314.70000000000005</v>
      </c>
      <c r="M23" s="33">
        <f t="shared" si="2"/>
        <v>419.6</v>
      </c>
      <c r="N23" s="32">
        <f t="shared" si="3"/>
        <v>0</v>
      </c>
      <c r="O23" s="45" t="str">
        <f>VLOOKUP($A23,[1]Sheet2!$A:$N,6,0)</f>
        <v>Sanzhar Houston</v>
      </c>
      <c r="P23" s="32">
        <f>VLOOKUP($A23,[1]Sheet2!$A:$N,13,0)/100</f>
        <v>215</v>
      </c>
      <c r="Q23" s="32">
        <f>VLOOKUP($A23,[1]Sheet2!$A:$N,14,0)/100</f>
        <v>220</v>
      </c>
      <c r="T23" s="31"/>
      <c r="U23" s="31"/>
      <c r="V23" s="31"/>
      <c r="W23" s="30">
        <f t="shared" si="4"/>
        <v>5.1999999999999886</v>
      </c>
    </row>
    <row r="24" spans="1:24" hidden="1" x14ac:dyDescent="0.3">
      <c r="A24" s="31" t="s">
        <v>269</v>
      </c>
      <c r="B24" t="s">
        <v>901</v>
      </c>
      <c r="C24" s="31">
        <v>7</v>
      </c>
      <c r="D24" t="s">
        <v>283</v>
      </c>
      <c r="E24" s="8">
        <v>453</v>
      </c>
      <c r="F24" t="s">
        <v>624</v>
      </c>
      <c r="G24" s="29">
        <v>0.1</v>
      </c>
      <c r="H24" s="30">
        <v>45.300000000000004</v>
      </c>
      <c r="I24" s="29">
        <v>0.1</v>
      </c>
      <c r="J24" s="31">
        <f t="shared" si="5"/>
        <v>200</v>
      </c>
      <c r="K24" s="33">
        <f t="shared" si="0"/>
        <v>45.300000000000004</v>
      </c>
      <c r="L24" s="33">
        <f t="shared" si="1"/>
        <v>67.95</v>
      </c>
      <c r="M24" s="33">
        <f t="shared" si="2"/>
        <v>90.600000000000009</v>
      </c>
      <c r="N24" s="32">
        <f t="shared" si="3"/>
        <v>0</v>
      </c>
      <c r="O24" s="32" t="str">
        <f>VLOOKUP($A24,[1]Sheet2!$A:$N,6,0)</f>
        <v>Ismael Delossantos</v>
      </c>
      <c r="P24" s="32">
        <f>VLOOKUP($A24,[1]Sheet2!$A:$N,13,0)/100</f>
        <v>200</v>
      </c>
      <c r="Q24" s="32">
        <f>VLOOKUP($A24,[1]Sheet2!$A:$N,14,0)/100</f>
        <v>200</v>
      </c>
      <c r="T24" s="31"/>
      <c r="U24" s="31"/>
      <c r="V24" s="31"/>
      <c r="W24" s="30">
        <f t="shared" si="4"/>
        <v>154.69999999999999</v>
      </c>
      <c r="X24" s="24">
        <f>P24*11%+W24</f>
        <v>176.7</v>
      </c>
    </row>
    <row r="25" spans="1:24" hidden="1" x14ac:dyDescent="0.3">
      <c r="A25" s="36" t="s">
        <v>833</v>
      </c>
      <c r="B25" t="s">
        <v>834</v>
      </c>
      <c r="C25" s="31">
        <v>166</v>
      </c>
      <c r="D25" t="s">
        <v>283</v>
      </c>
      <c r="E25" s="8">
        <v>2999</v>
      </c>
      <c r="F25" t="s">
        <v>631</v>
      </c>
      <c r="G25" s="29">
        <v>0.1</v>
      </c>
      <c r="H25" s="30">
        <v>299.90000000000003</v>
      </c>
      <c r="I25" s="29">
        <v>0.02</v>
      </c>
      <c r="J25" s="31">
        <f t="shared" si="5"/>
        <v>450</v>
      </c>
      <c r="K25" s="33">
        <f t="shared" si="0"/>
        <v>299.90000000000003</v>
      </c>
      <c r="L25" s="33">
        <f t="shared" si="1"/>
        <v>329.89000000000004</v>
      </c>
      <c r="M25" s="33">
        <f t="shared" si="2"/>
        <v>359.88000000000005</v>
      </c>
      <c r="N25" s="32">
        <f t="shared" si="3"/>
        <v>0</v>
      </c>
      <c r="O25" s="32" t="str">
        <f>VLOOKUP($A25,[1]Sheet2!$A:$N,6,0)</f>
        <v>Luis Flores</v>
      </c>
      <c r="P25" s="32">
        <f>VLOOKUP($A25,[1]Sheet2!$A:$N,13,0)/100</f>
        <v>450</v>
      </c>
      <c r="Q25" s="32">
        <f>VLOOKUP($A25,[1]Sheet2!$A:$N,14,0)/100</f>
        <v>450</v>
      </c>
      <c r="T25" s="31"/>
      <c r="U25" s="31"/>
      <c r="V25" s="31"/>
      <c r="W25" s="30">
        <f t="shared" si="4"/>
        <v>150.09999999999997</v>
      </c>
      <c r="X25" s="24">
        <f>P25*11%+W25</f>
        <v>199.59999999999997</v>
      </c>
    </row>
    <row r="26" spans="1:24" x14ac:dyDescent="0.3">
      <c r="A26" s="31" t="s">
        <v>926</v>
      </c>
      <c r="B26" t="s">
        <v>433</v>
      </c>
      <c r="C26" s="31">
        <v>59</v>
      </c>
      <c r="D26" t="s">
        <v>283</v>
      </c>
      <c r="E26" s="19">
        <v>1779</v>
      </c>
      <c r="F26" s="21" t="s">
        <v>625</v>
      </c>
      <c r="G26" s="20">
        <v>0.1</v>
      </c>
      <c r="H26" s="48">
        <v>177.9</v>
      </c>
      <c r="I26" s="29">
        <v>0.1</v>
      </c>
      <c r="J26" s="31">
        <f t="shared" si="5"/>
        <v>180</v>
      </c>
      <c r="K26" s="33">
        <f t="shared" si="0"/>
        <v>177.9</v>
      </c>
      <c r="L26" s="33">
        <f t="shared" si="1"/>
        <v>266.85000000000002</v>
      </c>
      <c r="M26" s="33">
        <f t="shared" si="2"/>
        <v>355.8</v>
      </c>
      <c r="N26" s="32">
        <f t="shared" si="3"/>
        <v>1</v>
      </c>
      <c r="O26" s="45" t="str">
        <f>VLOOKUP($A26,[1]Sheet2!$A:$N,6,0)</f>
        <v>Sanzhar Houston</v>
      </c>
      <c r="P26" s="32">
        <f>VLOOKUP($A26,[1]Sheet2!$A:$N,13,0)/100</f>
        <v>180</v>
      </c>
      <c r="Q26" s="32">
        <f>VLOOKUP($A26,[1]Sheet2!$A:$N,14,0)/100</f>
        <v>180</v>
      </c>
      <c r="T26" s="31"/>
      <c r="U26" s="31">
        <v>70</v>
      </c>
      <c r="V26" s="31">
        <v>147</v>
      </c>
      <c r="W26" s="30">
        <f t="shared" si="4"/>
        <v>2.0999999999999943</v>
      </c>
    </row>
    <row r="27" spans="1:24" x14ac:dyDescent="0.3">
      <c r="A27" s="31" t="s">
        <v>391</v>
      </c>
      <c r="B27" t="s">
        <v>842</v>
      </c>
      <c r="C27" s="31">
        <v>172</v>
      </c>
      <c r="D27" t="s">
        <v>283</v>
      </c>
      <c r="E27" s="19">
        <v>360</v>
      </c>
      <c r="F27" s="21" t="s">
        <v>625</v>
      </c>
      <c r="G27" s="20">
        <v>0.1</v>
      </c>
      <c r="H27" s="48">
        <v>36</v>
      </c>
      <c r="I27" s="29">
        <v>0.1</v>
      </c>
      <c r="J27" s="31">
        <f t="shared" si="5"/>
        <v>37</v>
      </c>
      <c r="K27" s="33">
        <f t="shared" si="0"/>
        <v>36</v>
      </c>
      <c r="L27" s="33">
        <f t="shared" si="1"/>
        <v>54</v>
      </c>
      <c r="M27" s="33">
        <f t="shared" si="2"/>
        <v>72</v>
      </c>
      <c r="N27" s="32">
        <f t="shared" si="3"/>
        <v>0</v>
      </c>
      <c r="O27" s="45" t="str">
        <f>VLOOKUP($A27,[1]Sheet2!$A:$N,6,0)</f>
        <v>Almata Atastana</v>
      </c>
      <c r="P27" s="32">
        <f>VLOOKUP($A27,[1]Sheet2!$A:$N,13,0)/100</f>
        <v>37</v>
      </c>
      <c r="Q27" s="32">
        <f>VLOOKUP($A27,[1]Sheet2!$A:$N,14,0)/100</f>
        <v>40</v>
      </c>
      <c r="T27" s="31"/>
      <c r="U27" s="31"/>
      <c r="V27" s="31"/>
      <c r="W27" s="30">
        <f t="shared" si="4"/>
        <v>1</v>
      </c>
    </row>
    <row r="28" spans="1:24" x14ac:dyDescent="0.3">
      <c r="A28" s="31" t="s">
        <v>795</v>
      </c>
      <c r="B28" t="s">
        <v>796</v>
      </c>
      <c r="C28" s="31">
        <v>143</v>
      </c>
      <c r="D28" t="s">
        <v>283</v>
      </c>
      <c r="E28" s="19">
        <v>648</v>
      </c>
      <c r="F28" s="21" t="s">
        <v>624</v>
      </c>
      <c r="G28" s="20">
        <v>0.1</v>
      </c>
      <c r="H28" s="48">
        <v>64.8</v>
      </c>
      <c r="I28" s="29">
        <v>0.1</v>
      </c>
      <c r="J28" s="31">
        <f t="shared" si="5"/>
        <v>65</v>
      </c>
      <c r="K28" s="33">
        <f t="shared" si="0"/>
        <v>64.8</v>
      </c>
      <c r="L28" s="33">
        <f t="shared" si="1"/>
        <v>97.199999999999989</v>
      </c>
      <c r="M28" s="33">
        <f t="shared" si="2"/>
        <v>129.6</v>
      </c>
      <c r="N28" s="32">
        <f t="shared" si="3"/>
        <v>0</v>
      </c>
      <c r="O28" s="45" t="str">
        <f>VLOOKUP($A28,[1]Sheet2!$A:$N,6,0)</f>
        <v>Kuralay Kateryne</v>
      </c>
      <c r="P28" s="32">
        <f>VLOOKUP($A28,[1]Sheet2!$A:$N,13,0)/100</f>
        <v>65</v>
      </c>
      <c r="Q28" s="32">
        <f>VLOOKUP($A28,[1]Sheet2!$A:$N,14,0)/100</f>
        <v>65</v>
      </c>
      <c r="T28" s="31"/>
      <c r="U28" s="31"/>
      <c r="V28" s="31"/>
      <c r="W28" s="30">
        <f t="shared" si="4"/>
        <v>0.20000000000000284</v>
      </c>
    </row>
    <row r="29" spans="1:24" hidden="1" x14ac:dyDescent="0.3">
      <c r="A29" s="31" t="s">
        <v>777</v>
      </c>
      <c r="B29" t="s">
        <v>778</v>
      </c>
      <c r="C29" s="31">
        <v>131</v>
      </c>
      <c r="D29" t="s">
        <v>283</v>
      </c>
      <c r="E29" s="8">
        <v>900</v>
      </c>
      <c r="F29" t="s">
        <v>628</v>
      </c>
      <c r="G29" s="29">
        <v>0.1</v>
      </c>
      <c r="H29" s="30">
        <v>90</v>
      </c>
      <c r="I29" s="29">
        <v>0.1</v>
      </c>
      <c r="J29" s="31">
        <f t="shared" si="5"/>
        <v>205</v>
      </c>
      <c r="K29" s="33">
        <f t="shared" si="0"/>
        <v>90</v>
      </c>
      <c r="L29" s="33">
        <f t="shared" si="1"/>
        <v>135</v>
      </c>
      <c r="M29" s="33">
        <f t="shared" si="2"/>
        <v>180</v>
      </c>
      <c r="N29" s="32">
        <f t="shared" si="3"/>
        <v>0</v>
      </c>
      <c r="O29" s="32" t="str">
        <f>VLOOKUP($A29,[1]Sheet2!$A:$N,6,0)</f>
        <v>Sinisa Budimir</v>
      </c>
      <c r="P29" s="32">
        <f>VLOOKUP($A29,[1]Sheet2!$A:$N,13,0)/100</f>
        <v>205</v>
      </c>
      <c r="Q29" s="32">
        <f>VLOOKUP($A29,[1]Sheet2!$A:$N,14,0)/100</f>
        <v>205</v>
      </c>
      <c r="T29" s="31"/>
      <c r="U29" s="31"/>
      <c r="V29" s="31"/>
      <c r="W29" s="30">
        <f t="shared" si="4"/>
        <v>115</v>
      </c>
      <c r="X29" s="24">
        <f>P29*11%+W29</f>
        <v>137.55000000000001</v>
      </c>
    </row>
    <row r="30" spans="1:24" x14ac:dyDescent="0.3">
      <c r="A30" s="31">
        <v>6</v>
      </c>
      <c r="B30" t="s">
        <v>719</v>
      </c>
      <c r="C30" s="31">
        <v>8</v>
      </c>
      <c r="D30" t="s">
        <v>400</v>
      </c>
      <c r="E30" s="19">
        <v>30</v>
      </c>
      <c r="F30" s="21" t="s">
        <v>624</v>
      </c>
      <c r="G30" s="20">
        <v>0.2</v>
      </c>
      <c r="H30" s="48">
        <v>6</v>
      </c>
      <c r="I30" s="29">
        <v>0.1</v>
      </c>
      <c r="J30" s="31">
        <f t="shared" si="5"/>
        <v>0</v>
      </c>
      <c r="K30" s="33">
        <f t="shared" si="0"/>
        <v>6</v>
      </c>
      <c r="L30" s="33">
        <f t="shared" si="1"/>
        <v>7.5</v>
      </c>
      <c r="M30" s="33">
        <f t="shared" si="2"/>
        <v>9</v>
      </c>
      <c r="N30" s="32">
        <f t="shared" si="3"/>
        <v>1</v>
      </c>
      <c r="O30" s="45" t="str">
        <f>VLOOKUP($A30,[1]Sheet2!$A:$N,6,0)</f>
        <v>Kuralay Kateryne</v>
      </c>
      <c r="P30" s="32">
        <f>VLOOKUP($A30,[1]Sheet2!$A:$N,13,0)/100</f>
        <v>5.25</v>
      </c>
      <c r="Q30" s="32">
        <f>VLOOKUP($A30,[1]Sheet2!$A:$N,14,0)/100</f>
        <v>5.25</v>
      </c>
      <c r="R30" s="31">
        <v>0</v>
      </c>
      <c r="S30" s="31">
        <v>5</v>
      </c>
      <c r="T30" s="31"/>
      <c r="U30" s="31">
        <v>0</v>
      </c>
      <c r="V30" s="31"/>
      <c r="W30" s="30">
        <f t="shared" si="4"/>
        <v>-0.75</v>
      </c>
    </row>
    <row r="31" spans="1:24" hidden="1" x14ac:dyDescent="0.3">
      <c r="A31" s="31" t="s">
        <v>803</v>
      </c>
      <c r="B31" t="s">
        <v>804</v>
      </c>
      <c r="C31" s="31">
        <v>148</v>
      </c>
      <c r="D31" t="s">
        <v>283</v>
      </c>
      <c r="E31" s="8">
        <v>898</v>
      </c>
      <c r="F31" t="s">
        <v>629</v>
      </c>
      <c r="G31" s="29">
        <v>0.1</v>
      </c>
      <c r="H31" s="30">
        <v>89.800000000000011</v>
      </c>
      <c r="I31" s="29">
        <v>0.1</v>
      </c>
      <c r="J31" s="31">
        <f t="shared" si="5"/>
        <v>200</v>
      </c>
      <c r="K31" s="33">
        <f t="shared" si="0"/>
        <v>89.800000000000011</v>
      </c>
      <c r="L31" s="33">
        <f t="shared" si="1"/>
        <v>134.70000000000002</v>
      </c>
      <c r="M31" s="33">
        <f t="shared" si="2"/>
        <v>179.60000000000002</v>
      </c>
      <c r="N31" s="32">
        <f t="shared" si="3"/>
        <v>0</v>
      </c>
      <c r="O31" s="32" t="str">
        <f>VLOOKUP($A31,[1]Sheet2!$A:$N,6,0)</f>
        <v>Marie Williams</v>
      </c>
      <c r="P31" s="32">
        <f>VLOOKUP($A31,[1]Sheet2!$A:$N,13,0)/100</f>
        <v>200</v>
      </c>
      <c r="Q31" s="32">
        <f>VLOOKUP($A31,[1]Sheet2!$A:$N,14,0)/100</f>
        <v>200</v>
      </c>
      <c r="T31" s="31"/>
      <c r="U31" s="31"/>
      <c r="V31" s="31"/>
      <c r="W31" s="30">
        <f t="shared" si="4"/>
        <v>110.19999999999999</v>
      </c>
      <c r="X31" s="24">
        <f>P31*11%+W31</f>
        <v>132.19999999999999</v>
      </c>
    </row>
    <row r="32" spans="1:24" x14ac:dyDescent="0.3">
      <c r="A32" s="36" t="s">
        <v>896</v>
      </c>
      <c r="B32" t="s">
        <v>897</v>
      </c>
      <c r="C32" s="31">
        <v>203</v>
      </c>
      <c r="D32" t="s">
        <v>283</v>
      </c>
      <c r="E32" s="19">
        <v>299</v>
      </c>
      <c r="F32" s="21" t="s">
        <v>631</v>
      </c>
      <c r="G32" s="20">
        <v>0.1</v>
      </c>
      <c r="H32" s="48">
        <v>29.900000000000002</v>
      </c>
      <c r="I32" s="29">
        <v>0.02</v>
      </c>
      <c r="J32" s="31">
        <f t="shared" si="5"/>
        <v>0</v>
      </c>
      <c r="K32" s="33">
        <f t="shared" si="0"/>
        <v>29.900000000000002</v>
      </c>
      <c r="L32" s="33">
        <f t="shared" si="1"/>
        <v>32.89</v>
      </c>
      <c r="M32" s="33">
        <f t="shared" si="2"/>
        <v>35.880000000000003</v>
      </c>
      <c r="N32" s="32">
        <f t="shared" si="3"/>
        <v>0</v>
      </c>
      <c r="O32" s="45" t="str">
        <f>VLOOKUP($A32,[1]Sheet2!$A:$N,6,0)</f>
        <v>Almata Atastana</v>
      </c>
      <c r="P32" s="32">
        <f>VLOOKUP($A32,[1]Sheet2!$A:$N,13,0)/100</f>
        <v>29</v>
      </c>
      <c r="Q32" s="32">
        <f>VLOOKUP($A32,[1]Sheet2!$A:$N,14,0)/100</f>
        <v>30</v>
      </c>
      <c r="T32" s="31"/>
      <c r="U32" s="31"/>
      <c r="V32" s="31"/>
      <c r="W32" s="30">
        <f t="shared" si="4"/>
        <v>-0.90000000000000213</v>
      </c>
    </row>
    <row r="33" spans="1:24" hidden="1" x14ac:dyDescent="0.3">
      <c r="A33" s="31" t="s">
        <v>938</v>
      </c>
      <c r="B33" t="s">
        <v>411</v>
      </c>
      <c r="C33" s="31">
        <v>95</v>
      </c>
      <c r="D33" t="s">
        <v>283</v>
      </c>
      <c r="E33" s="8">
        <v>2099</v>
      </c>
      <c r="F33" t="s">
        <v>625</v>
      </c>
      <c r="G33" s="29">
        <v>0.1</v>
      </c>
      <c r="H33" s="30">
        <v>209.9</v>
      </c>
      <c r="I33" s="29">
        <v>0.1</v>
      </c>
      <c r="J33" s="31">
        <f t="shared" si="5"/>
        <v>315</v>
      </c>
      <c r="K33" s="33">
        <f t="shared" si="0"/>
        <v>209.9</v>
      </c>
      <c r="L33" s="33">
        <f t="shared" si="1"/>
        <v>314.85000000000002</v>
      </c>
      <c r="M33" s="33">
        <f t="shared" si="2"/>
        <v>419.8</v>
      </c>
      <c r="N33" s="32">
        <f t="shared" si="3"/>
        <v>1</v>
      </c>
      <c r="O33" s="32" t="str">
        <f>VLOOKUP($A33,[1]Sheet2!$A:$N,6,0)</f>
        <v>Delroy Worrell jr</v>
      </c>
      <c r="P33" s="32">
        <f>VLOOKUP($A33,[1]Sheet2!$A:$N,13,0)/100</f>
        <v>315</v>
      </c>
      <c r="Q33" s="32">
        <f>VLOOKUP($A33,[1]Sheet2!$A:$N,14,0)/100</f>
        <v>315</v>
      </c>
      <c r="T33" s="31"/>
      <c r="U33" s="31"/>
      <c r="V33" s="31">
        <v>338.33</v>
      </c>
      <c r="W33" s="30">
        <f t="shared" si="4"/>
        <v>105.1</v>
      </c>
      <c r="X33" s="24">
        <f>P33*11%+W33</f>
        <v>139.75</v>
      </c>
    </row>
    <row r="34" spans="1:24" hidden="1" x14ac:dyDescent="0.3">
      <c r="A34" s="31" t="s">
        <v>780</v>
      </c>
      <c r="B34" t="s">
        <v>781</v>
      </c>
      <c r="C34" s="31">
        <v>133</v>
      </c>
      <c r="D34" t="s">
        <v>283</v>
      </c>
      <c r="E34" s="8">
        <v>1400</v>
      </c>
      <c r="F34" t="s">
        <v>629</v>
      </c>
      <c r="G34" s="29">
        <v>0.1</v>
      </c>
      <c r="H34" s="30">
        <v>140</v>
      </c>
      <c r="I34" s="29">
        <v>0.1</v>
      </c>
      <c r="J34" s="31">
        <f t="shared" si="5"/>
        <v>245</v>
      </c>
      <c r="K34" s="33">
        <f t="shared" si="0"/>
        <v>140</v>
      </c>
      <c r="L34" s="33">
        <f t="shared" si="1"/>
        <v>210</v>
      </c>
      <c r="M34" s="33">
        <f t="shared" si="2"/>
        <v>280</v>
      </c>
      <c r="N34" s="32">
        <f t="shared" si="3"/>
        <v>0</v>
      </c>
      <c r="O34" s="32" t="str">
        <f>VLOOKUP($A34,[1]Sheet2!$A:$N,6,0)</f>
        <v>Virginia Sallot</v>
      </c>
      <c r="P34" s="32">
        <f>VLOOKUP($A34,[1]Sheet2!$A:$N,13,0)/100</f>
        <v>245</v>
      </c>
      <c r="Q34" s="32">
        <f>VLOOKUP($A34,[1]Sheet2!$A:$N,14,0)/100</f>
        <v>245</v>
      </c>
      <c r="T34" s="31"/>
      <c r="U34" s="31"/>
      <c r="V34" s="31"/>
      <c r="W34" s="30">
        <f t="shared" si="4"/>
        <v>105</v>
      </c>
      <c r="X34" s="24">
        <f>P34*11%+W34</f>
        <v>131.94999999999999</v>
      </c>
    </row>
    <row r="35" spans="1:24" hidden="1" x14ac:dyDescent="0.3">
      <c r="A35" s="31" t="s">
        <v>286</v>
      </c>
      <c r="B35" t="s">
        <v>912</v>
      </c>
      <c r="C35" s="31">
        <v>27</v>
      </c>
      <c r="D35" t="s">
        <v>283</v>
      </c>
      <c r="E35" s="8">
        <v>2199</v>
      </c>
      <c r="F35" t="s">
        <v>627</v>
      </c>
      <c r="G35" s="29">
        <v>0.1</v>
      </c>
      <c r="H35" s="30">
        <v>219.9</v>
      </c>
      <c r="I35" s="29">
        <v>0.06</v>
      </c>
      <c r="J35" s="31">
        <f t="shared" si="5"/>
        <v>320</v>
      </c>
      <c r="K35" s="33">
        <f t="shared" si="0"/>
        <v>219.9</v>
      </c>
      <c r="L35" s="33">
        <f t="shared" si="1"/>
        <v>285.87</v>
      </c>
      <c r="M35" s="33">
        <f t="shared" si="2"/>
        <v>351.84000000000003</v>
      </c>
      <c r="N35" s="32">
        <f t="shared" si="3"/>
        <v>0</v>
      </c>
      <c r="O35" s="32" t="str">
        <f>VLOOKUP($A35,[1]Sheet2!$A:$N,6,0)</f>
        <v>stephen sykes</v>
      </c>
      <c r="P35" s="32">
        <f>VLOOKUP($A35,[1]Sheet2!$A:$N,13,0)/100</f>
        <v>320</v>
      </c>
      <c r="Q35" s="32">
        <f>VLOOKUP($A35,[1]Sheet2!$A:$N,14,0)/100</f>
        <v>320</v>
      </c>
      <c r="T35" s="31"/>
      <c r="U35" s="31"/>
      <c r="V35" s="31"/>
      <c r="W35" s="30">
        <f t="shared" si="4"/>
        <v>100.1</v>
      </c>
      <c r="X35" s="24">
        <f>P35*11%+W35</f>
        <v>135.30000000000001</v>
      </c>
    </row>
    <row r="36" spans="1:24" x14ac:dyDescent="0.3">
      <c r="A36" s="31" t="s">
        <v>863</v>
      </c>
      <c r="B36" t="s">
        <v>864</v>
      </c>
      <c r="C36" s="31">
        <v>185</v>
      </c>
      <c r="D36" t="s">
        <v>283</v>
      </c>
      <c r="E36" s="19">
        <v>260</v>
      </c>
      <c r="F36" s="21" t="s">
        <v>624</v>
      </c>
      <c r="G36" s="20">
        <v>0.1</v>
      </c>
      <c r="H36" s="48">
        <v>26</v>
      </c>
      <c r="I36" s="29">
        <v>0.1</v>
      </c>
      <c r="J36" s="31">
        <f t="shared" si="5"/>
        <v>0</v>
      </c>
      <c r="K36" s="33">
        <f t="shared" si="0"/>
        <v>26</v>
      </c>
      <c r="L36" s="33">
        <f t="shared" si="1"/>
        <v>39</v>
      </c>
      <c r="M36" s="33">
        <f t="shared" si="2"/>
        <v>52</v>
      </c>
      <c r="N36" s="32">
        <f t="shared" si="3"/>
        <v>0</v>
      </c>
      <c r="O36" s="45" t="str">
        <f>VLOOKUP($A36,[1]Sheet2!$A:$N,6,0)</f>
        <v>Almata Atastana</v>
      </c>
      <c r="P36" s="32">
        <f>VLOOKUP($A36,[1]Sheet2!$A:$N,13,0)/100</f>
        <v>25</v>
      </c>
      <c r="Q36" s="32">
        <f>VLOOKUP($A36,[1]Sheet2!$A:$N,14,0)/100</f>
        <v>25</v>
      </c>
      <c r="T36" s="31"/>
      <c r="U36" s="31"/>
      <c r="V36" s="31"/>
      <c r="W36" s="30">
        <f t="shared" si="4"/>
        <v>-1</v>
      </c>
    </row>
    <row r="37" spans="1:24" hidden="1" x14ac:dyDescent="0.3">
      <c r="A37" s="31" t="s">
        <v>840</v>
      </c>
      <c r="B37" t="s">
        <v>841</v>
      </c>
      <c r="C37" s="31">
        <v>171</v>
      </c>
      <c r="D37" t="s">
        <v>283</v>
      </c>
      <c r="E37" s="8">
        <v>599</v>
      </c>
      <c r="F37" t="s">
        <v>623</v>
      </c>
      <c r="G37" s="29">
        <v>0.1</v>
      </c>
      <c r="H37" s="30">
        <v>59.900000000000006</v>
      </c>
      <c r="I37" s="29">
        <v>0.1</v>
      </c>
      <c r="J37" s="31">
        <f t="shared" si="5"/>
        <v>160</v>
      </c>
      <c r="K37" s="33">
        <f t="shared" si="0"/>
        <v>59.900000000000006</v>
      </c>
      <c r="L37" s="33">
        <f t="shared" si="1"/>
        <v>89.850000000000009</v>
      </c>
      <c r="M37" s="33">
        <f t="shared" si="2"/>
        <v>119.80000000000001</v>
      </c>
      <c r="N37" s="32">
        <f t="shared" si="3"/>
        <v>0</v>
      </c>
      <c r="O37" s="32" t="str">
        <f>VLOOKUP($A37,[1]Sheet2!$A:$N,6,0)</f>
        <v>Michelle Rubio</v>
      </c>
      <c r="P37" s="32">
        <f>VLOOKUP($A37,[1]Sheet2!$A:$N,13,0)/100</f>
        <v>160</v>
      </c>
      <c r="Q37" s="32">
        <f>VLOOKUP($A37,[1]Sheet2!$A:$N,14,0)/100</f>
        <v>160</v>
      </c>
      <c r="T37" s="31"/>
      <c r="U37" s="31"/>
      <c r="V37" s="31"/>
      <c r="W37" s="30">
        <f t="shared" si="4"/>
        <v>100.1</v>
      </c>
      <c r="X37" s="24">
        <f>P37*11%+W37</f>
        <v>117.69999999999999</v>
      </c>
    </row>
    <row r="38" spans="1:24" hidden="1" x14ac:dyDescent="0.3">
      <c r="A38" s="36" t="s">
        <v>277</v>
      </c>
      <c r="B38" t="s">
        <v>907</v>
      </c>
      <c r="C38" s="31">
        <v>17</v>
      </c>
      <c r="D38" t="s">
        <v>283</v>
      </c>
      <c r="E38" s="8">
        <v>5599</v>
      </c>
      <c r="F38" t="s">
        <v>631</v>
      </c>
      <c r="G38" s="29">
        <v>0.1</v>
      </c>
      <c r="H38" s="30">
        <v>559.9</v>
      </c>
      <c r="I38" s="29">
        <v>0.02</v>
      </c>
      <c r="J38" s="31">
        <f t="shared" si="5"/>
        <v>655</v>
      </c>
      <c r="K38" s="33">
        <f t="shared" si="0"/>
        <v>559.9</v>
      </c>
      <c r="L38" s="33">
        <f t="shared" si="1"/>
        <v>615.89</v>
      </c>
      <c r="M38" s="33">
        <f t="shared" si="2"/>
        <v>671.88</v>
      </c>
      <c r="N38" s="32">
        <f t="shared" si="3"/>
        <v>0</v>
      </c>
      <c r="O38" s="32" t="str">
        <f>VLOOKUP($A38,[1]Sheet2!$A:$N,6,0)</f>
        <v>stephen sykes</v>
      </c>
      <c r="P38" s="32">
        <f>VLOOKUP($A38,[1]Sheet2!$A:$N,13,0)/100</f>
        <v>655</v>
      </c>
      <c r="Q38" s="32">
        <f>VLOOKUP($A38,[1]Sheet2!$A:$N,14,0)/100</f>
        <v>655</v>
      </c>
      <c r="T38" s="31"/>
      <c r="U38" s="31"/>
      <c r="V38" s="31"/>
      <c r="W38" s="30">
        <f t="shared" si="4"/>
        <v>95.100000000000023</v>
      </c>
      <c r="X38" s="24">
        <f>P38*11%+W38</f>
        <v>167.15000000000003</v>
      </c>
    </row>
    <row r="39" spans="1:24" x14ac:dyDescent="0.3">
      <c r="A39" s="36" t="s">
        <v>464</v>
      </c>
      <c r="B39" t="s">
        <v>923</v>
      </c>
      <c r="C39" s="31">
        <v>49</v>
      </c>
      <c r="D39" t="s">
        <v>283</v>
      </c>
      <c r="E39" s="19">
        <v>2198</v>
      </c>
      <c r="F39" s="21" t="s">
        <v>627</v>
      </c>
      <c r="G39" s="20">
        <v>0.1</v>
      </c>
      <c r="H39" s="48">
        <v>219.8</v>
      </c>
      <c r="I39">
        <v>0</v>
      </c>
      <c r="J39" s="31">
        <f t="shared" si="5"/>
        <v>0</v>
      </c>
      <c r="K39" s="33">
        <f t="shared" si="0"/>
        <v>219.8</v>
      </c>
      <c r="L39" s="33">
        <f t="shared" si="1"/>
        <v>219.8</v>
      </c>
      <c r="M39" s="33">
        <f t="shared" si="2"/>
        <v>219.8</v>
      </c>
      <c r="N39" s="32">
        <f t="shared" si="3"/>
        <v>0</v>
      </c>
      <c r="O39" s="45" t="str">
        <f>VLOOKUP($A39,[1]Sheet2!$A:$N,6,0)</f>
        <v>Yesset Karayev</v>
      </c>
      <c r="P39" s="32">
        <f>VLOOKUP($A39,[1]Sheet2!$A:$N,13,0)/100</f>
        <v>215</v>
      </c>
      <c r="Q39" s="32">
        <f>VLOOKUP($A39,[1]Sheet2!$A:$N,14,0)/100</f>
        <v>220</v>
      </c>
      <c r="T39" s="31"/>
      <c r="U39" s="31"/>
      <c r="V39" s="31"/>
      <c r="W39" s="30">
        <f t="shared" si="4"/>
        <v>-4.8000000000000114</v>
      </c>
    </row>
    <row r="40" spans="1:24" hidden="1" x14ac:dyDescent="0.3">
      <c r="A40" s="31" t="s">
        <v>346</v>
      </c>
      <c r="B40" t="s">
        <v>779</v>
      </c>
      <c r="C40" s="31">
        <v>132</v>
      </c>
      <c r="D40" t="s">
        <v>283</v>
      </c>
      <c r="E40" s="8">
        <v>900</v>
      </c>
      <c r="F40" t="s">
        <v>629</v>
      </c>
      <c r="G40" s="29">
        <v>0.1</v>
      </c>
      <c r="H40" s="30">
        <v>90</v>
      </c>
      <c r="I40" s="29">
        <v>0.1</v>
      </c>
      <c r="J40" s="31">
        <f t="shared" ref="J40:J71" si="6">IF(P40&gt;K40,P40,0)</f>
        <v>175</v>
      </c>
      <c r="K40" s="33">
        <f t="shared" si="0"/>
        <v>90</v>
      </c>
      <c r="L40" s="33">
        <f t="shared" si="1"/>
        <v>135</v>
      </c>
      <c r="M40" s="33">
        <f t="shared" si="2"/>
        <v>180</v>
      </c>
      <c r="N40" s="32">
        <f t="shared" si="3"/>
        <v>0</v>
      </c>
      <c r="O40" s="32" t="str">
        <f>VLOOKUP($A40,[1]Sheet2!$A:$N,6,0)</f>
        <v>Christopher Hernandez</v>
      </c>
      <c r="P40" s="32">
        <f>VLOOKUP($A40,[1]Sheet2!$A:$N,13,0)/100</f>
        <v>175</v>
      </c>
      <c r="Q40" s="32">
        <f>VLOOKUP($A40,[1]Sheet2!$A:$N,14,0)/100</f>
        <v>175</v>
      </c>
      <c r="T40" s="31"/>
      <c r="U40" s="31"/>
      <c r="V40" s="31"/>
      <c r="W40" s="30">
        <f t="shared" si="4"/>
        <v>85</v>
      </c>
      <c r="X40" s="24">
        <f>P40*11%+W40</f>
        <v>104.25</v>
      </c>
    </row>
    <row r="41" spans="1:24" x14ac:dyDescent="0.3">
      <c r="A41" s="31" t="s">
        <v>890</v>
      </c>
      <c r="B41" t="s">
        <v>891</v>
      </c>
      <c r="C41" s="31">
        <v>200</v>
      </c>
      <c r="D41" t="s">
        <v>283</v>
      </c>
      <c r="E41" s="19">
        <v>339</v>
      </c>
      <c r="F41" s="21" t="s">
        <v>623</v>
      </c>
      <c r="G41" s="20">
        <v>0.1</v>
      </c>
      <c r="H41" s="48">
        <v>33.9</v>
      </c>
      <c r="I41" s="29">
        <v>0.1</v>
      </c>
      <c r="J41" s="31">
        <f t="shared" si="6"/>
        <v>0</v>
      </c>
      <c r="K41" s="33">
        <f t="shared" si="0"/>
        <v>33.9</v>
      </c>
      <c r="L41" s="33">
        <f t="shared" si="1"/>
        <v>50.849999999999994</v>
      </c>
      <c r="M41" s="33">
        <f t="shared" si="2"/>
        <v>67.8</v>
      </c>
      <c r="N41" s="32">
        <f t="shared" si="3"/>
        <v>0</v>
      </c>
      <c r="O41" s="45" t="str">
        <f>VLOOKUP($A41,[1]Sheet2!$A:$N,6,0)</f>
        <v>Almata Atastana</v>
      </c>
      <c r="P41" s="32">
        <f>VLOOKUP($A41,[1]Sheet2!$A:$N,13,0)/100</f>
        <v>29</v>
      </c>
      <c r="Q41" s="32">
        <f>VLOOKUP($A41,[1]Sheet2!$A:$N,14,0)/100</f>
        <v>35</v>
      </c>
      <c r="T41" s="31"/>
      <c r="U41" s="31"/>
      <c r="V41" s="31"/>
      <c r="W41" s="30">
        <f t="shared" si="4"/>
        <v>-4.8999999999999986</v>
      </c>
    </row>
    <row r="42" spans="1:24" x14ac:dyDescent="0.3">
      <c r="A42" s="31" t="s">
        <v>383</v>
      </c>
      <c r="B42" t="s">
        <v>835</v>
      </c>
      <c r="C42" s="31">
        <v>167</v>
      </c>
      <c r="D42" t="s">
        <v>283</v>
      </c>
      <c r="E42" s="19">
        <v>279</v>
      </c>
      <c r="F42" s="21" t="s">
        <v>624</v>
      </c>
      <c r="G42" s="20">
        <v>0.1</v>
      </c>
      <c r="H42" s="48">
        <v>27.900000000000002</v>
      </c>
      <c r="I42" s="29">
        <v>0.1</v>
      </c>
      <c r="J42" s="31">
        <f t="shared" si="6"/>
        <v>0</v>
      </c>
      <c r="K42" s="33">
        <f t="shared" si="0"/>
        <v>27.900000000000002</v>
      </c>
      <c r="L42" s="33">
        <f t="shared" si="1"/>
        <v>41.85</v>
      </c>
      <c r="M42" s="33">
        <f t="shared" si="2"/>
        <v>55.800000000000004</v>
      </c>
      <c r="N42" s="32">
        <f t="shared" si="3"/>
        <v>0</v>
      </c>
      <c r="O42" s="45" t="str">
        <f>VLOOKUP($A42,[1]Sheet2!$A:$N,6,0)</f>
        <v>Almata Atastana</v>
      </c>
      <c r="P42" s="32">
        <f>VLOOKUP($A42,[1]Sheet2!$A:$N,13,0)/100</f>
        <v>18.5</v>
      </c>
      <c r="Q42" s="32">
        <f>VLOOKUP($A42,[1]Sheet2!$A:$N,14,0)/100</f>
        <v>30</v>
      </c>
      <c r="T42" s="31"/>
      <c r="U42" s="31"/>
      <c r="V42" s="31"/>
      <c r="W42" s="30">
        <f t="shared" si="4"/>
        <v>-9.4000000000000021</v>
      </c>
    </row>
    <row r="43" spans="1:24" hidden="1" x14ac:dyDescent="0.3">
      <c r="A43" s="31" t="s">
        <v>412</v>
      </c>
      <c r="B43" t="s">
        <v>331</v>
      </c>
      <c r="C43" s="31">
        <v>78</v>
      </c>
      <c r="D43" t="s">
        <v>283</v>
      </c>
      <c r="E43" s="8">
        <v>1298</v>
      </c>
      <c r="F43" t="s">
        <v>630</v>
      </c>
      <c r="G43" s="29">
        <v>0.1</v>
      </c>
      <c r="H43" s="30">
        <v>129.80000000000001</v>
      </c>
      <c r="I43" s="29">
        <v>0.06</v>
      </c>
      <c r="J43" s="31">
        <f t="shared" si="6"/>
        <v>213.75</v>
      </c>
      <c r="K43" s="33">
        <f t="shared" si="0"/>
        <v>129.80000000000001</v>
      </c>
      <c r="L43" s="33">
        <f t="shared" si="1"/>
        <v>168.74</v>
      </c>
      <c r="M43" s="33">
        <f t="shared" si="2"/>
        <v>207.68</v>
      </c>
      <c r="N43" s="32">
        <f t="shared" si="3"/>
        <v>0</v>
      </c>
      <c r="O43" s="32" t="str">
        <f>VLOOKUP($A43,[1]Sheet2!$A:$N,6,0)</f>
        <v>Bernard Millette</v>
      </c>
      <c r="P43" s="32">
        <f>VLOOKUP($A43,[1]Sheet2!$A:$N,13,0)/100</f>
        <v>213.75</v>
      </c>
      <c r="Q43" s="32">
        <f>VLOOKUP($A43,[1]Sheet2!$A:$N,14,0)/100</f>
        <v>213.75</v>
      </c>
      <c r="T43" s="31"/>
      <c r="U43" s="31"/>
      <c r="V43" s="31"/>
      <c r="W43" s="30">
        <f t="shared" si="4"/>
        <v>83.949999999999989</v>
      </c>
      <c r="X43" s="24">
        <f>P43*11%+W43</f>
        <v>107.46249999999999</v>
      </c>
    </row>
    <row r="44" spans="1:24" hidden="1" x14ac:dyDescent="0.3">
      <c r="A44" s="31" t="s">
        <v>275</v>
      </c>
      <c r="B44" t="s">
        <v>906</v>
      </c>
      <c r="C44" s="31">
        <v>15</v>
      </c>
      <c r="D44" t="s">
        <v>283</v>
      </c>
      <c r="E44" s="8">
        <v>749</v>
      </c>
      <c r="F44" t="s">
        <v>627</v>
      </c>
      <c r="G44" s="29">
        <v>0.1</v>
      </c>
      <c r="H44" s="30">
        <v>74.900000000000006</v>
      </c>
      <c r="I44" s="29">
        <v>0.06</v>
      </c>
      <c r="J44" s="31">
        <f t="shared" si="6"/>
        <v>150</v>
      </c>
      <c r="K44" s="33">
        <f t="shared" si="0"/>
        <v>74.900000000000006</v>
      </c>
      <c r="L44" s="33">
        <f t="shared" si="1"/>
        <v>97.37</v>
      </c>
      <c r="M44" s="33">
        <f t="shared" si="2"/>
        <v>119.84</v>
      </c>
      <c r="N44" s="32">
        <f t="shared" si="3"/>
        <v>0</v>
      </c>
      <c r="O44" s="32" t="str">
        <f>VLOOKUP($A44,[1]Sheet2!$A:$N,6,0)</f>
        <v>Patricio Marquez</v>
      </c>
      <c r="P44" s="32">
        <f>VLOOKUP($A44,[1]Sheet2!$A:$N,13,0)/100</f>
        <v>150</v>
      </c>
      <c r="Q44" s="32">
        <f>VLOOKUP($A44,[1]Sheet2!$A:$N,14,0)/100</f>
        <v>150</v>
      </c>
      <c r="T44" s="31"/>
      <c r="U44" s="31"/>
      <c r="V44" s="31"/>
      <c r="W44" s="30">
        <f t="shared" si="4"/>
        <v>75.099999999999994</v>
      </c>
      <c r="X44" s="24">
        <f>P44*11%+W44</f>
        <v>91.6</v>
      </c>
    </row>
    <row r="45" spans="1:24" hidden="1" x14ac:dyDescent="0.3">
      <c r="A45" s="31" t="s">
        <v>818</v>
      </c>
      <c r="B45" t="s">
        <v>819</v>
      </c>
      <c r="C45" s="31">
        <v>157</v>
      </c>
      <c r="D45" t="s">
        <v>283</v>
      </c>
      <c r="E45" s="8">
        <v>2250</v>
      </c>
      <c r="F45" t="s">
        <v>629</v>
      </c>
      <c r="G45" s="29">
        <v>0.1</v>
      </c>
      <c r="H45" s="30">
        <v>225</v>
      </c>
      <c r="I45" s="29">
        <v>0.1</v>
      </c>
      <c r="J45" s="31">
        <f t="shared" si="6"/>
        <v>300</v>
      </c>
      <c r="K45" s="33">
        <f t="shared" si="0"/>
        <v>225</v>
      </c>
      <c r="L45" s="33">
        <f t="shared" si="1"/>
        <v>337.5</v>
      </c>
      <c r="M45" s="33">
        <f t="shared" si="2"/>
        <v>450</v>
      </c>
      <c r="N45" s="32">
        <f t="shared" si="3"/>
        <v>0</v>
      </c>
      <c r="O45" s="32" t="str">
        <f>VLOOKUP($A45,[1]Sheet2!$A:$N,6,0)</f>
        <v>Adam Munoz</v>
      </c>
      <c r="P45" s="32">
        <f>VLOOKUP($A45,[1]Sheet2!$A:$N,13,0)/100</f>
        <v>300</v>
      </c>
      <c r="Q45" s="32">
        <f>VLOOKUP($A45,[1]Sheet2!$A:$N,14,0)/100</f>
        <v>300</v>
      </c>
      <c r="T45" s="31"/>
      <c r="U45" s="31"/>
      <c r="V45" s="31"/>
      <c r="W45" s="30">
        <f t="shared" si="4"/>
        <v>75</v>
      </c>
      <c r="X45" s="24">
        <f>P45*11%+W45</f>
        <v>108</v>
      </c>
    </row>
    <row r="46" spans="1:24" hidden="1" x14ac:dyDescent="0.3">
      <c r="A46" s="31" t="s">
        <v>491</v>
      </c>
      <c r="B46" t="s">
        <v>714</v>
      </c>
      <c r="C46" s="31">
        <v>115</v>
      </c>
      <c r="D46" t="s">
        <v>268</v>
      </c>
      <c r="E46" s="8">
        <v>650</v>
      </c>
      <c r="F46" t="s">
        <v>623</v>
      </c>
      <c r="G46" s="29">
        <v>7.0000000000000007E-2</v>
      </c>
      <c r="H46" s="30">
        <v>45.500000000000007</v>
      </c>
      <c r="I46" s="29">
        <v>0.1</v>
      </c>
      <c r="J46" s="31">
        <f t="shared" si="6"/>
        <v>115</v>
      </c>
      <c r="K46" s="33">
        <f t="shared" si="0"/>
        <v>45.500000000000007</v>
      </c>
      <c r="L46" s="33">
        <f t="shared" si="1"/>
        <v>78</v>
      </c>
      <c r="M46" s="33">
        <f t="shared" si="2"/>
        <v>110.5</v>
      </c>
      <c r="N46" s="32">
        <f t="shared" si="3"/>
        <v>0</v>
      </c>
      <c r="O46" s="32" t="str">
        <f>VLOOKUP($A46,[1]Sheet2!$A:$N,6,0)</f>
        <v>Michael Araiza</v>
      </c>
      <c r="P46" s="32">
        <f>VLOOKUP($A46,[1]Sheet2!$A:$N,13,0)/100</f>
        <v>115</v>
      </c>
      <c r="Q46" s="32">
        <f>VLOOKUP($A46,[1]Sheet2!$A:$N,14,0)/100</f>
        <v>115</v>
      </c>
      <c r="T46" s="31"/>
      <c r="U46" s="31"/>
      <c r="V46" s="31"/>
      <c r="W46" s="30">
        <f t="shared" si="4"/>
        <v>69.5</v>
      </c>
      <c r="X46" s="24">
        <f>P46*11%+W46</f>
        <v>82.15</v>
      </c>
    </row>
    <row r="47" spans="1:24" x14ac:dyDescent="0.3">
      <c r="A47" s="36" t="s">
        <v>300</v>
      </c>
      <c r="B47" t="s">
        <v>922</v>
      </c>
      <c r="C47" s="31">
        <v>47</v>
      </c>
      <c r="D47" t="s">
        <v>283</v>
      </c>
      <c r="E47" s="19">
        <v>1398</v>
      </c>
      <c r="F47" s="21" t="s">
        <v>627</v>
      </c>
      <c r="G47" s="20">
        <v>0.1</v>
      </c>
      <c r="H47" s="48">
        <v>139.80000000000001</v>
      </c>
      <c r="I47">
        <v>0</v>
      </c>
      <c r="J47" s="31">
        <f t="shared" si="6"/>
        <v>0</v>
      </c>
      <c r="K47" s="33">
        <f t="shared" si="0"/>
        <v>139.80000000000001</v>
      </c>
      <c r="L47" s="33">
        <f t="shared" si="1"/>
        <v>139.80000000000001</v>
      </c>
      <c r="M47" s="33">
        <f t="shared" si="2"/>
        <v>139.80000000000001</v>
      </c>
      <c r="N47" s="32">
        <f t="shared" si="3"/>
        <v>0</v>
      </c>
      <c r="O47" s="45" t="str">
        <f>VLOOKUP($A47,[1]Sheet2!$A:$N,6,0)</f>
        <v>Sanzhar Houston</v>
      </c>
      <c r="P47" s="32">
        <f>VLOOKUP($A47,[1]Sheet2!$A:$N,13,0)/100</f>
        <v>130</v>
      </c>
      <c r="Q47" s="32">
        <f>VLOOKUP($A47,[1]Sheet2!$A:$N,14,0)/100</f>
        <v>140</v>
      </c>
      <c r="T47" s="31"/>
      <c r="U47" s="31"/>
      <c r="V47" s="31"/>
      <c r="W47" s="30">
        <f t="shared" si="4"/>
        <v>-9.8000000000000114</v>
      </c>
    </row>
    <row r="48" spans="1:24" hidden="1" x14ac:dyDescent="0.3">
      <c r="A48" s="31">
        <v>21</v>
      </c>
      <c r="B48" t="s">
        <v>733</v>
      </c>
      <c r="C48" s="31">
        <v>38</v>
      </c>
      <c r="D48" t="s">
        <v>374</v>
      </c>
      <c r="E48" s="5">
        <v>144</v>
      </c>
      <c r="F48" t="s">
        <v>625</v>
      </c>
      <c r="G48" s="29">
        <v>0.12</v>
      </c>
      <c r="H48" s="30">
        <v>17.28</v>
      </c>
      <c r="I48" s="29">
        <v>0.1</v>
      </c>
      <c r="J48" s="31">
        <f t="shared" si="6"/>
        <v>85</v>
      </c>
      <c r="K48" s="33">
        <f t="shared" si="0"/>
        <v>17.28</v>
      </c>
      <c r="L48" s="33">
        <f t="shared" si="1"/>
        <v>24.48</v>
      </c>
      <c r="M48" s="33">
        <f t="shared" si="2"/>
        <v>31.68</v>
      </c>
      <c r="N48" s="32">
        <f t="shared" si="3"/>
        <v>0</v>
      </c>
      <c r="O48" s="32" t="str">
        <f>VLOOKUP($A48,[1]Sheet2!$A:$N,6,0)</f>
        <v>Janet Merryman</v>
      </c>
      <c r="P48" s="32">
        <f>VLOOKUP($A48,[1]Sheet2!$A:$N,13,0)/100</f>
        <v>85</v>
      </c>
      <c r="Q48" s="32">
        <f>VLOOKUP($A48,[1]Sheet2!$A:$N,14,0)/100</f>
        <v>85</v>
      </c>
      <c r="T48" s="31"/>
      <c r="U48" s="31"/>
      <c r="V48" s="31"/>
      <c r="W48" s="30">
        <f t="shared" si="4"/>
        <v>67.72</v>
      </c>
      <c r="X48" s="24">
        <f>P48*11%+W48</f>
        <v>77.069999999999993</v>
      </c>
    </row>
    <row r="49" spans="1:24" x14ac:dyDescent="0.3">
      <c r="A49" s="31" t="s">
        <v>302</v>
      </c>
      <c r="B49" t="s">
        <v>924</v>
      </c>
      <c r="C49" s="31">
        <v>51</v>
      </c>
      <c r="D49" t="s">
        <v>283</v>
      </c>
      <c r="E49" s="19">
        <v>3149</v>
      </c>
      <c r="F49" s="21" t="s">
        <v>629</v>
      </c>
      <c r="G49" s="20">
        <v>0.1</v>
      </c>
      <c r="H49" s="48">
        <v>314.90000000000003</v>
      </c>
      <c r="I49" s="29">
        <v>0.1</v>
      </c>
      <c r="J49" s="31">
        <f t="shared" si="6"/>
        <v>0</v>
      </c>
      <c r="K49" s="33">
        <f t="shared" si="0"/>
        <v>314.90000000000003</v>
      </c>
      <c r="L49" s="33">
        <f t="shared" si="1"/>
        <v>472.35</v>
      </c>
      <c r="M49" s="33">
        <f t="shared" si="2"/>
        <v>629.80000000000007</v>
      </c>
      <c r="N49" s="32">
        <f t="shared" si="3"/>
        <v>0</v>
      </c>
      <c r="O49" s="45" t="str">
        <f>VLOOKUP($A49,[1]Sheet2!$A:$N,6,0)</f>
        <v>Kuralay Kateryne</v>
      </c>
      <c r="P49" s="32">
        <f>VLOOKUP($A49,[1]Sheet2!$A:$N,13,0)/100</f>
        <v>305</v>
      </c>
      <c r="Q49" s="32">
        <f>VLOOKUP($A49,[1]Sheet2!$A:$N,14,0)/100</f>
        <v>315</v>
      </c>
      <c r="T49" s="31"/>
      <c r="U49" s="31"/>
      <c r="V49" s="31"/>
      <c r="W49" s="30">
        <f t="shared" si="4"/>
        <v>-9.9000000000000341</v>
      </c>
    </row>
    <row r="50" spans="1:24" hidden="1" x14ac:dyDescent="0.3">
      <c r="A50" s="31" t="s">
        <v>420</v>
      </c>
      <c r="B50" t="s">
        <v>932</v>
      </c>
      <c r="C50" s="31">
        <v>89</v>
      </c>
      <c r="D50" t="s">
        <v>283</v>
      </c>
      <c r="E50" s="8">
        <v>1359</v>
      </c>
      <c r="F50" t="s">
        <v>624</v>
      </c>
      <c r="G50" s="29">
        <v>0.1</v>
      </c>
      <c r="H50" s="30">
        <v>135.9</v>
      </c>
      <c r="I50" s="29">
        <v>0.1</v>
      </c>
      <c r="J50" s="31">
        <f t="shared" si="6"/>
        <v>200</v>
      </c>
      <c r="K50" s="33">
        <f t="shared" si="0"/>
        <v>135.9</v>
      </c>
      <c r="L50" s="33">
        <f t="shared" si="1"/>
        <v>203.85000000000002</v>
      </c>
      <c r="M50" s="33">
        <f t="shared" si="2"/>
        <v>271.8</v>
      </c>
      <c r="N50" s="32">
        <f t="shared" si="3"/>
        <v>1</v>
      </c>
      <c r="O50" s="32" t="str">
        <f>VLOOKUP($A50,[1]Sheet2!$A:$N,6,0)</f>
        <v>Bernard Millette</v>
      </c>
      <c r="P50" s="32">
        <f>VLOOKUP($A50,[1]Sheet2!$A:$N,13,0)/100</f>
        <v>200</v>
      </c>
      <c r="Q50" s="32">
        <f>VLOOKUP($A50,[1]Sheet2!$A:$N,14,0)/100</f>
        <v>200</v>
      </c>
      <c r="R50" s="31">
        <v>290</v>
      </c>
      <c r="T50" s="31"/>
      <c r="U50" s="31"/>
      <c r="V50" s="31"/>
      <c r="W50" s="30">
        <f t="shared" si="4"/>
        <v>64.099999999999994</v>
      </c>
      <c r="X50" s="24">
        <f>P50*11%+W50</f>
        <v>86.1</v>
      </c>
    </row>
    <row r="51" spans="1:24" x14ac:dyDescent="0.3">
      <c r="A51" s="36" t="s">
        <v>881</v>
      </c>
      <c r="B51" t="s">
        <v>882</v>
      </c>
      <c r="C51" s="31">
        <v>195</v>
      </c>
      <c r="D51" t="s">
        <v>283</v>
      </c>
      <c r="E51" s="19">
        <v>530</v>
      </c>
      <c r="F51" s="21" t="s">
        <v>627</v>
      </c>
      <c r="G51" s="20">
        <v>0.1</v>
      </c>
      <c r="H51" s="48">
        <v>53</v>
      </c>
      <c r="I51">
        <v>0</v>
      </c>
      <c r="J51" s="31">
        <f t="shared" si="6"/>
        <v>0</v>
      </c>
      <c r="K51" s="33">
        <f t="shared" si="0"/>
        <v>53</v>
      </c>
      <c r="L51" s="33">
        <f t="shared" si="1"/>
        <v>53</v>
      </c>
      <c r="M51" s="33">
        <f t="shared" si="2"/>
        <v>53</v>
      </c>
      <c r="N51" s="32">
        <f t="shared" si="3"/>
        <v>0</v>
      </c>
      <c r="O51" s="45" t="str">
        <f>VLOOKUP($A51,[1]Sheet2!$A:$N,6,0)</f>
        <v>Kuralay Kateryne</v>
      </c>
      <c r="P51" s="32">
        <f>VLOOKUP($A51,[1]Sheet2!$A:$N,13,0)/100</f>
        <v>43</v>
      </c>
      <c r="Q51" s="32">
        <f>VLOOKUP($A51,[1]Sheet2!$A:$N,14,0)/100</f>
        <v>55</v>
      </c>
      <c r="T51" s="31"/>
      <c r="U51" s="31"/>
      <c r="V51" s="31"/>
      <c r="W51" s="30">
        <f t="shared" si="4"/>
        <v>-10</v>
      </c>
    </row>
    <row r="52" spans="1:24" hidden="1" x14ac:dyDescent="0.3">
      <c r="A52" s="36" t="s">
        <v>892</v>
      </c>
      <c r="B52" t="s">
        <v>893</v>
      </c>
      <c r="C52" s="31">
        <v>201</v>
      </c>
      <c r="D52" t="s">
        <v>268</v>
      </c>
      <c r="E52" s="8">
        <v>2000</v>
      </c>
      <c r="F52" t="s">
        <v>626</v>
      </c>
      <c r="G52" s="29">
        <v>7.0000000000000007E-2</v>
      </c>
      <c r="H52" s="30">
        <v>140</v>
      </c>
      <c r="I52" s="29">
        <v>0.04</v>
      </c>
      <c r="J52" s="31">
        <f t="shared" si="6"/>
        <v>202</v>
      </c>
      <c r="K52" s="33">
        <f t="shared" si="0"/>
        <v>140</v>
      </c>
      <c r="L52" s="33">
        <f t="shared" si="1"/>
        <v>180</v>
      </c>
      <c r="M52" s="33">
        <f t="shared" si="2"/>
        <v>220</v>
      </c>
      <c r="N52" s="32">
        <f t="shared" si="3"/>
        <v>0</v>
      </c>
      <c r="O52" s="32" t="str">
        <f>VLOOKUP($A52,[1]Sheet2!$A:$N,6,0)</f>
        <v>Bukky Majek</v>
      </c>
      <c r="P52" s="32">
        <f>VLOOKUP($A52,[1]Sheet2!$A:$N,13,0)/100</f>
        <v>202</v>
      </c>
      <c r="Q52" s="32">
        <f>VLOOKUP($A52,[1]Sheet2!$A:$N,14,0)/100</f>
        <v>202</v>
      </c>
      <c r="T52" s="31"/>
      <c r="U52" s="31"/>
      <c r="V52" s="31"/>
      <c r="W52" s="30">
        <f t="shared" si="4"/>
        <v>62</v>
      </c>
      <c r="X52" s="24">
        <f>P52*11%+W52</f>
        <v>84.22</v>
      </c>
    </row>
    <row r="53" spans="1:24" x14ac:dyDescent="0.3">
      <c r="A53" s="31" t="s">
        <v>867</v>
      </c>
      <c r="B53" t="s">
        <v>868</v>
      </c>
      <c r="C53" s="31">
        <v>187</v>
      </c>
      <c r="D53" t="s">
        <v>283</v>
      </c>
      <c r="E53" s="19">
        <v>389</v>
      </c>
      <c r="F53" s="21" t="s">
        <v>625</v>
      </c>
      <c r="G53" s="20">
        <v>0.1</v>
      </c>
      <c r="H53" s="48">
        <v>38.900000000000006</v>
      </c>
      <c r="I53" s="29">
        <v>0.1</v>
      </c>
      <c r="J53" s="31">
        <f t="shared" si="6"/>
        <v>0</v>
      </c>
      <c r="K53" s="33">
        <f t="shared" si="0"/>
        <v>38.900000000000006</v>
      </c>
      <c r="L53" s="33">
        <f t="shared" si="1"/>
        <v>58.350000000000009</v>
      </c>
      <c r="M53" s="33">
        <f t="shared" si="2"/>
        <v>77.800000000000011</v>
      </c>
      <c r="N53" s="32">
        <f t="shared" si="3"/>
        <v>0</v>
      </c>
      <c r="O53" s="45" t="str">
        <f>VLOOKUP($A53,[1]Sheet2!$A:$N,6,0)</f>
        <v>Almata Atastana</v>
      </c>
      <c r="P53" s="32">
        <f>VLOOKUP($A53,[1]Sheet2!$A:$N,13,0)/100</f>
        <v>28</v>
      </c>
      <c r="Q53" s="32">
        <f>VLOOKUP($A53,[1]Sheet2!$A:$N,14,0)/100</f>
        <v>40</v>
      </c>
      <c r="T53" s="31"/>
      <c r="U53" s="31"/>
      <c r="V53" s="31"/>
      <c r="W53" s="30">
        <f t="shared" si="4"/>
        <v>-10.900000000000006</v>
      </c>
    </row>
    <row r="54" spans="1:24" hidden="1" x14ac:dyDescent="0.3">
      <c r="A54" s="31" t="s">
        <v>942</v>
      </c>
      <c r="B54" t="s">
        <v>425</v>
      </c>
      <c r="C54" s="31">
        <v>106</v>
      </c>
      <c r="D54" t="s">
        <v>268</v>
      </c>
      <c r="E54" s="8">
        <v>711</v>
      </c>
      <c r="F54" t="s">
        <v>623</v>
      </c>
      <c r="G54" s="29">
        <v>7.0000000000000007E-2</v>
      </c>
      <c r="H54" s="30">
        <v>49.77</v>
      </c>
      <c r="I54" s="29">
        <v>0.1</v>
      </c>
      <c r="J54" s="31">
        <f t="shared" si="6"/>
        <v>110</v>
      </c>
      <c r="K54" s="33">
        <f t="shared" si="0"/>
        <v>49.77</v>
      </c>
      <c r="L54" s="33">
        <f t="shared" si="1"/>
        <v>85.320000000000007</v>
      </c>
      <c r="M54" s="33">
        <f t="shared" si="2"/>
        <v>120.87</v>
      </c>
      <c r="N54" s="32">
        <f t="shared" si="3"/>
        <v>1</v>
      </c>
      <c r="O54" s="32" t="str">
        <f>VLOOKUP($A54,[1]Sheet2!$A:$N,6,0)</f>
        <v>nelson guandique</v>
      </c>
      <c r="P54" s="32">
        <f>VLOOKUP($A54,[1]Sheet2!$A:$N,13,0)/100</f>
        <v>110</v>
      </c>
      <c r="Q54" s="32">
        <f>VLOOKUP($A54,[1]Sheet2!$A:$N,14,0)/100</f>
        <v>110</v>
      </c>
      <c r="T54" s="31"/>
      <c r="U54" s="31"/>
      <c r="V54" s="31">
        <v>92.5</v>
      </c>
      <c r="W54" s="30">
        <f t="shared" si="4"/>
        <v>60.23</v>
      </c>
      <c r="X54" s="24">
        <f>P54*11%+W54</f>
        <v>72.33</v>
      </c>
    </row>
    <row r="55" spans="1:24" hidden="1" x14ac:dyDescent="0.3">
      <c r="A55" s="31" t="s">
        <v>843</v>
      </c>
      <c r="B55" t="s">
        <v>844</v>
      </c>
      <c r="C55" s="31">
        <v>173</v>
      </c>
      <c r="D55" t="s">
        <v>283</v>
      </c>
      <c r="E55" s="8">
        <v>3100</v>
      </c>
      <c r="F55" t="s">
        <v>623</v>
      </c>
      <c r="G55" s="29">
        <v>0.1</v>
      </c>
      <c r="H55" s="30">
        <v>310</v>
      </c>
      <c r="I55" s="29">
        <v>0.1</v>
      </c>
      <c r="J55" s="31">
        <f t="shared" si="6"/>
        <v>370</v>
      </c>
      <c r="K55" s="33">
        <f t="shared" si="0"/>
        <v>310</v>
      </c>
      <c r="L55" s="33">
        <f t="shared" si="1"/>
        <v>465</v>
      </c>
      <c r="M55" s="33">
        <f t="shared" si="2"/>
        <v>620</v>
      </c>
      <c r="N55" s="32">
        <f t="shared" si="3"/>
        <v>0</v>
      </c>
      <c r="O55" s="32" t="str">
        <f>VLOOKUP($A55,[1]Sheet2!$A:$N,6,0)</f>
        <v>Deborah Donnell</v>
      </c>
      <c r="P55" s="32">
        <f>VLOOKUP($A55,[1]Sheet2!$A:$N,13,0)/100</f>
        <v>370</v>
      </c>
      <c r="Q55" s="32">
        <f>VLOOKUP($A55,[1]Sheet2!$A:$N,14,0)/100</f>
        <v>375</v>
      </c>
      <c r="T55" s="31"/>
      <c r="U55" s="31"/>
      <c r="V55" s="31"/>
      <c r="W55" s="30">
        <f t="shared" si="4"/>
        <v>60</v>
      </c>
      <c r="X55" s="24">
        <f>P55*11%+W55</f>
        <v>100.7</v>
      </c>
    </row>
    <row r="56" spans="1:24" x14ac:dyDescent="0.3">
      <c r="A56" s="36" t="s">
        <v>894</v>
      </c>
      <c r="B56" t="s">
        <v>895</v>
      </c>
      <c r="C56" s="31">
        <v>202</v>
      </c>
      <c r="D56" t="s">
        <v>268</v>
      </c>
      <c r="E56" s="19">
        <v>680</v>
      </c>
      <c r="F56" s="21" t="s">
        <v>627</v>
      </c>
      <c r="G56" s="20">
        <v>7.0000000000000007E-2</v>
      </c>
      <c r="H56" s="48">
        <v>47.6</v>
      </c>
      <c r="I56">
        <v>0</v>
      </c>
      <c r="J56" s="31">
        <f t="shared" si="6"/>
        <v>0</v>
      </c>
      <c r="K56" s="33">
        <f t="shared" si="0"/>
        <v>47.6</v>
      </c>
      <c r="L56" s="33">
        <f t="shared" si="1"/>
        <v>47.6</v>
      </c>
      <c r="M56" s="33">
        <f t="shared" si="2"/>
        <v>47.6</v>
      </c>
      <c r="N56" s="32">
        <f t="shared" si="3"/>
        <v>0</v>
      </c>
      <c r="O56" s="45" t="str">
        <f>VLOOKUP($A56,[1]Sheet2!$A:$N,6,0)</f>
        <v>Kuralay Kateryne</v>
      </c>
      <c r="P56" s="32">
        <f>VLOOKUP($A56,[1]Sheet2!$A:$N,13,0)/100</f>
        <v>36</v>
      </c>
      <c r="Q56" s="32">
        <f>VLOOKUP($A56,[1]Sheet2!$A:$N,14,0)/100</f>
        <v>50</v>
      </c>
      <c r="T56" s="31"/>
      <c r="U56" s="31"/>
      <c r="V56" s="31"/>
      <c r="W56" s="30">
        <f t="shared" si="4"/>
        <v>-11.600000000000001</v>
      </c>
    </row>
    <row r="57" spans="1:24" x14ac:dyDescent="0.3">
      <c r="A57" s="31">
        <v>23</v>
      </c>
      <c r="B57" t="s">
        <v>735</v>
      </c>
      <c r="C57" s="31">
        <v>42</v>
      </c>
      <c r="D57" t="s">
        <v>374</v>
      </c>
      <c r="E57" s="19">
        <v>240</v>
      </c>
      <c r="F57" s="21" t="s">
        <v>625</v>
      </c>
      <c r="G57" s="20">
        <v>0.12</v>
      </c>
      <c r="H57" s="48">
        <v>28.799999999999997</v>
      </c>
      <c r="I57" s="29">
        <v>0.1</v>
      </c>
      <c r="J57" s="31">
        <f t="shared" si="6"/>
        <v>0</v>
      </c>
      <c r="K57" s="33">
        <f t="shared" si="0"/>
        <v>28.799999999999997</v>
      </c>
      <c r="L57" s="33">
        <f t="shared" si="1"/>
        <v>40.799999999999997</v>
      </c>
      <c r="M57" s="33">
        <f t="shared" si="2"/>
        <v>52.8</v>
      </c>
      <c r="N57" s="32">
        <f t="shared" si="3"/>
        <v>1</v>
      </c>
      <c r="O57" s="45" t="str">
        <f>VLOOKUP($A57,[1]Sheet2!$A:$N,6,0)</f>
        <v>Almata Atastana</v>
      </c>
      <c r="P57" s="32">
        <f>VLOOKUP($A57,[1]Sheet2!$A:$N,13,0)/100</f>
        <v>17</v>
      </c>
      <c r="Q57" s="32">
        <f>VLOOKUP($A57,[1]Sheet2!$A:$N,14,0)/100</f>
        <v>30</v>
      </c>
      <c r="S57" s="31">
        <v>6.75</v>
      </c>
      <c r="T57" s="31"/>
      <c r="U57" s="31"/>
      <c r="V57" s="31"/>
      <c r="W57" s="30">
        <f t="shared" si="4"/>
        <v>-11.799999999999997</v>
      </c>
    </row>
    <row r="58" spans="1:24" x14ac:dyDescent="0.3">
      <c r="A58" s="31" t="s">
        <v>861</v>
      </c>
      <c r="B58" t="s">
        <v>849</v>
      </c>
      <c r="C58" s="31">
        <v>183</v>
      </c>
      <c r="D58" t="s">
        <v>283</v>
      </c>
      <c r="E58" s="19">
        <v>540</v>
      </c>
      <c r="F58" s="21" t="s">
        <v>629</v>
      </c>
      <c r="G58" s="20">
        <v>0.1</v>
      </c>
      <c r="H58" s="48">
        <v>54</v>
      </c>
      <c r="I58" s="29">
        <v>0.1</v>
      </c>
      <c r="J58" s="31">
        <f t="shared" si="6"/>
        <v>0</v>
      </c>
      <c r="K58" s="33">
        <f t="shared" si="0"/>
        <v>54</v>
      </c>
      <c r="L58" s="33">
        <f t="shared" si="1"/>
        <v>81</v>
      </c>
      <c r="M58" s="33">
        <f t="shared" si="2"/>
        <v>108</v>
      </c>
      <c r="N58" s="32">
        <f t="shared" si="3"/>
        <v>0</v>
      </c>
      <c r="O58" s="45" t="str">
        <f>VLOOKUP($A58,[1]Sheet2!$A:$N,6,0)</f>
        <v>Kuralay Kateryne</v>
      </c>
      <c r="P58" s="32">
        <f>VLOOKUP($A58,[1]Sheet2!$A:$N,13,0)/100</f>
        <v>41</v>
      </c>
      <c r="Q58" s="32">
        <f>VLOOKUP($A58,[1]Sheet2!$A:$N,14,0)/100</f>
        <v>55</v>
      </c>
      <c r="T58" s="31"/>
      <c r="U58" s="31"/>
      <c r="V58" s="31"/>
      <c r="W58" s="30">
        <f t="shared" si="4"/>
        <v>-13</v>
      </c>
    </row>
    <row r="59" spans="1:24" x14ac:dyDescent="0.3">
      <c r="A59" s="31" t="s">
        <v>479</v>
      </c>
      <c r="B59" t="s">
        <v>538</v>
      </c>
      <c r="C59" s="31">
        <v>87</v>
      </c>
      <c r="D59" t="s">
        <v>283</v>
      </c>
      <c r="E59" s="19">
        <v>1400</v>
      </c>
      <c r="F59" s="21" t="s">
        <v>629</v>
      </c>
      <c r="G59" s="20">
        <v>0.1</v>
      </c>
      <c r="H59" s="48">
        <v>140</v>
      </c>
      <c r="I59" s="29">
        <v>0.1</v>
      </c>
      <c r="J59" s="31">
        <f t="shared" si="6"/>
        <v>0</v>
      </c>
      <c r="K59" s="33">
        <f t="shared" si="0"/>
        <v>140</v>
      </c>
      <c r="L59" s="33">
        <f t="shared" si="1"/>
        <v>210</v>
      </c>
      <c r="M59" s="33">
        <f t="shared" si="2"/>
        <v>280</v>
      </c>
      <c r="N59" s="32">
        <f t="shared" si="3"/>
        <v>0</v>
      </c>
      <c r="O59" s="45" t="str">
        <f>VLOOKUP($A59,[1]Sheet2!$A:$N,6,0)</f>
        <v>Yesset Karayev</v>
      </c>
      <c r="P59" s="32">
        <f>VLOOKUP($A59,[1]Sheet2!$A:$N,13,0)/100</f>
        <v>125</v>
      </c>
      <c r="Q59" s="32">
        <f>VLOOKUP($A59,[1]Sheet2!$A:$N,14,0)/100</f>
        <v>140</v>
      </c>
      <c r="T59" s="31"/>
      <c r="U59" s="31"/>
      <c r="V59" s="31"/>
      <c r="W59" s="30">
        <f t="shared" si="4"/>
        <v>-15</v>
      </c>
    </row>
    <row r="60" spans="1:24" x14ac:dyDescent="0.3">
      <c r="A60" s="31" t="s">
        <v>836</v>
      </c>
      <c r="B60" t="s">
        <v>837</v>
      </c>
      <c r="C60" s="31">
        <v>168</v>
      </c>
      <c r="D60" t="s">
        <v>283</v>
      </c>
      <c r="E60" s="19">
        <v>1250</v>
      </c>
      <c r="F60" s="21" t="s">
        <v>623</v>
      </c>
      <c r="G60" s="20">
        <v>0.1</v>
      </c>
      <c r="H60" s="48">
        <v>125</v>
      </c>
      <c r="I60" s="29">
        <v>0.1</v>
      </c>
      <c r="J60" s="31">
        <f t="shared" si="6"/>
        <v>0</v>
      </c>
      <c r="K60" s="33">
        <f t="shared" si="0"/>
        <v>125</v>
      </c>
      <c r="L60" s="33">
        <f t="shared" si="1"/>
        <v>187.5</v>
      </c>
      <c r="M60" s="33">
        <f t="shared" si="2"/>
        <v>250</v>
      </c>
      <c r="N60" s="32">
        <f t="shared" si="3"/>
        <v>0</v>
      </c>
      <c r="O60" s="45" t="str">
        <f>VLOOKUP($A60,[1]Sheet2!$A:$N,6,0)</f>
        <v>Sanzhar Houston</v>
      </c>
      <c r="P60" s="32">
        <f>VLOOKUP($A60,[1]Sheet2!$A:$N,13,0)/100</f>
        <v>110</v>
      </c>
      <c r="Q60" s="32">
        <f>VLOOKUP($A60,[1]Sheet2!$A:$N,14,0)/100</f>
        <v>120</v>
      </c>
      <c r="T60" s="31"/>
      <c r="U60" s="31"/>
      <c r="V60" s="31"/>
      <c r="W60" s="30">
        <f t="shared" si="4"/>
        <v>-15</v>
      </c>
    </row>
    <row r="61" spans="1:24" x14ac:dyDescent="0.3">
      <c r="A61" s="36" t="s">
        <v>934</v>
      </c>
      <c r="B61" t="s">
        <v>935</v>
      </c>
      <c r="C61" s="31">
        <v>91</v>
      </c>
      <c r="D61" t="s">
        <v>283</v>
      </c>
      <c r="E61" s="19">
        <v>228</v>
      </c>
      <c r="F61" s="21" t="s">
        <v>627</v>
      </c>
      <c r="G61" s="20">
        <v>0.1</v>
      </c>
      <c r="H61" s="48">
        <v>22.8</v>
      </c>
      <c r="I61">
        <v>0</v>
      </c>
      <c r="J61" s="31">
        <f t="shared" si="6"/>
        <v>0</v>
      </c>
      <c r="K61" s="33">
        <f t="shared" si="0"/>
        <v>22.8</v>
      </c>
      <c r="L61" s="33">
        <f t="shared" si="1"/>
        <v>22.8</v>
      </c>
      <c r="M61" s="33">
        <f t="shared" si="2"/>
        <v>22.8</v>
      </c>
      <c r="N61" s="32">
        <f t="shared" si="3"/>
        <v>0</v>
      </c>
      <c r="O61" s="45" t="str">
        <f>VLOOKUP($A61,[1]Sheet2!$A:$N,6,0)</f>
        <v>Almata Atastana</v>
      </c>
      <c r="P61" s="32">
        <f>VLOOKUP($A61,[1]Sheet2!$A:$N,13,0)/100</f>
        <v>5</v>
      </c>
      <c r="Q61" s="32">
        <f>VLOOKUP($A61,[1]Sheet2!$A:$N,14,0)/100</f>
        <v>25</v>
      </c>
      <c r="T61" s="31"/>
      <c r="U61" s="31"/>
      <c r="V61" s="31"/>
      <c r="W61" s="30">
        <f t="shared" si="4"/>
        <v>-17.8</v>
      </c>
    </row>
    <row r="62" spans="1:24" hidden="1" x14ac:dyDescent="0.3">
      <c r="A62" s="31" t="s">
        <v>304</v>
      </c>
      <c r="B62" t="s">
        <v>925</v>
      </c>
      <c r="C62" s="31">
        <v>53</v>
      </c>
      <c r="D62" t="s">
        <v>283</v>
      </c>
      <c r="E62" s="5">
        <v>150</v>
      </c>
      <c r="F62" t="s">
        <v>627</v>
      </c>
      <c r="G62" s="29">
        <v>0.1</v>
      </c>
      <c r="H62" s="30">
        <v>15</v>
      </c>
      <c r="I62" s="29">
        <v>0.06</v>
      </c>
      <c r="J62" s="31">
        <f t="shared" si="6"/>
        <v>75</v>
      </c>
      <c r="K62" s="33">
        <f t="shared" si="0"/>
        <v>15</v>
      </c>
      <c r="L62" s="33">
        <f t="shared" si="1"/>
        <v>19.5</v>
      </c>
      <c r="M62" s="33">
        <f t="shared" si="2"/>
        <v>24</v>
      </c>
      <c r="N62" s="32">
        <f t="shared" si="3"/>
        <v>0</v>
      </c>
      <c r="O62" s="32" t="str">
        <f>VLOOKUP($A62,[1]Sheet2!$A:$N,6,0)</f>
        <v>Elicia Mackey</v>
      </c>
      <c r="P62" s="32">
        <f>VLOOKUP($A62,[1]Sheet2!$A:$N,13,0)/100</f>
        <v>75</v>
      </c>
      <c r="Q62" s="32">
        <f>VLOOKUP($A62,[1]Sheet2!$A:$N,14,0)/100</f>
        <v>75</v>
      </c>
      <c r="T62" s="31"/>
      <c r="U62" s="31"/>
      <c r="V62" s="31"/>
      <c r="W62" s="30">
        <f t="shared" si="4"/>
        <v>60</v>
      </c>
      <c r="X62" s="24">
        <f>P62*11%+W62</f>
        <v>68.25</v>
      </c>
    </row>
    <row r="63" spans="1:24" hidden="1" x14ac:dyDescent="0.3">
      <c r="A63" s="36" t="s">
        <v>763</v>
      </c>
      <c r="B63" t="s">
        <v>764</v>
      </c>
      <c r="C63" s="31">
        <v>123</v>
      </c>
      <c r="D63" t="s">
        <v>283</v>
      </c>
      <c r="E63" s="8">
        <v>1200</v>
      </c>
      <c r="F63" t="s">
        <v>631</v>
      </c>
      <c r="G63" s="29">
        <v>0.1</v>
      </c>
      <c r="H63" s="30">
        <v>120</v>
      </c>
      <c r="I63" s="29">
        <v>0.02</v>
      </c>
      <c r="J63" s="31">
        <f t="shared" si="6"/>
        <v>176</v>
      </c>
      <c r="K63" s="33">
        <f t="shared" si="0"/>
        <v>120</v>
      </c>
      <c r="L63" s="33">
        <f t="shared" si="1"/>
        <v>132</v>
      </c>
      <c r="M63" s="33">
        <f t="shared" si="2"/>
        <v>144</v>
      </c>
      <c r="N63" s="32">
        <f t="shared" si="3"/>
        <v>0</v>
      </c>
      <c r="O63" s="32" t="str">
        <f>VLOOKUP($A63,[1]Sheet2!$A:$N,6,0)</f>
        <v>Sangho Yi</v>
      </c>
      <c r="P63" s="32">
        <f>VLOOKUP($A63,[1]Sheet2!$A:$N,13,0)/100</f>
        <v>176</v>
      </c>
      <c r="Q63" s="32">
        <f>VLOOKUP($A63,[1]Sheet2!$A:$N,14,0)/100</f>
        <v>176</v>
      </c>
      <c r="T63" s="31"/>
      <c r="U63" s="31"/>
      <c r="V63" s="31"/>
      <c r="W63" s="30">
        <f t="shared" si="4"/>
        <v>56</v>
      </c>
      <c r="X63" s="24">
        <f>P63*11%+W63</f>
        <v>75.36</v>
      </c>
    </row>
    <row r="64" spans="1:24" hidden="1" x14ac:dyDescent="0.3">
      <c r="A64" s="36" t="s">
        <v>416</v>
      </c>
      <c r="B64" t="s">
        <v>928</v>
      </c>
      <c r="C64" s="31">
        <v>80</v>
      </c>
      <c r="D64" t="s">
        <v>268</v>
      </c>
      <c r="E64" s="8">
        <v>2170</v>
      </c>
      <c r="F64" t="s">
        <v>627</v>
      </c>
      <c r="G64" s="29">
        <v>7.0000000000000007E-2</v>
      </c>
      <c r="H64" s="30">
        <v>151.9</v>
      </c>
      <c r="I64">
        <v>0</v>
      </c>
      <c r="J64" s="31">
        <f t="shared" si="6"/>
        <v>205</v>
      </c>
      <c r="K64" s="33">
        <f t="shared" si="0"/>
        <v>151.9</v>
      </c>
      <c r="L64" s="33">
        <f t="shared" si="1"/>
        <v>151.9</v>
      </c>
      <c r="M64" s="33">
        <f t="shared" si="2"/>
        <v>151.9</v>
      </c>
      <c r="N64" s="32">
        <f t="shared" si="3"/>
        <v>0</v>
      </c>
      <c r="O64" s="32" t="str">
        <f>VLOOKUP($A64,[1]Sheet2!$A:$N,6,0)</f>
        <v>John Cornelius</v>
      </c>
      <c r="P64" s="32">
        <f>VLOOKUP($A64,[1]Sheet2!$A:$N,13,0)/100</f>
        <v>205</v>
      </c>
      <c r="Q64" s="32">
        <f>VLOOKUP($A64,[1]Sheet2!$A:$N,14,0)/100</f>
        <v>205</v>
      </c>
      <c r="T64" s="31"/>
      <c r="U64" s="31"/>
      <c r="V64" s="31"/>
      <c r="W64" s="30">
        <f t="shared" si="4"/>
        <v>53.099999999999994</v>
      </c>
      <c r="X64" s="24">
        <f>P64*11%+W64</f>
        <v>75.649999999999991</v>
      </c>
    </row>
    <row r="65" spans="1:24" x14ac:dyDescent="0.3">
      <c r="A65" s="36" t="s">
        <v>477</v>
      </c>
      <c r="B65" t="s">
        <v>369</v>
      </c>
      <c r="C65" s="31">
        <v>82</v>
      </c>
      <c r="D65" t="s">
        <v>283</v>
      </c>
      <c r="E65" s="19">
        <v>250</v>
      </c>
      <c r="F65" s="21" t="s">
        <v>627</v>
      </c>
      <c r="G65" s="20">
        <v>0.1</v>
      </c>
      <c r="H65" s="48">
        <v>25</v>
      </c>
      <c r="I65">
        <v>0</v>
      </c>
      <c r="J65" s="31">
        <f t="shared" si="6"/>
        <v>0</v>
      </c>
      <c r="K65" s="33">
        <f t="shared" si="0"/>
        <v>25</v>
      </c>
      <c r="L65" s="33">
        <f t="shared" si="1"/>
        <v>25</v>
      </c>
      <c r="M65" s="33">
        <f t="shared" si="2"/>
        <v>25</v>
      </c>
      <c r="N65" s="32">
        <f t="shared" si="3"/>
        <v>1</v>
      </c>
      <c r="O65" s="45" t="str">
        <f>VLOOKUP($A65,[1]Sheet2!$A:$N,6,0)</f>
        <v>Almata Atastana</v>
      </c>
      <c r="P65" s="32">
        <f>VLOOKUP($A65,[1]Sheet2!$A:$N,13,0)/100</f>
        <v>5</v>
      </c>
      <c r="Q65" s="32">
        <f>VLOOKUP($A65,[1]Sheet2!$A:$N,14,0)/100</f>
        <v>25</v>
      </c>
      <c r="T65" s="31"/>
      <c r="U65" s="31"/>
      <c r="V65" s="31">
        <v>5</v>
      </c>
      <c r="W65" s="30">
        <f t="shared" si="4"/>
        <v>-20</v>
      </c>
    </row>
    <row r="66" spans="1:24" x14ac:dyDescent="0.3">
      <c r="A66" s="31" t="s">
        <v>475</v>
      </c>
      <c r="B66" t="s">
        <v>484</v>
      </c>
      <c r="C66" s="31">
        <v>77</v>
      </c>
      <c r="D66" t="s">
        <v>268</v>
      </c>
      <c r="E66" s="19">
        <v>600</v>
      </c>
      <c r="F66" s="21" t="s">
        <v>624</v>
      </c>
      <c r="G66" s="20">
        <v>7.0000000000000007E-2</v>
      </c>
      <c r="H66" s="48">
        <v>42.000000000000007</v>
      </c>
      <c r="I66" s="29">
        <v>0.1</v>
      </c>
      <c r="J66" s="31">
        <f t="shared" si="6"/>
        <v>0</v>
      </c>
      <c r="K66" s="33">
        <f t="shared" ref="K66:K129" si="7">H66</f>
        <v>42.000000000000007</v>
      </c>
      <c r="L66" s="33">
        <f t="shared" ref="L66:L129" si="8">H66+E66*(I66/2)</f>
        <v>72</v>
      </c>
      <c r="M66" s="33">
        <f t="shared" ref="M66:M129" si="9">H66+E66*I66</f>
        <v>102</v>
      </c>
      <c r="N66" s="32">
        <f t="shared" ref="N66:N129" si="10">IF(SUM(R66:V66)&gt;0,1,0)</f>
        <v>1</v>
      </c>
      <c r="O66" s="45" t="str">
        <f>VLOOKUP($A66,[1]Sheet2!$A:$N,6,0)</f>
        <v>Kuralay Kateryne</v>
      </c>
      <c r="P66" s="32">
        <f>VLOOKUP($A66,[1]Sheet2!$A:$N,13,0)/100</f>
        <v>22</v>
      </c>
      <c r="Q66" s="32">
        <f>VLOOKUP($A66,[1]Sheet2!$A:$N,14,0)/100</f>
        <v>35</v>
      </c>
      <c r="T66" s="31"/>
      <c r="U66" s="31"/>
      <c r="V66" s="31">
        <v>33</v>
      </c>
      <c r="W66" s="30">
        <f t="shared" ref="W66:W129" si="11">P66-H66</f>
        <v>-20.000000000000007</v>
      </c>
    </row>
    <row r="67" spans="1:24" hidden="1" x14ac:dyDescent="0.3">
      <c r="A67" s="31" t="s">
        <v>330</v>
      </c>
      <c r="B67" t="s">
        <v>943</v>
      </c>
      <c r="C67" s="31">
        <v>108</v>
      </c>
      <c r="D67" t="s">
        <v>374</v>
      </c>
      <c r="E67" s="5">
        <v>145</v>
      </c>
      <c r="F67" t="s">
        <v>623</v>
      </c>
      <c r="G67" s="29">
        <v>0.12</v>
      </c>
      <c r="H67" s="30">
        <v>17.399999999999999</v>
      </c>
      <c r="I67" s="29">
        <v>0.1</v>
      </c>
      <c r="J67" s="31">
        <f t="shared" si="6"/>
        <v>67.5</v>
      </c>
      <c r="K67" s="33">
        <f t="shared" si="7"/>
        <v>17.399999999999999</v>
      </c>
      <c r="L67" s="33">
        <f t="shared" si="8"/>
        <v>24.65</v>
      </c>
      <c r="M67" s="33">
        <f t="shared" si="9"/>
        <v>31.9</v>
      </c>
      <c r="N67" s="32">
        <f t="shared" si="10"/>
        <v>1</v>
      </c>
      <c r="O67" s="32" t="str">
        <f>VLOOKUP($A67,[1]Sheet2!$A:$N,6,0)</f>
        <v>Daniel Gray</v>
      </c>
      <c r="P67" s="32">
        <f>VLOOKUP($A67,[1]Sheet2!$A:$N,13,0)/100</f>
        <v>67.5</v>
      </c>
      <c r="Q67" s="32">
        <f>VLOOKUP($A67,[1]Sheet2!$A:$N,14,0)/100</f>
        <v>68</v>
      </c>
      <c r="T67" s="31">
        <v>28.08</v>
      </c>
      <c r="U67" s="31"/>
      <c r="V67" s="31"/>
      <c r="W67" s="30">
        <f t="shared" si="11"/>
        <v>50.1</v>
      </c>
      <c r="X67" s="24">
        <f t="shared" ref="X67:X73" si="12">P67*11%+W67</f>
        <v>57.524999999999999</v>
      </c>
    </row>
    <row r="68" spans="1:24" hidden="1" x14ac:dyDescent="0.3">
      <c r="A68" s="31" t="s">
        <v>541</v>
      </c>
      <c r="B68" t="s">
        <v>853</v>
      </c>
      <c r="C68" s="31">
        <v>179</v>
      </c>
      <c r="D68" t="s">
        <v>283</v>
      </c>
      <c r="E68" s="8">
        <v>3900</v>
      </c>
      <c r="F68" t="s">
        <v>629</v>
      </c>
      <c r="G68" s="29">
        <v>0.1</v>
      </c>
      <c r="H68" s="30">
        <v>390</v>
      </c>
      <c r="I68" s="29">
        <v>0.1</v>
      </c>
      <c r="J68" s="31">
        <f t="shared" si="6"/>
        <v>440</v>
      </c>
      <c r="K68" s="33">
        <f t="shared" si="7"/>
        <v>390</v>
      </c>
      <c r="L68" s="33">
        <f t="shared" si="8"/>
        <v>585</v>
      </c>
      <c r="M68" s="33">
        <f t="shared" si="9"/>
        <v>780</v>
      </c>
      <c r="N68" s="32">
        <f t="shared" si="10"/>
        <v>0</v>
      </c>
      <c r="O68" s="32" t="str">
        <f>VLOOKUP($A68,[1]Sheet2!$A:$N,6,0)</f>
        <v>stephen sykes</v>
      </c>
      <c r="P68" s="32">
        <f>VLOOKUP($A68,[1]Sheet2!$A:$N,13,0)/100</f>
        <v>440</v>
      </c>
      <c r="Q68" s="32">
        <f>VLOOKUP($A68,[1]Sheet2!$A:$N,14,0)/100</f>
        <v>440</v>
      </c>
      <c r="T68" s="31"/>
      <c r="U68" s="31"/>
      <c r="V68" s="31"/>
      <c r="W68" s="30">
        <f t="shared" si="11"/>
        <v>50</v>
      </c>
      <c r="X68" s="24">
        <f t="shared" si="12"/>
        <v>98.4</v>
      </c>
    </row>
    <row r="69" spans="1:24" hidden="1" x14ac:dyDescent="0.3">
      <c r="A69" s="31" t="s">
        <v>457</v>
      </c>
      <c r="B69" t="s">
        <v>913</v>
      </c>
      <c r="C69" s="31">
        <v>29</v>
      </c>
      <c r="D69" t="s">
        <v>283</v>
      </c>
      <c r="E69" s="8">
        <v>3418</v>
      </c>
      <c r="F69" t="s">
        <v>629</v>
      </c>
      <c r="G69" s="29">
        <v>0.1</v>
      </c>
      <c r="H69" s="30">
        <v>341.8</v>
      </c>
      <c r="I69" s="29">
        <v>0.1</v>
      </c>
      <c r="J69" s="31">
        <f t="shared" si="6"/>
        <v>390</v>
      </c>
      <c r="K69" s="33">
        <f t="shared" si="7"/>
        <v>341.8</v>
      </c>
      <c r="L69" s="33">
        <f t="shared" si="8"/>
        <v>512.70000000000005</v>
      </c>
      <c r="M69" s="33">
        <f t="shared" si="9"/>
        <v>683.6</v>
      </c>
      <c r="N69" s="32">
        <f t="shared" si="10"/>
        <v>0</v>
      </c>
      <c r="O69" s="32" t="str">
        <f>VLOOKUP($A69,[1]Sheet2!$A:$N,6,0)</f>
        <v>stephen sykes</v>
      </c>
      <c r="P69" s="32">
        <f>VLOOKUP($A69,[1]Sheet2!$A:$N,13,0)/100</f>
        <v>390</v>
      </c>
      <c r="Q69" s="32">
        <f>VLOOKUP($A69,[1]Sheet2!$A:$N,14,0)/100</f>
        <v>390</v>
      </c>
      <c r="T69" s="31"/>
      <c r="U69" s="31"/>
      <c r="V69" s="31"/>
      <c r="W69" s="30">
        <f t="shared" si="11"/>
        <v>48.199999999999989</v>
      </c>
      <c r="X69" s="24">
        <f t="shared" si="12"/>
        <v>91.1</v>
      </c>
    </row>
    <row r="70" spans="1:24" hidden="1" x14ac:dyDescent="0.3">
      <c r="A70" s="31" t="s">
        <v>792</v>
      </c>
      <c r="B70" t="s">
        <v>793</v>
      </c>
      <c r="C70" s="31">
        <v>141</v>
      </c>
      <c r="D70" t="s">
        <v>283</v>
      </c>
      <c r="E70" s="8">
        <v>500</v>
      </c>
      <c r="F70" t="s">
        <v>629</v>
      </c>
      <c r="G70" s="29">
        <v>0.1</v>
      </c>
      <c r="H70" s="30">
        <v>50</v>
      </c>
      <c r="I70" s="29">
        <v>0.1</v>
      </c>
      <c r="J70" s="31">
        <f t="shared" si="6"/>
        <v>95</v>
      </c>
      <c r="K70" s="33">
        <f t="shared" si="7"/>
        <v>50</v>
      </c>
      <c r="L70" s="33">
        <f t="shared" si="8"/>
        <v>75</v>
      </c>
      <c r="M70" s="33">
        <f t="shared" si="9"/>
        <v>100</v>
      </c>
      <c r="N70" s="32">
        <f t="shared" si="10"/>
        <v>0</v>
      </c>
      <c r="O70" s="32" t="str">
        <f>VLOOKUP($A70,[1]Sheet2!$A:$N,6,0)</f>
        <v>Joseph Horodyski</v>
      </c>
      <c r="P70" s="32">
        <f>VLOOKUP($A70,[1]Sheet2!$A:$N,13,0)/100</f>
        <v>95</v>
      </c>
      <c r="Q70" s="32">
        <f>VLOOKUP($A70,[1]Sheet2!$A:$N,14,0)/100</f>
        <v>95</v>
      </c>
      <c r="T70" s="31"/>
      <c r="U70" s="31"/>
      <c r="V70" s="31"/>
      <c r="W70" s="30">
        <f t="shared" si="11"/>
        <v>45</v>
      </c>
      <c r="X70" s="24">
        <f t="shared" si="12"/>
        <v>55.45</v>
      </c>
    </row>
    <row r="71" spans="1:24" hidden="1" x14ac:dyDescent="0.3">
      <c r="A71" s="31" t="s">
        <v>820</v>
      </c>
      <c r="B71" t="s">
        <v>821</v>
      </c>
      <c r="C71" s="31">
        <v>158</v>
      </c>
      <c r="D71" t="s">
        <v>283</v>
      </c>
      <c r="E71" s="8">
        <v>3198</v>
      </c>
      <c r="F71" t="s">
        <v>629</v>
      </c>
      <c r="G71" s="29">
        <v>0.1</v>
      </c>
      <c r="H71" s="30">
        <v>319.8</v>
      </c>
      <c r="I71" s="29">
        <v>0.1</v>
      </c>
      <c r="J71" s="31">
        <f t="shared" si="6"/>
        <v>363.5</v>
      </c>
      <c r="K71" s="33">
        <f t="shared" si="7"/>
        <v>319.8</v>
      </c>
      <c r="L71" s="33">
        <f t="shared" si="8"/>
        <v>479.70000000000005</v>
      </c>
      <c r="M71" s="33">
        <f t="shared" si="9"/>
        <v>639.6</v>
      </c>
      <c r="N71" s="32">
        <f t="shared" si="10"/>
        <v>0</v>
      </c>
      <c r="O71" s="32" t="str">
        <f>VLOOKUP($A71,[1]Sheet2!$A:$N,6,0)</f>
        <v>Eduardo Torres</v>
      </c>
      <c r="P71" s="32">
        <f>VLOOKUP($A71,[1]Sheet2!$A:$N,13,0)/100</f>
        <v>363.5</v>
      </c>
      <c r="Q71" s="32">
        <f>VLOOKUP($A71,[1]Sheet2!$A:$N,14,0)/100</f>
        <v>363.5</v>
      </c>
      <c r="T71" s="31"/>
      <c r="U71" s="31"/>
      <c r="V71" s="31"/>
      <c r="W71" s="30">
        <f t="shared" si="11"/>
        <v>43.699999999999989</v>
      </c>
      <c r="X71" s="24">
        <f t="shared" si="12"/>
        <v>83.684999999999988</v>
      </c>
    </row>
    <row r="72" spans="1:24" hidden="1" x14ac:dyDescent="0.3">
      <c r="A72" s="31" t="s">
        <v>748</v>
      </c>
      <c r="B72" t="s">
        <v>749</v>
      </c>
      <c r="C72" s="31">
        <v>111</v>
      </c>
      <c r="D72" t="s">
        <v>268</v>
      </c>
      <c r="E72" s="8">
        <v>254</v>
      </c>
      <c r="F72" t="s">
        <v>628</v>
      </c>
      <c r="G72" s="29">
        <v>7.0000000000000007E-2</v>
      </c>
      <c r="H72" s="30">
        <v>17.78</v>
      </c>
      <c r="I72" s="29">
        <v>0.1</v>
      </c>
      <c r="J72" s="31">
        <f t="shared" ref="J72:J103" si="13">IF(P72&gt;K72,P72,0)</f>
        <v>60</v>
      </c>
      <c r="K72" s="33">
        <f t="shared" si="7"/>
        <v>17.78</v>
      </c>
      <c r="L72" s="33">
        <f t="shared" si="8"/>
        <v>30.480000000000004</v>
      </c>
      <c r="M72" s="33">
        <f t="shared" si="9"/>
        <v>43.180000000000007</v>
      </c>
      <c r="N72" s="32">
        <f t="shared" si="10"/>
        <v>1</v>
      </c>
      <c r="O72" s="32" t="str">
        <f>VLOOKUP($A72,[1]Sheet2!$A:$N,6,0)</f>
        <v>Candyce Talton</v>
      </c>
      <c r="P72" s="32">
        <f>VLOOKUP($A72,[1]Sheet2!$A:$N,13,0)/100</f>
        <v>60</v>
      </c>
      <c r="Q72" s="32">
        <f>VLOOKUP($A72,[1]Sheet2!$A:$N,14,0)/100</f>
        <v>60</v>
      </c>
      <c r="R72" s="31">
        <v>31</v>
      </c>
      <c r="S72" s="31">
        <v>36</v>
      </c>
      <c r="T72" s="31">
        <v>54.55</v>
      </c>
      <c r="U72" s="31"/>
      <c r="V72" s="31"/>
      <c r="W72" s="30">
        <f t="shared" si="11"/>
        <v>42.22</v>
      </c>
      <c r="X72" s="24">
        <f t="shared" si="12"/>
        <v>48.82</v>
      </c>
    </row>
    <row r="73" spans="1:24" hidden="1" x14ac:dyDescent="0.3">
      <c r="A73" s="31" t="s">
        <v>296</v>
      </c>
      <c r="B73" t="s">
        <v>920</v>
      </c>
      <c r="C73" s="31">
        <v>43</v>
      </c>
      <c r="D73" t="s">
        <v>283</v>
      </c>
      <c r="E73" s="8">
        <v>1048</v>
      </c>
      <c r="F73" t="s">
        <v>627</v>
      </c>
      <c r="G73" s="29">
        <v>0.1</v>
      </c>
      <c r="H73" s="30">
        <v>104.80000000000001</v>
      </c>
      <c r="I73" s="29">
        <v>0.06</v>
      </c>
      <c r="J73" s="31">
        <f t="shared" si="13"/>
        <v>146</v>
      </c>
      <c r="K73" s="33">
        <f t="shared" si="7"/>
        <v>104.80000000000001</v>
      </c>
      <c r="L73" s="33">
        <f t="shared" si="8"/>
        <v>136.24</v>
      </c>
      <c r="M73" s="33">
        <f t="shared" si="9"/>
        <v>167.68</v>
      </c>
      <c r="N73" s="32">
        <f t="shared" si="10"/>
        <v>0</v>
      </c>
      <c r="O73" s="32" t="str">
        <f>VLOOKUP($A73,[1]Sheet2!$A:$N,6,0)</f>
        <v>Patricio Marquez</v>
      </c>
      <c r="P73" s="32">
        <f>VLOOKUP($A73,[1]Sheet2!$A:$N,13,0)/100</f>
        <v>146</v>
      </c>
      <c r="Q73" s="32">
        <f>VLOOKUP($A73,[1]Sheet2!$A:$N,14,0)/100</f>
        <v>150</v>
      </c>
      <c r="T73" s="31"/>
      <c r="U73" s="31"/>
      <c r="V73" s="31"/>
      <c r="W73" s="30">
        <f t="shared" si="11"/>
        <v>41.199999999999989</v>
      </c>
      <c r="X73" s="24">
        <f t="shared" si="12"/>
        <v>57.259999999999991</v>
      </c>
    </row>
    <row r="74" spans="1:24" x14ac:dyDescent="0.3">
      <c r="A74" s="36" t="s">
        <v>290</v>
      </c>
      <c r="B74" t="s">
        <v>915</v>
      </c>
      <c r="C74" s="31">
        <v>33</v>
      </c>
      <c r="D74" t="s">
        <v>283</v>
      </c>
      <c r="E74" s="19">
        <v>2451</v>
      </c>
      <c r="F74" s="21" t="s">
        <v>627</v>
      </c>
      <c r="G74" s="20">
        <v>0.1</v>
      </c>
      <c r="H74" s="48">
        <v>245.10000000000002</v>
      </c>
      <c r="I74">
        <v>0</v>
      </c>
      <c r="J74" s="31">
        <f t="shared" si="13"/>
        <v>0</v>
      </c>
      <c r="K74" s="33">
        <f t="shared" si="7"/>
        <v>245.10000000000002</v>
      </c>
      <c r="L74" s="35">
        <f t="shared" si="8"/>
        <v>245.10000000000002</v>
      </c>
      <c r="M74" s="35">
        <f t="shared" si="9"/>
        <v>245.10000000000002</v>
      </c>
      <c r="N74" s="32">
        <f t="shared" si="10"/>
        <v>0</v>
      </c>
      <c r="O74" s="45" t="str">
        <f>VLOOKUP($A74,[1]Sheet2!$A:$N,6,0)</f>
        <v>Almata Atastana</v>
      </c>
      <c r="P74" s="32">
        <f>VLOOKUP($A74,[1]Sheet2!$A:$N,13,0)/100</f>
        <v>225</v>
      </c>
      <c r="Q74" s="32">
        <f>VLOOKUP($A74,[1]Sheet2!$A:$N,14,0)/100</f>
        <v>240</v>
      </c>
      <c r="T74" s="31"/>
      <c r="U74" s="31"/>
      <c r="V74" s="31"/>
      <c r="W74" s="30">
        <f t="shared" si="11"/>
        <v>-20.100000000000023</v>
      </c>
    </row>
    <row r="75" spans="1:24" x14ac:dyDescent="0.3">
      <c r="A75" s="31" t="s">
        <v>865</v>
      </c>
      <c r="B75" t="s">
        <v>866</v>
      </c>
      <c r="C75" s="31">
        <v>186</v>
      </c>
      <c r="D75" t="s">
        <v>283</v>
      </c>
      <c r="E75" s="19">
        <v>498</v>
      </c>
      <c r="F75" s="21" t="s">
        <v>625</v>
      </c>
      <c r="G75" s="20">
        <v>0.1</v>
      </c>
      <c r="H75" s="48">
        <v>49.800000000000004</v>
      </c>
      <c r="I75" s="29">
        <v>0.1</v>
      </c>
      <c r="J75" s="31">
        <f t="shared" si="13"/>
        <v>0</v>
      </c>
      <c r="K75" s="33">
        <f t="shared" si="7"/>
        <v>49.800000000000004</v>
      </c>
      <c r="L75" s="33">
        <f t="shared" si="8"/>
        <v>74.7</v>
      </c>
      <c r="M75" s="33">
        <f t="shared" si="9"/>
        <v>99.600000000000009</v>
      </c>
      <c r="N75" s="32">
        <f t="shared" si="10"/>
        <v>0</v>
      </c>
      <c r="O75" s="45" t="str">
        <f>VLOOKUP($A75,[1]Sheet2!$A:$N,6,0)</f>
        <v>Almata Atastana</v>
      </c>
      <c r="P75" s="32">
        <f>VLOOKUP($A75,[1]Sheet2!$A:$N,13,0)/100</f>
        <v>29</v>
      </c>
      <c r="Q75" s="32">
        <f>VLOOKUP($A75,[1]Sheet2!$A:$N,14,0)/100</f>
        <v>230</v>
      </c>
      <c r="T75" s="31"/>
      <c r="U75" s="31"/>
      <c r="V75" s="31"/>
      <c r="W75" s="30">
        <f t="shared" si="11"/>
        <v>-20.800000000000004</v>
      </c>
    </row>
    <row r="76" spans="1:24" hidden="1" x14ac:dyDescent="0.3">
      <c r="A76" s="31" t="s">
        <v>806</v>
      </c>
      <c r="B76" t="s">
        <v>807</v>
      </c>
      <c r="C76" s="31">
        <v>150</v>
      </c>
      <c r="D76" t="s">
        <v>283</v>
      </c>
      <c r="E76" s="8">
        <v>698</v>
      </c>
      <c r="F76" t="s">
        <v>628</v>
      </c>
      <c r="G76" s="29">
        <v>0.1</v>
      </c>
      <c r="H76" s="30">
        <v>69.8</v>
      </c>
      <c r="I76" s="29">
        <v>0.1</v>
      </c>
      <c r="J76" s="31">
        <f t="shared" si="13"/>
        <v>110</v>
      </c>
      <c r="K76" s="33">
        <f t="shared" si="7"/>
        <v>69.8</v>
      </c>
      <c r="L76" s="33">
        <f t="shared" si="8"/>
        <v>104.69999999999999</v>
      </c>
      <c r="M76" s="33">
        <f t="shared" si="9"/>
        <v>139.6</v>
      </c>
      <c r="N76" s="32">
        <f t="shared" si="10"/>
        <v>0</v>
      </c>
      <c r="O76" s="32" t="str">
        <f>VLOOKUP($A76,[1]Sheet2!$A:$N,6,0)</f>
        <v>Jesus Salinas</v>
      </c>
      <c r="P76" s="32">
        <f>VLOOKUP($A76,[1]Sheet2!$A:$N,13,0)/100</f>
        <v>110</v>
      </c>
      <c r="Q76" s="32">
        <f>VLOOKUP($A76,[1]Sheet2!$A:$N,14,0)/100</f>
        <v>110</v>
      </c>
      <c r="T76" s="31"/>
      <c r="U76" s="31"/>
      <c r="V76" s="31"/>
      <c r="W76" s="30">
        <f t="shared" si="11"/>
        <v>40.200000000000003</v>
      </c>
      <c r="X76" s="24">
        <f>P76*11%+W76</f>
        <v>52.300000000000004</v>
      </c>
    </row>
    <row r="77" spans="1:24" hidden="1" x14ac:dyDescent="0.3">
      <c r="A77" s="31" t="s">
        <v>279</v>
      </c>
      <c r="B77" t="s">
        <v>909</v>
      </c>
      <c r="C77" s="31">
        <v>21</v>
      </c>
      <c r="D77" t="s">
        <v>283</v>
      </c>
      <c r="E77" s="8">
        <v>2898</v>
      </c>
      <c r="F77" t="s">
        <v>628</v>
      </c>
      <c r="G77" s="29">
        <v>0.1</v>
      </c>
      <c r="H77" s="30">
        <v>289.8</v>
      </c>
      <c r="I77" s="29">
        <v>0.1</v>
      </c>
      <c r="J77" s="31">
        <f t="shared" si="13"/>
        <v>330</v>
      </c>
      <c r="K77" s="33">
        <f t="shared" si="7"/>
        <v>289.8</v>
      </c>
      <c r="L77" s="33">
        <f t="shared" si="8"/>
        <v>434.70000000000005</v>
      </c>
      <c r="M77" s="33">
        <f t="shared" si="9"/>
        <v>579.6</v>
      </c>
      <c r="N77" s="32">
        <f t="shared" si="10"/>
        <v>0</v>
      </c>
      <c r="O77" s="32" t="str">
        <f>VLOOKUP($A77,[1]Sheet2!$A:$N,6,0)</f>
        <v>Elicia Mackey</v>
      </c>
      <c r="P77" s="32">
        <f>VLOOKUP($A77,[1]Sheet2!$A:$N,13,0)/100</f>
        <v>330</v>
      </c>
      <c r="Q77" s="32">
        <f>VLOOKUP($A77,[1]Sheet2!$A:$N,14,0)/100</f>
        <v>330</v>
      </c>
      <c r="T77" s="31"/>
      <c r="U77" s="31"/>
      <c r="V77" s="31"/>
      <c r="W77" s="30">
        <f t="shared" si="11"/>
        <v>40.199999999999989</v>
      </c>
      <c r="X77" s="24">
        <f>P77*11%+W77</f>
        <v>76.499999999999986</v>
      </c>
    </row>
    <row r="78" spans="1:24" x14ac:dyDescent="0.3">
      <c r="A78" s="36" t="s">
        <v>944</v>
      </c>
      <c r="B78" t="s">
        <v>359</v>
      </c>
      <c r="C78" s="31">
        <v>110</v>
      </c>
      <c r="D78" t="s">
        <v>283</v>
      </c>
      <c r="E78" s="19">
        <v>269</v>
      </c>
      <c r="F78" s="21" t="s">
        <v>631</v>
      </c>
      <c r="G78" s="20">
        <v>0.1</v>
      </c>
      <c r="H78" s="48">
        <v>26.900000000000002</v>
      </c>
      <c r="I78" s="29">
        <v>0.02</v>
      </c>
      <c r="J78" s="31">
        <f t="shared" si="13"/>
        <v>0</v>
      </c>
      <c r="K78" s="33">
        <f t="shared" si="7"/>
        <v>26.900000000000002</v>
      </c>
      <c r="L78" s="33">
        <f t="shared" si="8"/>
        <v>29.590000000000003</v>
      </c>
      <c r="M78" s="33">
        <f t="shared" si="9"/>
        <v>32.28</v>
      </c>
      <c r="N78" s="32">
        <f t="shared" si="10"/>
        <v>1</v>
      </c>
      <c r="O78" s="45" t="str">
        <f>VLOOKUP($A78,[1]Sheet2!$A:$N,6,0)</f>
        <v>Almata Atastana</v>
      </c>
      <c r="P78" s="32">
        <f>VLOOKUP($A78,[1]Sheet2!$A:$N,13,0)/100</f>
        <v>5</v>
      </c>
      <c r="Q78" s="32">
        <f>VLOOKUP($A78,[1]Sheet2!$A:$N,14,0)/100</f>
        <v>30</v>
      </c>
      <c r="T78" s="31"/>
      <c r="U78" s="31"/>
      <c r="V78" s="31">
        <v>43</v>
      </c>
      <c r="W78" s="30">
        <f t="shared" si="11"/>
        <v>-21.900000000000002</v>
      </c>
    </row>
    <row r="79" spans="1:24" hidden="1" x14ac:dyDescent="0.3">
      <c r="A79" s="31" t="s">
        <v>499</v>
      </c>
      <c r="B79" t="s">
        <v>765</v>
      </c>
      <c r="C79" s="31">
        <v>124</v>
      </c>
      <c r="D79" t="s">
        <v>283</v>
      </c>
      <c r="E79" s="8">
        <v>799</v>
      </c>
      <c r="F79" t="s">
        <v>629</v>
      </c>
      <c r="G79" s="29">
        <v>0.1</v>
      </c>
      <c r="H79" s="30">
        <v>79.900000000000006</v>
      </c>
      <c r="I79" s="29">
        <v>0.1</v>
      </c>
      <c r="J79" s="31">
        <f t="shared" si="13"/>
        <v>120</v>
      </c>
      <c r="K79" s="33">
        <f t="shared" si="7"/>
        <v>79.900000000000006</v>
      </c>
      <c r="L79" s="33">
        <f t="shared" si="8"/>
        <v>119.85000000000001</v>
      </c>
      <c r="M79" s="33">
        <f t="shared" si="9"/>
        <v>159.80000000000001</v>
      </c>
      <c r="N79" s="32">
        <f t="shared" si="10"/>
        <v>0</v>
      </c>
      <c r="O79" s="32" t="str">
        <f>VLOOKUP($A79,[1]Sheet2!$A:$N,6,0)</f>
        <v>Jesus Salinas</v>
      </c>
      <c r="P79" s="32">
        <f>VLOOKUP($A79,[1]Sheet2!$A:$N,13,0)/100</f>
        <v>120</v>
      </c>
      <c r="Q79" s="32">
        <f>VLOOKUP($A79,[1]Sheet2!$A:$N,14,0)/100</f>
        <v>120</v>
      </c>
      <c r="T79" s="31"/>
      <c r="U79" s="31"/>
      <c r="V79" s="31"/>
      <c r="W79" s="30">
        <f t="shared" si="11"/>
        <v>40.099999999999994</v>
      </c>
      <c r="X79" s="24">
        <f>P79*11%+W79</f>
        <v>53.3</v>
      </c>
    </row>
    <row r="80" spans="1:24" hidden="1" x14ac:dyDescent="0.3">
      <c r="A80" s="31" t="s">
        <v>440</v>
      </c>
      <c r="B80" t="s">
        <v>750</v>
      </c>
      <c r="C80" s="31">
        <v>114</v>
      </c>
      <c r="D80" t="s">
        <v>268</v>
      </c>
      <c r="E80" s="8">
        <v>1000</v>
      </c>
      <c r="F80" t="s">
        <v>624</v>
      </c>
      <c r="G80" s="29">
        <v>7.0000000000000007E-2</v>
      </c>
      <c r="H80" s="30">
        <v>70</v>
      </c>
      <c r="I80" s="29">
        <v>0.1</v>
      </c>
      <c r="J80" s="31">
        <f t="shared" si="13"/>
        <v>110</v>
      </c>
      <c r="K80" s="33">
        <f t="shared" si="7"/>
        <v>70</v>
      </c>
      <c r="L80" s="33">
        <f t="shared" si="8"/>
        <v>120</v>
      </c>
      <c r="M80" s="33">
        <f t="shared" si="9"/>
        <v>170</v>
      </c>
      <c r="N80" s="32">
        <f t="shared" si="10"/>
        <v>1</v>
      </c>
      <c r="O80" s="32" t="str">
        <f>VLOOKUP($A80,[1]Sheet2!$A:$N,6,0)</f>
        <v>Jesus Salinas</v>
      </c>
      <c r="P80" s="32">
        <f>VLOOKUP($A80,[1]Sheet2!$A:$N,13,0)/100</f>
        <v>110</v>
      </c>
      <c r="Q80" s="32">
        <f>VLOOKUP($A80,[1]Sheet2!$A:$N,14,0)/100</f>
        <v>110</v>
      </c>
      <c r="T80" s="31"/>
      <c r="U80" s="31">
        <v>200</v>
      </c>
      <c r="V80" s="31"/>
      <c r="W80" s="30">
        <f t="shared" si="11"/>
        <v>40</v>
      </c>
      <c r="X80" s="24">
        <f>P80*11%+W80</f>
        <v>52.1</v>
      </c>
    </row>
    <row r="81" spans="1:24" hidden="1" x14ac:dyDescent="0.3">
      <c r="A81" s="31" t="s">
        <v>766</v>
      </c>
      <c r="B81" t="s">
        <v>767</v>
      </c>
      <c r="C81" s="31">
        <v>125</v>
      </c>
      <c r="D81" t="s">
        <v>283</v>
      </c>
      <c r="E81" s="8">
        <v>600</v>
      </c>
      <c r="F81" t="s">
        <v>631</v>
      </c>
      <c r="G81" s="29">
        <v>0.1</v>
      </c>
      <c r="H81" s="30">
        <v>60</v>
      </c>
      <c r="I81" s="29">
        <v>0.06</v>
      </c>
      <c r="J81" s="31">
        <f t="shared" si="13"/>
        <v>100</v>
      </c>
      <c r="K81" s="33">
        <f t="shared" si="7"/>
        <v>60</v>
      </c>
      <c r="L81" s="33">
        <f t="shared" si="8"/>
        <v>78</v>
      </c>
      <c r="M81" s="33">
        <f t="shared" si="9"/>
        <v>96</v>
      </c>
      <c r="N81" s="32">
        <f t="shared" si="10"/>
        <v>0</v>
      </c>
      <c r="O81" s="32" t="str">
        <f>VLOOKUP($A81,[1]Sheet2!$A:$N,6,0)</f>
        <v>Cliff Tucker</v>
      </c>
      <c r="P81" s="32">
        <f>VLOOKUP($A81,[1]Sheet2!$A:$N,13,0)/100</f>
        <v>100</v>
      </c>
      <c r="Q81" s="32">
        <f>VLOOKUP($A81,[1]Sheet2!$A:$N,14,0)/100</f>
        <v>100</v>
      </c>
      <c r="T81" s="31"/>
      <c r="U81" s="31"/>
      <c r="V81" s="31"/>
      <c r="W81" s="30">
        <f t="shared" si="11"/>
        <v>40</v>
      </c>
      <c r="X81" s="24">
        <f>P81*11%+W81</f>
        <v>51</v>
      </c>
    </row>
    <row r="82" spans="1:24" hidden="1" x14ac:dyDescent="0.3">
      <c r="A82" s="31" t="s">
        <v>878</v>
      </c>
      <c r="B82" t="s">
        <v>879</v>
      </c>
      <c r="C82" s="31">
        <v>193</v>
      </c>
      <c r="D82" t="s">
        <v>283</v>
      </c>
      <c r="E82" s="8">
        <v>4950</v>
      </c>
      <c r="F82" t="s">
        <v>624</v>
      </c>
      <c r="G82" s="29">
        <v>0.1</v>
      </c>
      <c r="H82" s="30">
        <v>495</v>
      </c>
      <c r="I82" s="29">
        <v>0.1</v>
      </c>
      <c r="J82" s="31">
        <f t="shared" si="13"/>
        <v>534</v>
      </c>
      <c r="K82" s="33">
        <f t="shared" si="7"/>
        <v>495</v>
      </c>
      <c r="L82" s="33">
        <f t="shared" si="8"/>
        <v>742.5</v>
      </c>
      <c r="M82" s="33">
        <f t="shared" si="9"/>
        <v>990</v>
      </c>
      <c r="N82" s="32">
        <f t="shared" si="10"/>
        <v>0</v>
      </c>
      <c r="O82" s="32" t="str">
        <f>VLOOKUP($A82,[1]Sheet2!$A:$N,6,0)</f>
        <v>stephen sykes</v>
      </c>
      <c r="P82" s="32">
        <f>VLOOKUP($A82,[1]Sheet2!$A:$N,13,0)/100</f>
        <v>534</v>
      </c>
      <c r="Q82" s="32">
        <f>VLOOKUP($A82,[1]Sheet2!$A:$N,14,0)/100</f>
        <v>534</v>
      </c>
      <c r="T82" s="31"/>
      <c r="U82" s="31"/>
      <c r="V82" s="31"/>
      <c r="W82" s="30">
        <f t="shared" si="11"/>
        <v>39</v>
      </c>
      <c r="X82" s="24">
        <f>P82*11%+W82</f>
        <v>97.740000000000009</v>
      </c>
    </row>
    <row r="83" spans="1:24" x14ac:dyDescent="0.3">
      <c r="A83" s="36" t="s">
        <v>800</v>
      </c>
      <c r="B83" t="s">
        <v>801</v>
      </c>
      <c r="C83" s="31">
        <v>146</v>
      </c>
      <c r="D83" t="s">
        <v>283</v>
      </c>
      <c r="E83" s="19">
        <v>748</v>
      </c>
      <c r="F83" s="21" t="s">
        <v>627</v>
      </c>
      <c r="G83" s="20">
        <v>0.1</v>
      </c>
      <c r="H83" s="48">
        <v>74.8</v>
      </c>
      <c r="I83">
        <v>0</v>
      </c>
      <c r="J83" s="31">
        <f t="shared" si="13"/>
        <v>0</v>
      </c>
      <c r="K83" s="33">
        <f t="shared" si="7"/>
        <v>74.8</v>
      </c>
      <c r="L83" s="33">
        <f t="shared" si="8"/>
        <v>74.8</v>
      </c>
      <c r="M83" s="33">
        <f t="shared" si="9"/>
        <v>74.8</v>
      </c>
      <c r="N83" s="32">
        <f t="shared" si="10"/>
        <v>0</v>
      </c>
      <c r="O83" s="45" t="str">
        <f>VLOOKUP($A83,[1]Sheet2!$A:$N,6,0)</f>
        <v>Kuralay Kateryne</v>
      </c>
      <c r="P83" s="32">
        <f>VLOOKUP($A83,[1]Sheet2!$A:$N,13,0)/100</f>
        <v>46</v>
      </c>
      <c r="Q83" s="32">
        <f>VLOOKUP($A83,[1]Sheet2!$A:$N,14,0)/100</f>
        <v>75</v>
      </c>
      <c r="T83" s="31"/>
      <c r="U83" s="31"/>
      <c r="V83" s="31"/>
      <c r="W83" s="30">
        <f t="shared" si="11"/>
        <v>-28.799999999999997</v>
      </c>
    </row>
    <row r="84" spans="1:24" hidden="1" x14ac:dyDescent="0.3">
      <c r="A84" s="31" t="s">
        <v>869</v>
      </c>
      <c r="B84" t="s">
        <v>870</v>
      </c>
      <c r="C84" s="31">
        <v>188</v>
      </c>
      <c r="D84" t="s">
        <v>283</v>
      </c>
      <c r="E84" s="8">
        <v>1620</v>
      </c>
      <c r="F84" t="s">
        <v>624</v>
      </c>
      <c r="G84" s="29">
        <v>0.1</v>
      </c>
      <c r="H84" s="30">
        <v>162</v>
      </c>
      <c r="I84" s="29">
        <v>0.1</v>
      </c>
      <c r="J84" s="31">
        <f t="shared" si="13"/>
        <v>200</v>
      </c>
      <c r="K84" s="33">
        <f t="shared" si="7"/>
        <v>162</v>
      </c>
      <c r="L84" s="33">
        <f t="shared" si="8"/>
        <v>243</v>
      </c>
      <c r="M84" s="33">
        <f t="shared" si="9"/>
        <v>324</v>
      </c>
      <c r="N84" s="32">
        <f t="shared" si="10"/>
        <v>0</v>
      </c>
      <c r="O84" s="32" t="str">
        <f>VLOOKUP($A84,[1]Sheet2!$A:$N,6,0)</f>
        <v>BEST OZUMBA</v>
      </c>
      <c r="P84" s="32">
        <f>VLOOKUP($A84,[1]Sheet2!$A:$N,13,0)/100</f>
        <v>200</v>
      </c>
      <c r="Q84" s="32">
        <f>VLOOKUP($A84,[1]Sheet2!$A:$N,14,0)/100</f>
        <v>200</v>
      </c>
      <c r="T84" s="31"/>
      <c r="U84" s="31"/>
      <c r="V84" s="31"/>
      <c r="W84" s="30">
        <f t="shared" si="11"/>
        <v>38</v>
      </c>
      <c r="X84" s="24">
        <f>P84*11%+W84</f>
        <v>60</v>
      </c>
    </row>
    <row r="85" spans="1:24" hidden="1" x14ac:dyDescent="0.3">
      <c r="A85" s="31" t="s">
        <v>872</v>
      </c>
      <c r="B85" t="s">
        <v>873</v>
      </c>
      <c r="C85" s="31">
        <v>190</v>
      </c>
      <c r="D85" t="s">
        <v>283</v>
      </c>
      <c r="E85" s="8">
        <v>300</v>
      </c>
      <c r="F85" t="s">
        <v>624</v>
      </c>
      <c r="G85" s="29">
        <v>0.1</v>
      </c>
      <c r="H85" s="30">
        <v>30</v>
      </c>
      <c r="I85" s="29">
        <v>0.1</v>
      </c>
      <c r="J85" s="31">
        <f t="shared" si="13"/>
        <v>67.5</v>
      </c>
      <c r="K85" s="33">
        <f t="shared" si="7"/>
        <v>30</v>
      </c>
      <c r="L85" s="33">
        <f t="shared" si="8"/>
        <v>45</v>
      </c>
      <c r="M85" s="33">
        <f t="shared" si="9"/>
        <v>60</v>
      </c>
      <c r="N85" s="32">
        <f t="shared" si="10"/>
        <v>0</v>
      </c>
      <c r="O85" s="32" t="str">
        <f>VLOOKUP($A85,[1]Sheet2!$A:$N,6,0)</f>
        <v>juan fong</v>
      </c>
      <c r="P85" s="32">
        <f>VLOOKUP($A85,[1]Sheet2!$A:$N,13,0)/100</f>
        <v>67.5</v>
      </c>
      <c r="Q85" s="32">
        <f>VLOOKUP($A85,[1]Sheet2!$A:$N,14,0)/100</f>
        <v>67.5</v>
      </c>
      <c r="T85" s="31"/>
      <c r="U85" s="31"/>
      <c r="V85" s="31"/>
      <c r="W85" s="30">
        <f t="shared" si="11"/>
        <v>37.5</v>
      </c>
      <c r="X85" s="24">
        <f>P85*11%+W85</f>
        <v>44.924999999999997</v>
      </c>
    </row>
    <row r="86" spans="1:24" hidden="1" x14ac:dyDescent="0.3">
      <c r="A86" s="31" t="s">
        <v>432</v>
      </c>
      <c r="B86" t="s">
        <v>423</v>
      </c>
      <c r="C86" s="31">
        <v>105</v>
      </c>
      <c r="D86" t="s">
        <v>268</v>
      </c>
      <c r="E86" s="8">
        <v>350</v>
      </c>
      <c r="F86" t="s">
        <v>623</v>
      </c>
      <c r="G86" s="29">
        <v>7.0000000000000007E-2</v>
      </c>
      <c r="H86" s="30">
        <v>24.500000000000004</v>
      </c>
      <c r="I86" s="29">
        <v>0.1</v>
      </c>
      <c r="J86" s="31">
        <f t="shared" si="13"/>
        <v>60</v>
      </c>
      <c r="K86" s="33">
        <f t="shared" si="7"/>
        <v>24.500000000000004</v>
      </c>
      <c r="L86" s="33">
        <f t="shared" si="8"/>
        <v>42</v>
      </c>
      <c r="M86" s="33">
        <f t="shared" si="9"/>
        <v>59.5</v>
      </c>
      <c r="N86" s="32">
        <f t="shared" si="10"/>
        <v>1</v>
      </c>
      <c r="O86" s="32" t="str">
        <f>VLOOKUP($A86,[1]Sheet2!$A:$N,6,0)</f>
        <v>Jeremy Lowrance</v>
      </c>
      <c r="P86" s="32">
        <f>VLOOKUP($A86,[1]Sheet2!$A:$N,13,0)/100</f>
        <v>60</v>
      </c>
      <c r="Q86" s="32">
        <f>VLOOKUP($A86,[1]Sheet2!$A:$N,14,0)/100</f>
        <v>60</v>
      </c>
      <c r="T86" s="31"/>
      <c r="U86" s="31"/>
      <c r="V86" s="31">
        <v>41</v>
      </c>
      <c r="W86" s="30">
        <f t="shared" si="11"/>
        <v>35.5</v>
      </c>
      <c r="X86" s="24">
        <f>P86*11%+W86</f>
        <v>42.1</v>
      </c>
    </row>
    <row r="87" spans="1:24" hidden="1" x14ac:dyDescent="0.3">
      <c r="A87" s="31" t="s">
        <v>545</v>
      </c>
      <c r="B87" t="s">
        <v>862</v>
      </c>
      <c r="C87" s="31">
        <v>184</v>
      </c>
      <c r="D87" t="s">
        <v>283</v>
      </c>
      <c r="E87" s="8">
        <v>1300</v>
      </c>
      <c r="F87" t="s">
        <v>623</v>
      </c>
      <c r="G87" s="29">
        <v>0.1</v>
      </c>
      <c r="H87" s="30">
        <v>130</v>
      </c>
      <c r="I87" s="29">
        <v>0.1</v>
      </c>
      <c r="J87" s="31">
        <f t="shared" si="13"/>
        <v>165</v>
      </c>
      <c r="K87" s="33">
        <f t="shared" si="7"/>
        <v>130</v>
      </c>
      <c r="L87" s="33">
        <f t="shared" si="8"/>
        <v>195</v>
      </c>
      <c r="M87" s="33">
        <f t="shared" si="9"/>
        <v>260</v>
      </c>
      <c r="N87" s="32">
        <f t="shared" si="10"/>
        <v>0</v>
      </c>
      <c r="O87" s="32" t="str">
        <f>VLOOKUP($A87,[1]Sheet2!$A:$N,6,0)</f>
        <v>Ha Nguyen</v>
      </c>
      <c r="P87" s="32">
        <f>VLOOKUP($A87,[1]Sheet2!$A:$N,13,0)/100</f>
        <v>165</v>
      </c>
      <c r="Q87" s="32">
        <f>VLOOKUP($A87,[1]Sheet2!$A:$N,14,0)/100</f>
        <v>165</v>
      </c>
      <c r="T87" s="31"/>
      <c r="U87" s="31"/>
      <c r="V87" s="31"/>
      <c r="W87" s="30">
        <f t="shared" si="11"/>
        <v>35</v>
      </c>
      <c r="X87" s="24">
        <f>P87*11%+W87</f>
        <v>53.15</v>
      </c>
    </row>
    <row r="88" spans="1:24" hidden="1" x14ac:dyDescent="0.3">
      <c r="A88" s="31" t="s">
        <v>929</v>
      </c>
      <c r="B88" t="s">
        <v>561</v>
      </c>
      <c r="C88" s="31">
        <v>85</v>
      </c>
      <c r="D88" t="s">
        <v>283</v>
      </c>
      <c r="E88" s="8">
        <v>5400</v>
      </c>
      <c r="F88" t="s">
        <v>625</v>
      </c>
      <c r="G88" s="29">
        <v>0.1</v>
      </c>
      <c r="H88" s="30">
        <v>540</v>
      </c>
      <c r="I88" s="29">
        <v>0.1</v>
      </c>
      <c r="J88" s="31">
        <f t="shared" si="13"/>
        <v>570</v>
      </c>
      <c r="K88" s="33">
        <f t="shared" si="7"/>
        <v>540</v>
      </c>
      <c r="L88" s="33">
        <f t="shared" si="8"/>
        <v>810</v>
      </c>
      <c r="M88" s="33">
        <f t="shared" si="9"/>
        <v>1080</v>
      </c>
      <c r="N88" s="32">
        <f t="shared" si="10"/>
        <v>1</v>
      </c>
      <c r="O88" s="32" t="str">
        <f>VLOOKUP($A88,[1]Sheet2!$A:$N,6,0)</f>
        <v>joel wadley</v>
      </c>
      <c r="P88" s="32">
        <f>VLOOKUP($A88,[1]Sheet2!$A:$N,13,0)/100</f>
        <v>570</v>
      </c>
      <c r="Q88" s="32">
        <f>VLOOKUP($A88,[1]Sheet2!$A:$N,14,0)/100</f>
        <v>570</v>
      </c>
      <c r="T88" s="31"/>
      <c r="U88" s="31"/>
      <c r="V88" s="31">
        <v>405</v>
      </c>
      <c r="W88" s="30">
        <f t="shared" si="11"/>
        <v>30</v>
      </c>
      <c r="X88" s="24">
        <f>P88*11%+W88</f>
        <v>92.7</v>
      </c>
    </row>
    <row r="89" spans="1:24" x14ac:dyDescent="0.3">
      <c r="A89" s="31" t="s">
        <v>823</v>
      </c>
      <c r="B89" t="s">
        <v>824</v>
      </c>
      <c r="C89" s="31">
        <v>160</v>
      </c>
      <c r="D89" t="s">
        <v>283</v>
      </c>
      <c r="E89" s="19">
        <v>4250</v>
      </c>
      <c r="F89" s="21" t="s">
        <v>624</v>
      </c>
      <c r="G89" s="20">
        <v>0.1</v>
      </c>
      <c r="H89" s="48">
        <v>425</v>
      </c>
      <c r="I89" s="29">
        <v>0.1</v>
      </c>
      <c r="J89" s="31">
        <f t="shared" si="13"/>
        <v>0</v>
      </c>
      <c r="K89" s="33">
        <f t="shared" si="7"/>
        <v>425</v>
      </c>
      <c r="L89" s="33">
        <f t="shared" si="8"/>
        <v>637.5</v>
      </c>
      <c r="M89" s="33">
        <f t="shared" si="9"/>
        <v>850</v>
      </c>
      <c r="N89" s="32">
        <f t="shared" si="10"/>
        <v>0</v>
      </c>
      <c r="O89" s="45" t="str">
        <f>VLOOKUP($A89,[1]Sheet2!$A:$N,6,0)</f>
        <v>Kuralay Kateryne</v>
      </c>
      <c r="P89" s="32">
        <f>VLOOKUP($A89,[1]Sheet2!$A:$N,13,0)/100</f>
        <v>395.75</v>
      </c>
      <c r="Q89" s="32">
        <f>VLOOKUP($A89,[1]Sheet2!$A:$N,14,0)/100</f>
        <v>425</v>
      </c>
      <c r="T89" s="31"/>
      <c r="U89" s="31"/>
      <c r="V89" s="31"/>
      <c r="W89" s="30">
        <f t="shared" si="11"/>
        <v>-29.25</v>
      </c>
    </row>
    <row r="90" spans="1:24" x14ac:dyDescent="0.3">
      <c r="A90" s="31" t="s">
        <v>851</v>
      </c>
      <c r="B90" t="s">
        <v>852</v>
      </c>
      <c r="C90" s="31">
        <v>178</v>
      </c>
      <c r="D90" t="s">
        <v>283</v>
      </c>
      <c r="E90" s="19">
        <v>800</v>
      </c>
      <c r="F90" s="21" t="s">
        <v>624</v>
      </c>
      <c r="G90" s="20">
        <v>0.1</v>
      </c>
      <c r="H90" s="48">
        <v>80</v>
      </c>
      <c r="I90" s="29">
        <v>0.1</v>
      </c>
      <c r="J90" s="31">
        <f t="shared" si="13"/>
        <v>0</v>
      </c>
      <c r="K90" s="33">
        <f t="shared" si="7"/>
        <v>80</v>
      </c>
      <c r="L90" s="33">
        <f t="shared" si="8"/>
        <v>120</v>
      </c>
      <c r="M90" s="33">
        <f t="shared" si="9"/>
        <v>160</v>
      </c>
      <c r="N90" s="32">
        <f t="shared" si="10"/>
        <v>0</v>
      </c>
      <c r="O90" s="45" t="str">
        <f>VLOOKUP($A90,[1]Sheet2!$A:$N,6,0)</f>
        <v>Kuralay Kateryne</v>
      </c>
      <c r="P90" s="32">
        <f>VLOOKUP($A90,[1]Sheet2!$A:$N,13,0)/100</f>
        <v>48</v>
      </c>
      <c r="Q90" s="32">
        <f>VLOOKUP($A90,[1]Sheet2!$A:$N,14,0)/100</f>
        <v>80</v>
      </c>
      <c r="T90" s="31"/>
      <c r="U90" s="31"/>
      <c r="V90" s="31"/>
      <c r="W90" s="30">
        <f t="shared" si="11"/>
        <v>-32</v>
      </c>
    </row>
    <row r="91" spans="1:24" hidden="1" x14ac:dyDescent="0.3">
      <c r="A91" s="31" t="s">
        <v>885</v>
      </c>
      <c r="B91" t="s">
        <v>886</v>
      </c>
      <c r="C91" s="31">
        <v>197</v>
      </c>
      <c r="D91" t="s">
        <v>283</v>
      </c>
      <c r="E91" s="8">
        <v>1150</v>
      </c>
      <c r="F91" t="s">
        <v>623</v>
      </c>
      <c r="G91" s="29">
        <v>0.1</v>
      </c>
      <c r="H91" s="30">
        <v>115</v>
      </c>
      <c r="I91" s="29">
        <v>0.1</v>
      </c>
      <c r="J91" s="31">
        <f t="shared" si="13"/>
        <v>145</v>
      </c>
      <c r="K91" s="33">
        <f t="shared" si="7"/>
        <v>115</v>
      </c>
      <c r="L91" s="33">
        <f t="shared" si="8"/>
        <v>172.5</v>
      </c>
      <c r="M91" s="33">
        <f t="shared" si="9"/>
        <v>230</v>
      </c>
      <c r="N91" s="32">
        <f t="shared" si="10"/>
        <v>0</v>
      </c>
      <c r="O91" s="32" t="str">
        <f>VLOOKUP($A91,[1]Sheet2!$A:$N,6,0)</f>
        <v>Sean Moss</v>
      </c>
      <c r="P91" s="32">
        <f>VLOOKUP($A91,[1]Sheet2!$A:$N,13,0)/100</f>
        <v>145</v>
      </c>
      <c r="Q91" s="32">
        <f>VLOOKUP($A91,[1]Sheet2!$A:$N,14,0)/100</f>
        <v>145</v>
      </c>
      <c r="T91" s="31"/>
      <c r="U91" s="31"/>
      <c r="V91" s="31"/>
      <c r="W91" s="30">
        <f t="shared" si="11"/>
        <v>30</v>
      </c>
      <c r="X91" s="24">
        <f>P91*11%+W91</f>
        <v>45.95</v>
      </c>
    </row>
    <row r="92" spans="1:24" hidden="1" x14ac:dyDescent="0.3">
      <c r="A92" s="31" t="s">
        <v>798</v>
      </c>
      <c r="B92" t="s">
        <v>799</v>
      </c>
      <c r="C92" s="31">
        <v>145</v>
      </c>
      <c r="D92" t="s">
        <v>283</v>
      </c>
      <c r="E92" s="8">
        <v>750</v>
      </c>
      <c r="F92" t="s">
        <v>624</v>
      </c>
      <c r="G92" s="29">
        <v>0.1</v>
      </c>
      <c r="H92" s="30">
        <v>75</v>
      </c>
      <c r="I92" s="29">
        <v>0.1</v>
      </c>
      <c r="J92" s="31">
        <f t="shared" si="13"/>
        <v>105</v>
      </c>
      <c r="K92" s="33">
        <f t="shared" si="7"/>
        <v>75</v>
      </c>
      <c r="L92" s="33">
        <f t="shared" si="8"/>
        <v>112.5</v>
      </c>
      <c r="M92" s="33">
        <f t="shared" si="9"/>
        <v>150</v>
      </c>
      <c r="N92" s="32">
        <f t="shared" si="10"/>
        <v>0</v>
      </c>
      <c r="O92" s="32" t="str">
        <f>VLOOKUP($A92,[1]Sheet2!$A:$N,6,0)</f>
        <v>Jesus Salinas</v>
      </c>
      <c r="P92" s="32">
        <f>VLOOKUP($A92,[1]Sheet2!$A:$N,13,0)/100</f>
        <v>105</v>
      </c>
      <c r="Q92" s="32">
        <f>VLOOKUP($A92,[1]Sheet2!$A:$N,14,0)/100</f>
        <v>105</v>
      </c>
      <c r="T92" s="31"/>
      <c r="U92" s="31"/>
      <c r="V92" s="31"/>
      <c r="W92" s="30">
        <f t="shared" si="11"/>
        <v>30</v>
      </c>
      <c r="X92" s="24">
        <f>P92*11%+W92</f>
        <v>41.55</v>
      </c>
    </row>
    <row r="93" spans="1:24" hidden="1" x14ac:dyDescent="0.3">
      <c r="A93" s="31" t="s">
        <v>583</v>
      </c>
      <c r="B93" t="s">
        <v>584</v>
      </c>
      <c r="C93" s="31">
        <v>73</v>
      </c>
      <c r="D93" t="s">
        <v>374</v>
      </c>
      <c r="E93" s="5">
        <v>90</v>
      </c>
      <c r="F93" t="s">
        <v>624</v>
      </c>
      <c r="G93" s="29">
        <v>0.12</v>
      </c>
      <c r="H93" s="30">
        <v>10.799999999999999</v>
      </c>
      <c r="I93" s="29">
        <v>0.1</v>
      </c>
      <c r="J93" s="31">
        <f t="shared" si="13"/>
        <v>40</v>
      </c>
      <c r="K93" s="33">
        <f t="shared" si="7"/>
        <v>10.799999999999999</v>
      </c>
      <c r="L93" s="33">
        <f t="shared" si="8"/>
        <v>15.299999999999999</v>
      </c>
      <c r="M93" s="33">
        <f t="shared" si="9"/>
        <v>19.799999999999997</v>
      </c>
      <c r="N93" s="32">
        <f t="shared" si="10"/>
        <v>1</v>
      </c>
      <c r="O93" s="32" t="str">
        <f>VLOOKUP($A93,[1]Sheet2!$A:$N,6,0)</f>
        <v>patrick lemke</v>
      </c>
      <c r="P93" s="32">
        <f>VLOOKUP($A93,[1]Sheet2!$A:$N,13,0)/100</f>
        <v>40</v>
      </c>
      <c r="Q93" s="32">
        <f>VLOOKUP($A93,[1]Sheet2!$A:$N,14,0)/100</f>
        <v>40</v>
      </c>
      <c r="T93" s="31"/>
      <c r="U93" s="31"/>
      <c r="V93" s="31">
        <v>24</v>
      </c>
      <c r="W93" s="30">
        <f t="shared" si="11"/>
        <v>29.200000000000003</v>
      </c>
      <c r="X93" s="24">
        <f>P93*11%+W93</f>
        <v>33.6</v>
      </c>
    </row>
    <row r="94" spans="1:24" x14ac:dyDescent="0.3">
      <c r="A94" s="31" t="s">
        <v>854</v>
      </c>
      <c r="B94" t="s">
        <v>855</v>
      </c>
      <c r="C94" s="31">
        <v>180</v>
      </c>
      <c r="D94" t="s">
        <v>283</v>
      </c>
      <c r="E94" s="19">
        <v>698</v>
      </c>
      <c r="F94" s="21" t="s">
        <v>629</v>
      </c>
      <c r="G94" s="20">
        <v>0.1</v>
      </c>
      <c r="H94" s="48">
        <v>69.8</v>
      </c>
      <c r="I94" s="29">
        <v>0.1</v>
      </c>
      <c r="J94" s="31">
        <f t="shared" si="13"/>
        <v>0</v>
      </c>
      <c r="K94" s="33">
        <f t="shared" si="7"/>
        <v>69.8</v>
      </c>
      <c r="L94" s="33">
        <f t="shared" si="8"/>
        <v>104.69999999999999</v>
      </c>
      <c r="M94" s="33">
        <f t="shared" si="9"/>
        <v>139.6</v>
      </c>
      <c r="N94" s="32">
        <f t="shared" si="10"/>
        <v>0</v>
      </c>
      <c r="O94" s="45" t="str">
        <f>VLOOKUP($A94,[1]Sheet2!$A:$N,6,0)</f>
        <v>Kuralay Kateryne</v>
      </c>
      <c r="P94" s="32">
        <f>VLOOKUP($A94,[1]Sheet2!$A:$N,13,0)/100</f>
        <v>29</v>
      </c>
      <c r="Q94" s="32">
        <f>VLOOKUP($A94,[1]Sheet2!$A:$N,14,0)/100</f>
        <v>70</v>
      </c>
      <c r="T94" s="31"/>
      <c r="U94" s="31"/>
      <c r="V94" s="31"/>
      <c r="W94" s="30">
        <f t="shared" si="11"/>
        <v>-40.799999999999997</v>
      </c>
    </row>
    <row r="95" spans="1:24" hidden="1" x14ac:dyDescent="0.3">
      <c r="A95" s="31" t="s">
        <v>846</v>
      </c>
      <c r="B95" t="s">
        <v>847</v>
      </c>
      <c r="C95" s="31">
        <v>175</v>
      </c>
      <c r="D95" t="s">
        <v>283</v>
      </c>
      <c r="E95" s="8">
        <v>459</v>
      </c>
      <c r="F95" t="s">
        <v>623</v>
      </c>
      <c r="G95" s="29">
        <v>0.1</v>
      </c>
      <c r="H95" s="30">
        <v>45.900000000000006</v>
      </c>
      <c r="I95" s="29">
        <v>0.1</v>
      </c>
      <c r="J95" s="31">
        <f t="shared" si="13"/>
        <v>72.5</v>
      </c>
      <c r="K95" s="33">
        <f t="shared" si="7"/>
        <v>45.900000000000006</v>
      </c>
      <c r="L95" s="33">
        <f t="shared" si="8"/>
        <v>68.850000000000009</v>
      </c>
      <c r="M95" s="33">
        <f t="shared" si="9"/>
        <v>91.800000000000011</v>
      </c>
      <c r="N95" s="32">
        <f t="shared" si="10"/>
        <v>0</v>
      </c>
      <c r="O95" s="32" t="str">
        <f>VLOOKUP($A95,[1]Sheet2!$A:$N,6,0)</f>
        <v>Jesus Salinas</v>
      </c>
      <c r="P95" s="32">
        <f>VLOOKUP($A95,[1]Sheet2!$A:$N,13,0)/100</f>
        <v>72.5</v>
      </c>
      <c r="Q95" s="32">
        <f>VLOOKUP($A95,[1]Sheet2!$A:$N,14,0)/100</f>
        <v>72.5</v>
      </c>
      <c r="T95" s="31"/>
      <c r="U95" s="31"/>
      <c r="V95" s="31"/>
      <c r="W95" s="30">
        <f t="shared" si="11"/>
        <v>26.599999999999994</v>
      </c>
      <c r="X95" s="24">
        <f>P95*11%+W95</f>
        <v>34.574999999999996</v>
      </c>
    </row>
    <row r="96" spans="1:24" hidden="1" x14ac:dyDescent="0.3">
      <c r="A96" s="31">
        <v>22</v>
      </c>
      <c r="B96" t="s">
        <v>734</v>
      </c>
      <c r="C96" s="31">
        <v>40</v>
      </c>
      <c r="D96" t="s">
        <v>374</v>
      </c>
      <c r="E96" s="5">
        <v>180</v>
      </c>
      <c r="F96" t="s">
        <v>625</v>
      </c>
      <c r="G96" s="29">
        <v>0.12</v>
      </c>
      <c r="H96" s="30">
        <v>21.599999999999998</v>
      </c>
      <c r="I96" s="29">
        <v>0.1</v>
      </c>
      <c r="J96" s="31">
        <f t="shared" si="13"/>
        <v>47</v>
      </c>
      <c r="K96" s="33">
        <f t="shared" si="7"/>
        <v>21.599999999999998</v>
      </c>
      <c r="L96" s="33">
        <f t="shared" si="8"/>
        <v>30.599999999999998</v>
      </c>
      <c r="M96" s="33">
        <f t="shared" si="9"/>
        <v>39.599999999999994</v>
      </c>
      <c r="N96" s="32">
        <f t="shared" si="10"/>
        <v>1</v>
      </c>
      <c r="O96" s="32" t="str">
        <f>VLOOKUP($A96,[1]Sheet2!$A:$N,6,0)</f>
        <v>jack witte</v>
      </c>
      <c r="P96" s="32">
        <f>VLOOKUP($A96,[1]Sheet2!$A:$N,13,0)/100</f>
        <v>47</v>
      </c>
      <c r="Q96" s="32">
        <f>VLOOKUP($A96,[1]Sheet2!$A:$N,14,0)/100</f>
        <v>47</v>
      </c>
      <c r="S96" s="31">
        <v>52.5</v>
      </c>
      <c r="T96" s="31"/>
      <c r="U96" s="31"/>
      <c r="V96" s="31"/>
      <c r="W96" s="30">
        <f t="shared" si="11"/>
        <v>25.400000000000002</v>
      </c>
      <c r="X96" s="24">
        <f>P96*11%+W96</f>
        <v>30.57</v>
      </c>
    </row>
    <row r="97" spans="1:24" hidden="1" x14ac:dyDescent="0.3">
      <c r="A97" s="31" t="s">
        <v>451</v>
      </c>
      <c r="B97" t="s">
        <v>908</v>
      </c>
      <c r="C97" s="31">
        <v>19</v>
      </c>
      <c r="D97" t="s">
        <v>283</v>
      </c>
      <c r="E97" s="8">
        <v>3498</v>
      </c>
      <c r="F97" t="s">
        <v>631</v>
      </c>
      <c r="G97" s="29">
        <v>0.1</v>
      </c>
      <c r="H97" s="30">
        <v>349.8</v>
      </c>
      <c r="I97" s="29">
        <v>0.06</v>
      </c>
      <c r="J97" s="31">
        <f t="shared" si="13"/>
        <v>375</v>
      </c>
      <c r="K97" s="33">
        <f t="shared" si="7"/>
        <v>349.8</v>
      </c>
      <c r="L97" s="33">
        <f t="shared" si="8"/>
        <v>454.74</v>
      </c>
      <c r="M97" s="33">
        <f t="shared" si="9"/>
        <v>559.68000000000006</v>
      </c>
      <c r="N97" s="32">
        <f t="shared" si="10"/>
        <v>0</v>
      </c>
      <c r="O97" s="32" t="str">
        <f>VLOOKUP($A97,[1]Sheet2!$A:$N,6,0)</f>
        <v>stephen sykes</v>
      </c>
      <c r="P97" s="32">
        <f>VLOOKUP($A97,[1]Sheet2!$A:$N,13,0)/100</f>
        <v>375</v>
      </c>
      <c r="Q97" s="32">
        <f>VLOOKUP($A97,[1]Sheet2!$A:$N,14,0)/100</f>
        <v>375</v>
      </c>
      <c r="T97" s="31"/>
      <c r="U97" s="31"/>
      <c r="V97" s="31"/>
      <c r="W97" s="30">
        <f t="shared" si="11"/>
        <v>25.199999999999989</v>
      </c>
      <c r="X97" s="24">
        <f>P97*11%+W97</f>
        <v>66.449999999999989</v>
      </c>
    </row>
    <row r="98" spans="1:24" x14ac:dyDescent="0.3">
      <c r="A98" s="36" t="s">
        <v>939</v>
      </c>
      <c r="B98" t="s">
        <v>413</v>
      </c>
      <c r="C98" s="31">
        <v>96</v>
      </c>
      <c r="D98" t="s">
        <v>283</v>
      </c>
      <c r="E98" s="19">
        <v>1148</v>
      </c>
      <c r="F98" s="21" t="s">
        <v>627</v>
      </c>
      <c r="G98" s="20">
        <v>0.1</v>
      </c>
      <c r="H98" s="48">
        <v>114.80000000000001</v>
      </c>
      <c r="I98">
        <v>0</v>
      </c>
      <c r="J98" s="31">
        <f t="shared" si="13"/>
        <v>0</v>
      </c>
      <c r="K98" s="33">
        <f t="shared" si="7"/>
        <v>114.80000000000001</v>
      </c>
      <c r="L98" s="33">
        <f t="shared" si="8"/>
        <v>114.80000000000001</v>
      </c>
      <c r="M98" s="33">
        <f t="shared" si="9"/>
        <v>114.80000000000001</v>
      </c>
      <c r="N98" s="32">
        <f t="shared" si="10"/>
        <v>0</v>
      </c>
      <c r="O98" s="45" t="str">
        <f>VLOOKUP($A98,[1]Sheet2!$A:$N,6,0)</f>
        <v>Sanzhar Houston</v>
      </c>
      <c r="P98" s="32">
        <f>VLOOKUP($A98,[1]Sheet2!$A:$N,13,0)/100</f>
        <v>72.5</v>
      </c>
      <c r="Q98" s="32">
        <f>VLOOKUP($A98,[1]Sheet2!$A:$N,14,0)/100</f>
        <v>110</v>
      </c>
      <c r="T98" s="31"/>
      <c r="U98" s="31"/>
      <c r="V98" s="31"/>
      <c r="W98" s="30">
        <f t="shared" si="11"/>
        <v>-42.300000000000011</v>
      </c>
    </row>
    <row r="99" spans="1:24" x14ac:dyDescent="0.3">
      <c r="A99" s="36" t="s">
        <v>887</v>
      </c>
      <c r="B99" t="s">
        <v>888</v>
      </c>
      <c r="C99" s="31">
        <v>198</v>
      </c>
      <c r="D99" t="s">
        <v>283</v>
      </c>
      <c r="E99" s="19">
        <v>800</v>
      </c>
      <c r="F99" s="21" t="s">
        <v>626</v>
      </c>
      <c r="G99" s="20">
        <v>0.1</v>
      </c>
      <c r="H99" s="48">
        <v>80</v>
      </c>
      <c r="I99" s="29">
        <v>0.04</v>
      </c>
      <c r="J99" s="31">
        <f t="shared" si="13"/>
        <v>0</v>
      </c>
      <c r="K99" s="33">
        <f t="shared" si="7"/>
        <v>80</v>
      </c>
      <c r="L99" s="33">
        <f t="shared" si="8"/>
        <v>96</v>
      </c>
      <c r="M99" s="33">
        <f t="shared" si="9"/>
        <v>112</v>
      </c>
      <c r="N99" s="32">
        <f t="shared" si="10"/>
        <v>0</v>
      </c>
      <c r="O99" s="45" t="str">
        <f>VLOOKUP($A99,[1]Sheet2!$A:$N,6,0)</f>
        <v>Kuralay Kateryne</v>
      </c>
      <c r="P99" s="32">
        <f>VLOOKUP($A99,[1]Sheet2!$A:$N,13,0)/100</f>
        <v>36</v>
      </c>
      <c r="Q99" s="32">
        <f>VLOOKUP($A99,[1]Sheet2!$A:$N,14,0)/100</f>
        <v>80</v>
      </c>
      <c r="T99" s="31"/>
      <c r="U99" s="31"/>
      <c r="V99" s="31"/>
      <c r="W99" s="30">
        <f t="shared" si="11"/>
        <v>-44</v>
      </c>
    </row>
    <row r="100" spans="1:24" hidden="1" x14ac:dyDescent="0.3">
      <c r="A100" s="31" t="s">
        <v>549</v>
      </c>
      <c r="B100" t="s">
        <v>871</v>
      </c>
      <c r="C100" s="31">
        <v>189</v>
      </c>
      <c r="D100" t="s">
        <v>283</v>
      </c>
      <c r="E100" s="8">
        <v>1199</v>
      </c>
      <c r="F100" t="s">
        <v>624</v>
      </c>
      <c r="G100" s="29">
        <v>0.1</v>
      </c>
      <c r="H100" s="30">
        <v>119.9</v>
      </c>
      <c r="I100" s="29">
        <v>0.1</v>
      </c>
      <c r="J100" s="31">
        <f t="shared" si="13"/>
        <v>145</v>
      </c>
      <c r="K100" s="33">
        <f t="shared" si="7"/>
        <v>119.9</v>
      </c>
      <c r="L100" s="33">
        <f t="shared" si="8"/>
        <v>179.85000000000002</v>
      </c>
      <c r="M100" s="33">
        <f t="shared" si="9"/>
        <v>239.8</v>
      </c>
      <c r="N100" s="32">
        <f t="shared" si="10"/>
        <v>0</v>
      </c>
      <c r="O100" s="32" t="str">
        <f>VLOOKUP($A100,[1]Sheet2!$A:$N,6,0)</f>
        <v>BEST OZUMBA</v>
      </c>
      <c r="P100" s="32">
        <f>VLOOKUP($A100,[1]Sheet2!$A:$N,13,0)/100</f>
        <v>145</v>
      </c>
      <c r="Q100" s="32">
        <f>VLOOKUP($A100,[1]Sheet2!$A:$N,14,0)/100</f>
        <v>145</v>
      </c>
      <c r="T100" s="31"/>
      <c r="U100" s="31"/>
      <c r="V100" s="31"/>
      <c r="W100" s="30">
        <f t="shared" si="11"/>
        <v>25.099999999999994</v>
      </c>
      <c r="X100" s="24">
        <f>P100*11%+W100</f>
        <v>41.05</v>
      </c>
    </row>
    <row r="101" spans="1:24" hidden="1" x14ac:dyDescent="0.3">
      <c r="A101" s="36" t="s">
        <v>790</v>
      </c>
      <c r="B101" t="s">
        <v>791</v>
      </c>
      <c r="C101" s="31">
        <v>140</v>
      </c>
      <c r="D101" t="s">
        <v>283</v>
      </c>
      <c r="E101" s="8">
        <v>1550</v>
      </c>
      <c r="F101" t="s">
        <v>630</v>
      </c>
      <c r="G101" s="29">
        <v>0.1</v>
      </c>
      <c r="H101" s="30">
        <v>155</v>
      </c>
      <c r="I101" s="29">
        <v>0.04</v>
      </c>
      <c r="J101" s="31">
        <f t="shared" si="13"/>
        <v>180</v>
      </c>
      <c r="K101" s="33">
        <f t="shared" si="7"/>
        <v>155</v>
      </c>
      <c r="L101" s="33">
        <f t="shared" si="8"/>
        <v>186</v>
      </c>
      <c r="M101" s="33">
        <f t="shared" si="9"/>
        <v>217</v>
      </c>
      <c r="N101" s="32">
        <f t="shared" si="10"/>
        <v>0</v>
      </c>
      <c r="O101" s="32" t="str">
        <f>VLOOKUP($A101,[1]Sheet2!$A:$N,6,0)</f>
        <v>victoria moon</v>
      </c>
      <c r="P101" s="32">
        <f>VLOOKUP($A101,[1]Sheet2!$A:$N,13,0)/100</f>
        <v>180</v>
      </c>
      <c r="Q101" s="32">
        <f>VLOOKUP($A101,[1]Sheet2!$A:$N,14,0)/100</f>
        <v>180</v>
      </c>
      <c r="T101" s="31"/>
      <c r="U101" s="31"/>
      <c r="V101" s="31"/>
      <c r="W101" s="30">
        <f t="shared" si="11"/>
        <v>25</v>
      </c>
      <c r="X101" s="24">
        <f>P101*11%+W101</f>
        <v>44.8</v>
      </c>
    </row>
    <row r="102" spans="1:24" hidden="1" x14ac:dyDescent="0.3">
      <c r="A102" s="31">
        <v>41</v>
      </c>
      <c r="B102" t="s">
        <v>860</v>
      </c>
      <c r="C102" s="31">
        <v>71</v>
      </c>
      <c r="D102" t="s">
        <v>283</v>
      </c>
      <c r="E102" s="5">
        <v>155</v>
      </c>
      <c r="F102" t="s">
        <v>623</v>
      </c>
      <c r="G102" s="29">
        <v>0.1</v>
      </c>
      <c r="H102" s="30">
        <v>15.5</v>
      </c>
      <c r="I102" s="29">
        <v>0.1</v>
      </c>
      <c r="J102" s="31">
        <f t="shared" si="13"/>
        <v>40</v>
      </c>
      <c r="K102" s="33">
        <f t="shared" si="7"/>
        <v>15.5</v>
      </c>
      <c r="L102" s="33">
        <f t="shared" si="8"/>
        <v>23.25</v>
      </c>
      <c r="M102" s="33">
        <f t="shared" si="9"/>
        <v>31</v>
      </c>
      <c r="N102" s="32">
        <f t="shared" si="10"/>
        <v>0</v>
      </c>
      <c r="O102" s="32" t="str">
        <f>VLOOKUP($A102,[1]Sheet2!$A:$N,6,0)</f>
        <v>Bernard Millette</v>
      </c>
      <c r="P102" s="32">
        <f>VLOOKUP($A102,[1]Sheet2!$A:$N,13,0)/100</f>
        <v>40</v>
      </c>
      <c r="Q102" s="32">
        <f>VLOOKUP($A102,[1]Sheet2!$A:$N,14,0)/100</f>
        <v>40</v>
      </c>
      <c r="T102" s="31"/>
      <c r="U102" s="31"/>
      <c r="V102" s="31"/>
      <c r="W102" s="30">
        <f t="shared" si="11"/>
        <v>24.5</v>
      </c>
      <c r="X102" s="24">
        <f>P102*11%+W102</f>
        <v>28.9</v>
      </c>
    </row>
    <row r="103" spans="1:24" hidden="1" x14ac:dyDescent="0.3">
      <c r="A103" s="31" t="s">
        <v>562</v>
      </c>
      <c r="B103" t="s">
        <v>898</v>
      </c>
      <c r="C103" s="31">
        <v>204</v>
      </c>
      <c r="D103" t="s">
        <v>268</v>
      </c>
      <c r="E103" s="5">
        <v>174</v>
      </c>
      <c r="F103" t="s">
        <v>624</v>
      </c>
      <c r="G103" s="29">
        <v>7.0000000000000007E-2</v>
      </c>
      <c r="H103" s="30">
        <v>12.180000000000001</v>
      </c>
      <c r="I103" s="29">
        <v>0.1</v>
      </c>
      <c r="J103" s="31">
        <f t="shared" si="13"/>
        <v>36</v>
      </c>
      <c r="K103" s="33">
        <f t="shared" si="7"/>
        <v>12.180000000000001</v>
      </c>
      <c r="L103" s="33">
        <f t="shared" si="8"/>
        <v>20.880000000000003</v>
      </c>
      <c r="M103" s="33">
        <f t="shared" si="9"/>
        <v>29.580000000000005</v>
      </c>
      <c r="N103" s="32">
        <f t="shared" si="10"/>
        <v>0</v>
      </c>
      <c r="O103" s="32" t="str">
        <f>VLOOKUP($A103,[1]Sheet2!$A:$N,6,0)</f>
        <v>Maddu Uday</v>
      </c>
      <c r="P103" s="32">
        <f>VLOOKUP($A103,[1]Sheet2!$A:$N,13,0)/100</f>
        <v>36</v>
      </c>
      <c r="Q103" s="32">
        <f>VLOOKUP($A103,[1]Sheet2!$A:$N,14,0)/100</f>
        <v>36</v>
      </c>
      <c r="T103" s="31"/>
      <c r="U103" s="31"/>
      <c r="V103" s="31"/>
      <c r="W103" s="30">
        <f t="shared" si="11"/>
        <v>23.82</v>
      </c>
      <c r="X103" s="24">
        <f>P103*11%+W103</f>
        <v>27.78</v>
      </c>
    </row>
    <row r="104" spans="1:24" x14ac:dyDescent="0.3">
      <c r="A104" s="36" t="s">
        <v>436</v>
      </c>
      <c r="B104" t="s">
        <v>536</v>
      </c>
      <c r="C104" s="31">
        <v>113</v>
      </c>
      <c r="D104" t="s">
        <v>283</v>
      </c>
      <c r="E104" s="19">
        <v>1089</v>
      </c>
      <c r="F104" s="21" t="s">
        <v>628</v>
      </c>
      <c r="G104" s="20">
        <v>0.1</v>
      </c>
      <c r="H104" s="48">
        <v>108.9</v>
      </c>
      <c r="I104" s="29">
        <v>0.04</v>
      </c>
      <c r="J104" s="31">
        <f t="shared" ref="J104:J135" si="14">IF(P104&gt;K104,P104,0)</f>
        <v>0</v>
      </c>
      <c r="K104" s="33">
        <f t="shared" si="7"/>
        <v>108.9</v>
      </c>
      <c r="L104" s="33">
        <f t="shared" si="8"/>
        <v>130.68</v>
      </c>
      <c r="M104" s="33">
        <f t="shared" si="9"/>
        <v>152.46</v>
      </c>
      <c r="N104" s="32">
        <f t="shared" si="10"/>
        <v>0</v>
      </c>
      <c r="O104" s="45" t="str">
        <f>VLOOKUP($A104,[1]Sheet2!$A:$N,6,0)</f>
        <v>Kuralay Kateryne</v>
      </c>
      <c r="P104" s="32">
        <f>VLOOKUP($A104,[1]Sheet2!$A:$N,13,0)/100</f>
        <v>60</v>
      </c>
      <c r="Q104" s="32">
        <f>VLOOKUP($A104,[1]Sheet2!$A:$N,14,0)/100</f>
        <v>1111</v>
      </c>
      <c r="T104" s="31"/>
      <c r="U104" s="31"/>
      <c r="V104" s="31"/>
      <c r="W104" s="30">
        <f t="shared" si="11"/>
        <v>-48.900000000000006</v>
      </c>
    </row>
    <row r="105" spans="1:24" hidden="1" x14ac:dyDescent="0.3">
      <c r="A105" s="31" t="s">
        <v>483</v>
      </c>
      <c r="B105" t="s">
        <v>478</v>
      </c>
      <c r="C105" s="31">
        <v>97</v>
      </c>
      <c r="D105" t="s">
        <v>283</v>
      </c>
      <c r="E105" s="8">
        <v>300</v>
      </c>
      <c r="F105" t="s">
        <v>623</v>
      </c>
      <c r="G105" s="29">
        <v>0.1</v>
      </c>
      <c r="H105" s="30">
        <v>30</v>
      </c>
      <c r="I105" s="29">
        <v>0.1</v>
      </c>
      <c r="J105" s="31">
        <f t="shared" si="14"/>
        <v>52.5</v>
      </c>
      <c r="K105" s="33">
        <f t="shared" si="7"/>
        <v>30</v>
      </c>
      <c r="L105" s="33">
        <f t="shared" si="8"/>
        <v>45</v>
      </c>
      <c r="M105" s="33">
        <f t="shared" si="9"/>
        <v>60</v>
      </c>
      <c r="N105" s="32">
        <f t="shared" si="10"/>
        <v>1</v>
      </c>
      <c r="O105" s="32" t="str">
        <f>VLOOKUP($A105,[1]Sheet2!$A:$N,6,0)</f>
        <v>joel wadley</v>
      </c>
      <c r="P105" s="32">
        <f>VLOOKUP($A105,[1]Sheet2!$A:$N,13,0)/100</f>
        <v>52.5</v>
      </c>
      <c r="Q105" s="32">
        <f>VLOOKUP($A105,[1]Sheet2!$A:$N,14,0)/100</f>
        <v>52.5</v>
      </c>
      <c r="S105" s="31">
        <v>70</v>
      </c>
      <c r="T105" s="31">
        <v>62.5</v>
      </c>
      <c r="U105" s="31"/>
      <c r="V105" s="31">
        <v>67.5</v>
      </c>
      <c r="W105" s="30">
        <f t="shared" si="11"/>
        <v>22.5</v>
      </c>
      <c r="X105" s="24">
        <f>P105*11%+W105</f>
        <v>28.274999999999999</v>
      </c>
    </row>
    <row r="106" spans="1:24" hidden="1" x14ac:dyDescent="0.3">
      <c r="A106" s="36" t="s">
        <v>292</v>
      </c>
      <c r="B106" t="s">
        <v>917</v>
      </c>
      <c r="C106" s="31">
        <v>37</v>
      </c>
      <c r="D106" t="s">
        <v>283</v>
      </c>
      <c r="E106" s="8">
        <v>2798</v>
      </c>
      <c r="F106" t="s">
        <v>627</v>
      </c>
      <c r="G106" s="29">
        <v>0.1</v>
      </c>
      <c r="H106" s="30">
        <v>279.8</v>
      </c>
      <c r="I106">
        <v>0</v>
      </c>
      <c r="J106" s="31">
        <f t="shared" si="14"/>
        <v>302</v>
      </c>
      <c r="K106" s="33">
        <f t="shared" si="7"/>
        <v>279.8</v>
      </c>
      <c r="L106" s="33">
        <f t="shared" si="8"/>
        <v>279.8</v>
      </c>
      <c r="M106" s="33">
        <f t="shared" si="9"/>
        <v>279.8</v>
      </c>
      <c r="N106" s="32">
        <f t="shared" si="10"/>
        <v>0</v>
      </c>
      <c r="O106" s="32" t="str">
        <f>VLOOKUP($A106,[1]Sheet2!$A:$N,6,0)</f>
        <v>Jeff Ong</v>
      </c>
      <c r="P106" s="32">
        <f>VLOOKUP($A106,[1]Sheet2!$A:$N,13,0)/100</f>
        <v>302</v>
      </c>
      <c r="Q106" s="32">
        <f>VLOOKUP($A106,[1]Sheet2!$A:$N,14,0)/100</f>
        <v>302</v>
      </c>
      <c r="T106" s="31"/>
      <c r="U106" s="31"/>
      <c r="V106" s="31"/>
      <c r="W106" s="30">
        <f t="shared" si="11"/>
        <v>22.199999999999989</v>
      </c>
      <c r="X106" s="24">
        <f>P106*11%+W106</f>
        <v>55.419999999999987</v>
      </c>
    </row>
    <row r="107" spans="1:24" hidden="1" x14ac:dyDescent="0.3">
      <c r="A107" s="31">
        <v>39</v>
      </c>
      <c r="B107" t="s">
        <v>762</v>
      </c>
      <c r="C107" s="31">
        <v>69</v>
      </c>
      <c r="D107" t="s">
        <v>400</v>
      </c>
      <c r="E107" s="5">
        <v>30</v>
      </c>
      <c r="F107" t="s">
        <v>624</v>
      </c>
      <c r="G107" s="29">
        <v>0.2</v>
      </c>
      <c r="H107" s="30">
        <v>6</v>
      </c>
      <c r="I107" s="29">
        <v>0.1</v>
      </c>
      <c r="J107" s="31">
        <f t="shared" si="14"/>
        <v>27</v>
      </c>
      <c r="K107" s="33">
        <f t="shared" si="7"/>
        <v>6</v>
      </c>
      <c r="L107" s="33">
        <f t="shared" si="8"/>
        <v>7.5</v>
      </c>
      <c r="M107" s="33">
        <f t="shared" si="9"/>
        <v>9</v>
      </c>
      <c r="N107" s="32">
        <f t="shared" si="10"/>
        <v>0</v>
      </c>
      <c r="O107" s="32" t="str">
        <f>VLOOKUP($A107,[1]Sheet2!$A:$N,6,0)</f>
        <v>Jack Bates</v>
      </c>
      <c r="P107" s="32">
        <f>VLOOKUP($A107,[1]Sheet2!$A:$N,13,0)/100</f>
        <v>27</v>
      </c>
      <c r="Q107" s="32">
        <f>VLOOKUP($A107,[1]Sheet2!$A:$N,14,0)/100</f>
        <v>27</v>
      </c>
      <c r="T107" s="31"/>
      <c r="U107" s="31"/>
      <c r="V107" s="31"/>
      <c r="W107" s="30">
        <f t="shared" si="11"/>
        <v>21</v>
      </c>
      <c r="X107" s="24">
        <f>P107*11%+W107</f>
        <v>23.97</v>
      </c>
    </row>
    <row r="108" spans="1:24" x14ac:dyDescent="0.3">
      <c r="A108" s="31" t="s">
        <v>501</v>
      </c>
      <c r="B108" t="s">
        <v>830</v>
      </c>
      <c r="C108" s="31">
        <v>164</v>
      </c>
      <c r="D108" t="s">
        <v>283</v>
      </c>
      <c r="E108" s="19">
        <v>3000</v>
      </c>
      <c r="F108" s="21" t="s">
        <v>629</v>
      </c>
      <c r="G108" s="20">
        <v>0.1</v>
      </c>
      <c r="H108" s="48">
        <v>300</v>
      </c>
      <c r="I108" s="29">
        <v>0.1</v>
      </c>
      <c r="J108" s="31">
        <f t="shared" si="14"/>
        <v>0</v>
      </c>
      <c r="K108" s="33">
        <f t="shared" si="7"/>
        <v>300</v>
      </c>
      <c r="L108" s="33">
        <f t="shared" si="8"/>
        <v>450</v>
      </c>
      <c r="M108" s="33">
        <f t="shared" si="9"/>
        <v>600</v>
      </c>
      <c r="N108" s="32">
        <f t="shared" si="10"/>
        <v>0</v>
      </c>
      <c r="O108" s="45" t="str">
        <f>VLOOKUP($A108,[1]Sheet2!$A:$N,6,0)</f>
        <v>Almata Atastana</v>
      </c>
      <c r="P108" s="32">
        <f>VLOOKUP($A108,[1]Sheet2!$A:$N,13,0)/100</f>
        <v>250</v>
      </c>
      <c r="Q108" s="32">
        <f>VLOOKUP($A108,[1]Sheet2!$A:$N,14,0)/100</f>
        <v>300</v>
      </c>
      <c r="T108" s="31"/>
      <c r="U108" s="31"/>
      <c r="V108" s="31"/>
      <c r="W108" s="30">
        <f t="shared" si="11"/>
        <v>-50</v>
      </c>
    </row>
    <row r="109" spans="1:24" x14ac:dyDescent="0.3">
      <c r="A109" s="36" t="s">
        <v>557</v>
      </c>
      <c r="B109" t="s">
        <v>889</v>
      </c>
      <c r="C109" s="31">
        <v>199</v>
      </c>
      <c r="D109" t="s">
        <v>283</v>
      </c>
      <c r="E109" s="19">
        <v>550</v>
      </c>
      <c r="F109" s="21" t="s">
        <v>626</v>
      </c>
      <c r="G109" s="20">
        <v>0.1</v>
      </c>
      <c r="H109" s="48">
        <v>55</v>
      </c>
      <c r="I109" s="29">
        <v>0.04</v>
      </c>
      <c r="J109" s="31">
        <f t="shared" si="14"/>
        <v>0</v>
      </c>
      <c r="K109" s="33">
        <f t="shared" si="7"/>
        <v>55</v>
      </c>
      <c r="L109" s="33">
        <f t="shared" si="8"/>
        <v>66</v>
      </c>
      <c r="M109" s="33">
        <f t="shared" si="9"/>
        <v>77</v>
      </c>
      <c r="N109" s="32">
        <f t="shared" si="10"/>
        <v>0</v>
      </c>
      <c r="O109" s="45" t="str">
        <f>VLOOKUP($A109,[1]Sheet2!$A:$N,6,0)</f>
        <v>Kuralay Kateryne</v>
      </c>
      <c r="P109" s="32">
        <f>VLOOKUP($A109,[1]Sheet2!$A:$N,13,0)/100</f>
        <v>5</v>
      </c>
      <c r="Q109" s="32">
        <f>VLOOKUP($A109,[1]Sheet2!$A:$N,14,0)/100</f>
        <v>55</v>
      </c>
      <c r="T109" s="31"/>
      <c r="U109" s="31"/>
      <c r="V109" s="31"/>
      <c r="W109" s="30">
        <f t="shared" si="11"/>
        <v>-50</v>
      </c>
    </row>
    <row r="110" spans="1:24" hidden="1" x14ac:dyDescent="0.3">
      <c r="A110" s="36" t="s">
        <v>294</v>
      </c>
      <c r="B110" t="s">
        <v>919</v>
      </c>
      <c r="C110" s="31">
        <v>41</v>
      </c>
      <c r="D110" t="s">
        <v>283</v>
      </c>
      <c r="E110" s="8">
        <v>745</v>
      </c>
      <c r="F110" t="s">
        <v>627</v>
      </c>
      <c r="G110" s="29">
        <v>0.1</v>
      </c>
      <c r="H110" s="30">
        <v>74.5</v>
      </c>
      <c r="I110">
        <v>0</v>
      </c>
      <c r="J110" s="31">
        <f t="shared" si="14"/>
        <v>95</v>
      </c>
      <c r="K110" s="33">
        <f t="shared" si="7"/>
        <v>74.5</v>
      </c>
      <c r="L110" s="33">
        <f t="shared" si="8"/>
        <v>74.5</v>
      </c>
      <c r="M110" s="33">
        <f t="shared" si="9"/>
        <v>74.5</v>
      </c>
      <c r="N110" s="32">
        <f t="shared" si="10"/>
        <v>0</v>
      </c>
      <c r="O110" s="32" t="str">
        <f>VLOOKUP($A110,[1]Sheet2!$A:$N,6,0)</f>
        <v>Luis Flores</v>
      </c>
      <c r="P110" s="32">
        <f>VLOOKUP($A110,[1]Sheet2!$A:$N,13,0)/100</f>
        <v>95</v>
      </c>
      <c r="Q110" s="32">
        <f>VLOOKUP($A110,[1]Sheet2!$A:$N,14,0)/100</f>
        <v>100</v>
      </c>
      <c r="T110" s="31"/>
      <c r="U110" s="31"/>
      <c r="V110" s="31"/>
      <c r="W110" s="30">
        <f t="shared" si="11"/>
        <v>20.5</v>
      </c>
      <c r="X110" s="24">
        <f>P110*11%+W110</f>
        <v>30.95</v>
      </c>
    </row>
    <row r="111" spans="1:24" hidden="1" x14ac:dyDescent="0.3">
      <c r="A111" s="31" t="s">
        <v>284</v>
      </c>
      <c r="B111" t="s">
        <v>911</v>
      </c>
      <c r="C111" s="31">
        <v>25</v>
      </c>
      <c r="D111" t="s">
        <v>283</v>
      </c>
      <c r="E111" s="8">
        <v>1398</v>
      </c>
      <c r="F111" t="s">
        <v>627</v>
      </c>
      <c r="G111" s="29">
        <v>0.1</v>
      </c>
      <c r="H111" s="30">
        <v>139.80000000000001</v>
      </c>
      <c r="I111" s="29">
        <v>0.06</v>
      </c>
      <c r="J111" s="31">
        <f t="shared" si="14"/>
        <v>160</v>
      </c>
      <c r="K111" s="33">
        <f t="shared" si="7"/>
        <v>139.80000000000001</v>
      </c>
      <c r="L111" s="33">
        <f t="shared" si="8"/>
        <v>181.74</v>
      </c>
      <c r="M111" s="33">
        <f t="shared" si="9"/>
        <v>223.68</v>
      </c>
      <c r="N111" s="32">
        <f t="shared" si="10"/>
        <v>0</v>
      </c>
      <c r="O111" s="32" t="str">
        <f>VLOOKUP($A111,[1]Sheet2!$A:$N,6,0)</f>
        <v>stephen sykes</v>
      </c>
      <c r="P111" s="32">
        <f>VLOOKUP($A111,[1]Sheet2!$A:$N,13,0)/100</f>
        <v>160</v>
      </c>
      <c r="Q111" s="32">
        <f>VLOOKUP($A111,[1]Sheet2!$A:$N,14,0)/100</f>
        <v>160</v>
      </c>
      <c r="T111" s="31"/>
      <c r="U111" s="31"/>
      <c r="V111" s="31"/>
      <c r="W111" s="30">
        <f t="shared" si="11"/>
        <v>20.199999999999989</v>
      </c>
      <c r="X111" s="24">
        <f>P111*11%+W111</f>
        <v>37.79999999999999</v>
      </c>
    </row>
    <row r="112" spans="1:24" hidden="1" x14ac:dyDescent="0.3">
      <c r="A112" s="36" t="s">
        <v>428</v>
      </c>
      <c r="B112" t="s">
        <v>335</v>
      </c>
      <c r="C112" s="31">
        <v>99</v>
      </c>
      <c r="D112" t="s">
        <v>283</v>
      </c>
      <c r="E112" s="8">
        <v>2199</v>
      </c>
      <c r="F112" t="s">
        <v>630</v>
      </c>
      <c r="G112" s="29">
        <v>0.1</v>
      </c>
      <c r="H112" s="30">
        <v>219.9</v>
      </c>
      <c r="I112" s="29">
        <v>0.04</v>
      </c>
      <c r="J112" s="31">
        <f t="shared" si="14"/>
        <v>240</v>
      </c>
      <c r="K112" s="33">
        <f t="shared" si="7"/>
        <v>219.9</v>
      </c>
      <c r="L112" s="33">
        <f t="shared" si="8"/>
        <v>263.88</v>
      </c>
      <c r="M112" s="33">
        <f t="shared" si="9"/>
        <v>307.86</v>
      </c>
      <c r="N112" s="32">
        <f t="shared" si="10"/>
        <v>1</v>
      </c>
      <c r="O112" s="32" t="str">
        <f>VLOOKUP($A112,[1]Sheet2!$A:$N,6,0)</f>
        <v>Raul Tijerina</v>
      </c>
      <c r="P112" s="32">
        <f>VLOOKUP($A112,[1]Sheet2!$A:$N,13,0)/100</f>
        <v>240</v>
      </c>
      <c r="Q112" s="32">
        <f>VLOOKUP($A112,[1]Sheet2!$A:$N,14,0)/100</f>
        <v>240</v>
      </c>
      <c r="T112" s="31"/>
      <c r="U112" s="31"/>
      <c r="V112" s="31">
        <v>436</v>
      </c>
      <c r="W112" s="30">
        <f t="shared" si="11"/>
        <v>20.099999999999994</v>
      </c>
      <c r="X112" s="24">
        <f>P112*11%+W112</f>
        <v>46.499999999999993</v>
      </c>
    </row>
    <row r="113" spans="1:24" hidden="1" x14ac:dyDescent="0.3">
      <c r="A113" s="36" t="s">
        <v>350</v>
      </c>
      <c r="B113" t="s">
        <v>783</v>
      </c>
      <c r="C113" s="31">
        <v>135</v>
      </c>
      <c r="D113" t="s">
        <v>283</v>
      </c>
      <c r="E113" s="8">
        <v>3700</v>
      </c>
      <c r="F113" t="s">
        <v>627</v>
      </c>
      <c r="G113" s="29">
        <v>0.1</v>
      </c>
      <c r="H113" s="30">
        <v>370</v>
      </c>
      <c r="I113">
        <v>0</v>
      </c>
      <c r="J113" s="31">
        <f t="shared" si="14"/>
        <v>390</v>
      </c>
      <c r="K113" s="33">
        <f t="shared" si="7"/>
        <v>370</v>
      </c>
      <c r="L113" s="33">
        <f t="shared" si="8"/>
        <v>370</v>
      </c>
      <c r="M113" s="33">
        <f t="shared" si="9"/>
        <v>370</v>
      </c>
      <c r="N113" s="32">
        <f t="shared" si="10"/>
        <v>0</v>
      </c>
      <c r="O113" s="32" t="str">
        <f>VLOOKUP($A113,[1]Sheet2!$A:$N,6,0)</f>
        <v>Steven green</v>
      </c>
      <c r="P113" s="32">
        <f>VLOOKUP($A113,[1]Sheet2!$A:$N,13,0)/100</f>
        <v>390</v>
      </c>
      <c r="Q113" s="32">
        <f>VLOOKUP($A113,[1]Sheet2!$A:$N,14,0)/100</f>
        <v>390</v>
      </c>
      <c r="T113" s="31"/>
      <c r="U113" s="31"/>
      <c r="V113" s="31"/>
      <c r="W113" s="30">
        <f t="shared" si="11"/>
        <v>20</v>
      </c>
      <c r="X113" s="24">
        <f>P113*11%+W113</f>
        <v>62.9</v>
      </c>
    </row>
    <row r="114" spans="1:24" x14ac:dyDescent="0.3">
      <c r="A114" s="31" t="s">
        <v>414</v>
      </c>
      <c r="B114" t="s">
        <v>347</v>
      </c>
      <c r="C114" s="31">
        <v>79</v>
      </c>
      <c r="D114" t="s">
        <v>283</v>
      </c>
      <c r="E114" s="19">
        <v>6705</v>
      </c>
      <c r="F114" s="21" t="s">
        <v>625</v>
      </c>
      <c r="G114" s="20">
        <v>0.1</v>
      </c>
      <c r="H114" s="48">
        <v>670.5</v>
      </c>
      <c r="I114" s="29">
        <v>0.1</v>
      </c>
      <c r="J114" s="31">
        <f t="shared" si="14"/>
        <v>0</v>
      </c>
      <c r="K114" s="33">
        <f t="shared" si="7"/>
        <v>670.5</v>
      </c>
      <c r="L114" s="33">
        <f t="shared" si="8"/>
        <v>1005.75</v>
      </c>
      <c r="M114" s="33">
        <f t="shared" si="9"/>
        <v>1341</v>
      </c>
      <c r="N114" s="32">
        <f t="shared" si="10"/>
        <v>1</v>
      </c>
      <c r="O114" s="45" t="str">
        <f>VLOOKUP($A114,[1]Sheet2!$A:$N,6,0)</f>
        <v>Sanzhar Houston</v>
      </c>
      <c r="P114" s="32">
        <f>VLOOKUP($A114,[1]Sheet2!$A:$N,13,0)/100</f>
        <v>620</v>
      </c>
      <c r="Q114" s="32">
        <f>VLOOKUP($A114,[1]Sheet2!$A:$N,14,0)/100</f>
        <v>1300</v>
      </c>
      <c r="T114" s="31"/>
      <c r="U114" s="31"/>
      <c r="V114" s="31">
        <v>520</v>
      </c>
      <c r="W114" s="30">
        <f t="shared" si="11"/>
        <v>-50.5</v>
      </c>
    </row>
    <row r="115" spans="1:24" hidden="1" x14ac:dyDescent="0.3">
      <c r="A115" s="36" t="s">
        <v>358</v>
      </c>
      <c r="B115" t="s">
        <v>794</v>
      </c>
      <c r="C115" s="31">
        <v>142</v>
      </c>
      <c r="D115" t="s">
        <v>283</v>
      </c>
      <c r="E115" s="8">
        <v>1200</v>
      </c>
      <c r="F115" t="s">
        <v>631</v>
      </c>
      <c r="G115" s="29">
        <v>0.1</v>
      </c>
      <c r="H115" s="30">
        <v>120</v>
      </c>
      <c r="I115" s="29">
        <v>0.02</v>
      </c>
      <c r="J115" s="31">
        <f t="shared" si="14"/>
        <v>140</v>
      </c>
      <c r="K115" s="33">
        <f t="shared" si="7"/>
        <v>120</v>
      </c>
      <c r="L115" s="33">
        <f t="shared" si="8"/>
        <v>132</v>
      </c>
      <c r="M115" s="33">
        <f t="shared" si="9"/>
        <v>144</v>
      </c>
      <c r="N115" s="32">
        <f t="shared" si="10"/>
        <v>0</v>
      </c>
      <c r="O115" s="32" t="str">
        <f>VLOOKUP($A115,[1]Sheet2!$A:$N,6,0)</f>
        <v>Caitlin Green</v>
      </c>
      <c r="P115" s="32">
        <f>VLOOKUP($A115,[1]Sheet2!$A:$N,13,0)/100</f>
        <v>140</v>
      </c>
      <c r="Q115" s="32">
        <f>VLOOKUP($A115,[1]Sheet2!$A:$N,14,0)/100</f>
        <v>140</v>
      </c>
      <c r="T115" s="31"/>
      <c r="U115" s="31"/>
      <c r="V115" s="31"/>
      <c r="W115" s="30">
        <f t="shared" si="11"/>
        <v>20</v>
      </c>
      <c r="X115" s="24">
        <f>P115*11%+W115</f>
        <v>35.4</v>
      </c>
    </row>
    <row r="116" spans="1:24" hidden="1" x14ac:dyDescent="0.3">
      <c r="A116" s="31" t="s">
        <v>768</v>
      </c>
      <c r="B116" t="s">
        <v>769</v>
      </c>
      <c r="C116" s="31">
        <v>126</v>
      </c>
      <c r="D116" t="s">
        <v>283</v>
      </c>
      <c r="E116" s="8">
        <v>798</v>
      </c>
      <c r="F116" t="s">
        <v>629</v>
      </c>
      <c r="G116" s="29">
        <v>0.1</v>
      </c>
      <c r="H116" s="30">
        <v>79.800000000000011</v>
      </c>
      <c r="I116" s="29">
        <v>0.1</v>
      </c>
      <c r="J116" s="31">
        <f t="shared" si="14"/>
        <v>99.5</v>
      </c>
      <c r="K116" s="33">
        <f t="shared" si="7"/>
        <v>79.800000000000011</v>
      </c>
      <c r="L116" s="33">
        <f t="shared" si="8"/>
        <v>119.70000000000002</v>
      </c>
      <c r="M116" s="33">
        <f t="shared" si="9"/>
        <v>159.60000000000002</v>
      </c>
      <c r="N116" s="32">
        <f t="shared" si="10"/>
        <v>0</v>
      </c>
      <c r="O116" s="32" t="str">
        <f>VLOOKUP($A116,[1]Sheet2!$A:$N,6,0)</f>
        <v>Emily Perez</v>
      </c>
      <c r="P116" s="32">
        <f>VLOOKUP($A116,[1]Sheet2!$A:$N,13,0)/100</f>
        <v>99.5</v>
      </c>
      <c r="Q116" s="32">
        <f>VLOOKUP($A116,[1]Sheet2!$A:$N,14,0)/100</f>
        <v>100</v>
      </c>
      <c r="T116" s="31"/>
      <c r="U116" s="31"/>
      <c r="V116" s="31"/>
      <c r="W116" s="30">
        <f t="shared" si="11"/>
        <v>19.699999999999989</v>
      </c>
      <c r="X116" s="24">
        <f>P116*11%+W116</f>
        <v>30.644999999999989</v>
      </c>
    </row>
    <row r="117" spans="1:24" x14ac:dyDescent="0.3">
      <c r="A117" s="31" t="s">
        <v>874</v>
      </c>
      <c r="B117" t="s">
        <v>875</v>
      </c>
      <c r="C117" s="31">
        <v>191</v>
      </c>
      <c r="D117" t="s">
        <v>283</v>
      </c>
      <c r="E117" s="19">
        <v>1773</v>
      </c>
      <c r="F117" s="21" t="s">
        <v>624</v>
      </c>
      <c r="G117" s="20">
        <v>0.1</v>
      </c>
      <c r="H117" s="48">
        <v>177.3</v>
      </c>
      <c r="I117" s="29">
        <v>0.1</v>
      </c>
      <c r="J117" s="31">
        <f t="shared" si="14"/>
        <v>0</v>
      </c>
      <c r="K117" s="33">
        <f t="shared" si="7"/>
        <v>177.3</v>
      </c>
      <c r="L117" s="33">
        <f t="shared" si="8"/>
        <v>265.95000000000005</v>
      </c>
      <c r="M117" s="33">
        <f t="shared" si="9"/>
        <v>354.6</v>
      </c>
      <c r="N117" s="32">
        <f t="shared" si="10"/>
        <v>0</v>
      </c>
      <c r="O117" s="45" t="str">
        <f>VLOOKUP($A117,[1]Sheet2!$A:$N,6,0)</f>
        <v>Yesset Karayev</v>
      </c>
      <c r="P117" s="32">
        <f>VLOOKUP($A117,[1]Sheet2!$A:$N,13,0)/100</f>
        <v>125</v>
      </c>
      <c r="Q117" s="32">
        <f>VLOOKUP($A117,[1]Sheet2!$A:$N,14,0)/100</f>
        <v>170</v>
      </c>
      <c r="T117" s="31"/>
      <c r="U117" s="31"/>
      <c r="V117" s="31"/>
      <c r="W117" s="30">
        <f t="shared" si="11"/>
        <v>-52.300000000000011</v>
      </c>
    </row>
    <row r="118" spans="1:24" hidden="1" x14ac:dyDescent="0.3">
      <c r="A118" s="31" t="s">
        <v>308</v>
      </c>
      <c r="B118" t="s">
        <v>465</v>
      </c>
      <c r="C118" s="31">
        <v>57</v>
      </c>
      <c r="D118" t="s">
        <v>268</v>
      </c>
      <c r="E118" s="8">
        <v>1933</v>
      </c>
      <c r="F118" t="s">
        <v>625</v>
      </c>
      <c r="G118" s="29">
        <v>7.0000000000000007E-2</v>
      </c>
      <c r="H118" s="30">
        <v>135.31</v>
      </c>
      <c r="I118" s="29">
        <v>0.1</v>
      </c>
      <c r="J118" s="31">
        <f t="shared" si="14"/>
        <v>155</v>
      </c>
      <c r="K118" s="33">
        <f t="shared" si="7"/>
        <v>135.31</v>
      </c>
      <c r="L118" s="33">
        <f t="shared" si="8"/>
        <v>231.96</v>
      </c>
      <c r="M118" s="33">
        <f t="shared" si="9"/>
        <v>328.61</v>
      </c>
      <c r="N118" s="32">
        <f t="shared" si="10"/>
        <v>1</v>
      </c>
      <c r="O118" s="32" t="str">
        <f>VLOOKUP($A118,[1]Sheet2!$A:$N,6,0)</f>
        <v>Manahil Tariq</v>
      </c>
      <c r="P118" s="32">
        <f>VLOOKUP($A118,[1]Sheet2!$A:$N,13,0)/100</f>
        <v>155</v>
      </c>
      <c r="Q118" s="32">
        <f>VLOOKUP($A118,[1]Sheet2!$A:$N,14,0)/100</f>
        <v>155</v>
      </c>
      <c r="T118" s="31"/>
      <c r="U118" s="31"/>
      <c r="V118" s="31">
        <v>360</v>
      </c>
      <c r="W118" s="30">
        <f t="shared" si="11"/>
        <v>19.689999999999998</v>
      </c>
      <c r="X118" s="24">
        <f>P118*11%+W118</f>
        <v>36.739999999999995</v>
      </c>
    </row>
    <row r="119" spans="1:24" hidden="1" x14ac:dyDescent="0.3">
      <c r="A119" s="31" t="s">
        <v>445</v>
      </c>
      <c r="B119" t="s">
        <v>899</v>
      </c>
      <c r="C119" s="31">
        <v>2</v>
      </c>
      <c r="D119" t="s">
        <v>283</v>
      </c>
      <c r="E119" s="8">
        <v>1485</v>
      </c>
      <c r="F119" t="s">
        <v>624</v>
      </c>
      <c r="G119" s="29">
        <v>0.1</v>
      </c>
      <c r="H119" s="30">
        <v>148.5</v>
      </c>
      <c r="I119" s="29">
        <v>0.1</v>
      </c>
      <c r="J119" s="31">
        <f t="shared" si="14"/>
        <v>166</v>
      </c>
      <c r="K119" s="44">
        <f t="shared" si="7"/>
        <v>148.5</v>
      </c>
      <c r="L119" s="33">
        <f t="shared" si="8"/>
        <v>222.75</v>
      </c>
      <c r="M119" s="33">
        <f t="shared" si="9"/>
        <v>297</v>
      </c>
      <c r="N119" s="32">
        <f t="shared" si="10"/>
        <v>0</v>
      </c>
      <c r="O119" s="32" t="str">
        <f>VLOOKUP($A119,[1]Sheet2!$A:$N,6,0)</f>
        <v>Bernard Millette</v>
      </c>
      <c r="P119" s="32">
        <f>VLOOKUP($A119,[1]Sheet2!$A:$N,13,0)/100</f>
        <v>166</v>
      </c>
      <c r="Q119" s="32">
        <f>VLOOKUP($A119,[1]Sheet2!$A:$N,14,0)/100</f>
        <v>166</v>
      </c>
      <c r="T119" s="31"/>
      <c r="U119" s="31"/>
      <c r="V119" s="31"/>
      <c r="W119" s="30">
        <f t="shared" si="11"/>
        <v>17.5</v>
      </c>
      <c r="X119" s="24">
        <f>P119*11%+W119</f>
        <v>35.760000000000005</v>
      </c>
    </row>
    <row r="120" spans="1:24" hidden="1" x14ac:dyDescent="0.3">
      <c r="A120" s="31">
        <v>42</v>
      </c>
      <c r="B120" t="s">
        <v>401</v>
      </c>
      <c r="C120" s="31">
        <v>72</v>
      </c>
      <c r="D120" t="s">
        <v>374</v>
      </c>
      <c r="E120" s="5">
        <v>44</v>
      </c>
      <c r="F120" t="s">
        <v>624</v>
      </c>
      <c r="G120" s="29">
        <v>0.12</v>
      </c>
      <c r="H120" s="30">
        <v>5.2799999999999994</v>
      </c>
      <c r="I120" s="29">
        <v>0.1</v>
      </c>
      <c r="J120" s="31">
        <f t="shared" si="14"/>
        <v>21.75</v>
      </c>
      <c r="K120" s="33">
        <f t="shared" si="7"/>
        <v>5.2799999999999994</v>
      </c>
      <c r="L120" s="33">
        <f t="shared" si="8"/>
        <v>7.4799999999999995</v>
      </c>
      <c r="M120" s="33">
        <f t="shared" si="9"/>
        <v>9.68</v>
      </c>
      <c r="N120" s="32">
        <f t="shared" si="10"/>
        <v>1</v>
      </c>
      <c r="O120" s="32" t="str">
        <f>VLOOKUP($A120,[1]Sheet2!$A:$N,6,0)</f>
        <v>Cynthia Echols</v>
      </c>
      <c r="P120" s="32">
        <f>VLOOKUP($A120,[1]Sheet2!$A:$N,13,0)/100</f>
        <v>21.75</v>
      </c>
      <c r="Q120" s="32">
        <f>VLOOKUP($A120,[1]Sheet2!$A:$N,14,0)/100</f>
        <v>24.75</v>
      </c>
      <c r="T120" s="31"/>
      <c r="U120" s="31"/>
      <c r="V120" s="31">
        <v>5</v>
      </c>
      <c r="W120" s="30">
        <f t="shared" si="11"/>
        <v>16.47</v>
      </c>
      <c r="X120" s="24">
        <f>P120*11%+W120</f>
        <v>18.862499999999997</v>
      </c>
    </row>
    <row r="121" spans="1:24" x14ac:dyDescent="0.3">
      <c r="A121" s="31" t="s">
        <v>481</v>
      </c>
      <c r="B121" t="s">
        <v>586</v>
      </c>
      <c r="C121" s="31">
        <v>92</v>
      </c>
      <c r="D121" t="s">
        <v>283</v>
      </c>
      <c r="E121" s="19">
        <v>3200</v>
      </c>
      <c r="F121" s="21" t="s">
        <v>628</v>
      </c>
      <c r="G121" s="20">
        <v>0.1</v>
      </c>
      <c r="H121" s="48">
        <v>320</v>
      </c>
      <c r="I121" s="29">
        <v>0.1</v>
      </c>
      <c r="J121" s="31">
        <f t="shared" si="14"/>
        <v>0</v>
      </c>
      <c r="K121" s="33">
        <f t="shared" si="7"/>
        <v>320</v>
      </c>
      <c r="L121" s="33">
        <f t="shared" si="8"/>
        <v>480</v>
      </c>
      <c r="M121" s="33">
        <f t="shared" si="9"/>
        <v>640</v>
      </c>
      <c r="N121" s="32">
        <f t="shared" si="10"/>
        <v>1</v>
      </c>
      <c r="O121" s="45" t="str">
        <f>VLOOKUP($A121,[1]Sheet2!$A:$N,6,0)</f>
        <v>Sanzhar Houston</v>
      </c>
      <c r="P121" s="32">
        <f>VLOOKUP($A121,[1]Sheet2!$A:$N,13,0)/100</f>
        <v>265</v>
      </c>
      <c r="Q121" s="32">
        <f>VLOOKUP($A121,[1]Sheet2!$A:$N,14,0)/100</f>
        <v>330</v>
      </c>
      <c r="T121" s="31"/>
      <c r="U121" s="31"/>
      <c r="V121" s="31">
        <v>238</v>
      </c>
      <c r="W121" s="30">
        <f t="shared" si="11"/>
        <v>-55</v>
      </c>
    </row>
    <row r="122" spans="1:24" x14ac:dyDescent="0.3">
      <c r="A122" s="31" t="s">
        <v>858</v>
      </c>
      <c r="B122" t="s">
        <v>859</v>
      </c>
      <c r="C122" s="31">
        <v>182</v>
      </c>
      <c r="D122" t="s">
        <v>283</v>
      </c>
      <c r="E122" s="19">
        <v>758</v>
      </c>
      <c r="F122" s="21" t="s">
        <v>624</v>
      </c>
      <c r="G122" s="20">
        <v>0.1</v>
      </c>
      <c r="H122" s="48">
        <v>75.8</v>
      </c>
      <c r="I122" s="29">
        <v>0.1</v>
      </c>
      <c r="J122" s="31">
        <f t="shared" si="14"/>
        <v>0</v>
      </c>
      <c r="K122" s="33">
        <f t="shared" si="7"/>
        <v>75.8</v>
      </c>
      <c r="L122" s="33">
        <f t="shared" si="8"/>
        <v>113.69999999999999</v>
      </c>
      <c r="M122" s="33">
        <f t="shared" si="9"/>
        <v>151.6</v>
      </c>
      <c r="N122" s="32">
        <f t="shared" si="10"/>
        <v>0</v>
      </c>
      <c r="O122" s="45" t="str">
        <f>VLOOKUP($A122,[1]Sheet2!$A:$N,6,0)</f>
        <v>Kuralay Kateryne</v>
      </c>
      <c r="P122" s="32">
        <f>VLOOKUP($A122,[1]Sheet2!$A:$N,13,0)/100</f>
        <v>19</v>
      </c>
      <c r="Q122" s="32">
        <f>VLOOKUP($A122,[1]Sheet2!$A:$N,14,0)/100</f>
        <v>80</v>
      </c>
      <c r="T122" s="31"/>
      <c r="U122" s="31"/>
      <c r="V122" s="31"/>
      <c r="W122" s="30">
        <f t="shared" si="11"/>
        <v>-56.8</v>
      </c>
    </row>
    <row r="123" spans="1:24" x14ac:dyDescent="0.3">
      <c r="A123" s="36" t="s">
        <v>930</v>
      </c>
      <c r="B123" t="s">
        <v>396</v>
      </c>
      <c r="C123" s="31">
        <v>86</v>
      </c>
      <c r="D123" t="s">
        <v>283</v>
      </c>
      <c r="E123" s="19">
        <v>3299</v>
      </c>
      <c r="F123" s="21" t="s">
        <v>631</v>
      </c>
      <c r="G123" s="20">
        <v>0.1</v>
      </c>
      <c r="H123" s="48">
        <v>329.90000000000003</v>
      </c>
      <c r="I123" s="29">
        <v>0.02</v>
      </c>
      <c r="J123" s="31">
        <f t="shared" si="14"/>
        <v>0</v>
      </c>
      <c r="K123" s="33">
        <f t="shared" si="7"/>
        <v>329.90000000000003</v>
      </c>
      <c r="L123" s="33">
        <f t="shared" si="8"/>
        <v>362.89000000000004</v>
      </c>
      <c r="M123" s="33">
        <f t="shared" si="9"/>
        <v>395.88000000000005</v>
      </c>
      <c r="N123" s="32">
        <f t="shared" si="10"/>
        <v>1</v>
      </c>
      <c r="O123" s="45" t="str">
        <f>VLOOKUP($A123,[1]Sheet2!$A:$N,6,0)</f>
        <v>Sanzhar Houston</v>
      </c>
      <c r="P123" s="32">
        <f>VLOOKUP($A123,[1]Sheet2!$A:$N,13,0)/100</f>
        <v>270.75</v>
      </c>
      <c r="Q123" s="32">
        <f>VLOOKUP($A123,[1]Sheet2!$A:$N,14,0)/100</f>
        <v>330</v>
      </c>
      <c r="T123" s="31"/>
      <c r="U123" s="31"/>
      <c r="V123" s="31">
        <v>137</v>
      </c>
      <c r="W123" s="30">
        <f t="shared" si="11"/>
        <v>-59.150000000000034</v>
      </c>
    </row>
    <row r="124" spans="1:24" hidden="1" x14ac:dyDescent="0.3">
      <c r="A124" s="36" t="s">
        <v>462</v>
      </c>
      <c r="B124" t="s">
        <v>918</v>
      </c>
      <c r="C124" s="31">
        <v>39</v>
      </c>
      <c r="D124" t="s">
        <v>283</v>
      </c>
      <c r="E124" s="8">
        <v>1499</v>
      </c>
      <c r="F124" t="s">
        <v>627</v>
      </c>
      <c r="G124" s="29">
        <v>0.1</v>
      </c>
      <c r="H124" s="30">
        <v>149.9</v>
      </c>
      <c r="I124">
        <v>0</v>
      </c>
      <c r="J124" s="31">
        <f t="shared" si="14"/>
        <v>165</v>
      </c>
      <c r="K124" s="33">
        <f t="shared" si="7"/>
        <v>149.9</v>
      </c>
      <c r="L124" s="33">
        <f t="shared" si="8"/>
        <v>149.9</v>
      </c>
      <c r="M124" s="33">
        <f t="shared" si="9"/>
        <v>149.9</v>
      </c>
      <c r="N124" s="32">
        <f t="shared" si="10"/>
        <v>0</v>
      </c>
      <c r="O124" s="32" t="str">
        <f>VLOOKUP($A124,[1]Sheet2!$A:$N,6,0)</f>
        <v>stephen sykes</v>
      </c>
      <c r="P124" s="32">
        <f>VLOOKUP($A124,[1]Sheet2!$A:$N,13,0)/100</f>
        <v>165</v>
      </c>
      <c r="Q124" s="32">
        <f>VLOOKUP($A124,[1]Sheet2!$A:$N,14,0)/100</f>
        <v>165</v>
      </c>
      <c r="T124" s="31"/>
      <c r="U124" s="31"/>
      <c r="V124" s="31"/>
      <c r="W124" s="30">
        <f t="shared" si="11"/>
        <v>15.099999999999994</v>
      </c>
      <c r="X124" s="24">
        <f>P124*11%+W124</f>
        <v>33.249999999999993</v>
      </c>
    </row>
    <row r="125" spans="1:24" x14ac:dyDescent="0.3">
      <c r="A125" s="31" t="s">
        <v>281</v>
      </c>
      <c r="B125" t="s">
        <v>910</v>
      </c>
      <c r="C125" s="31">
        <v>23</v>
      </c>
      <c r="D125" t="s">
        <v>283</v>
      </c>
      <c r="E125" s="19">
        <v>2298</v>
      </c>
      <c r="F125" s="21" t="s">
        <v>627</v>
      </c>
      <c r="G125" s="20">
        <v>0.1</v>
      </c>
      <c r="H125" s="48">
        <v>229.8</v>
      </c>
      <c r="I125" s="29">
        <v>0.06</v>
      </c>
      <c r="J125" s="31">
        <f t="shared" si="14"/>
        <v>0</v>
      </c>
      <c r="K125" s="33">
        <f t="shared" si="7"/>
        <v>229.8</v>
      </c>
      <c r="L125" s="33">
        <f t="shared" si="8"/>
        <v>298.74</v>
      </c>
      <c r="M125" s="33">
        <f t="shared" si="9"/>
        <v>367.68</v>
      </c>
      <c r="N125" s="32">
        <f t="shared" si="10"/>
        <v>0</v>
      </c>
      <c r="O125" s="45" t="str">
        <f>VLOOKUP($A125,[1]Sheet2!$A:$N,6,0)</f>
        <v>Yesset Karayev</v>
      </c>
      <c r="P125" s="32">
        <f>VLOOKUP($A125,[1]Sheet2!$A:$N,13,0)/100</f>
        <v>165</v>
      </c>
      <c r="Q125" s="32">
        <f>VLOOKUP($A125,[1]Sheet2!$A:$N,14,0)/100</f>
        <v>230</v>
      </c>
      <c r="T125" s="31"/>
      <c r="U125" s="31"/>
      <c r="V125" s="31"/>
      <c r="W125" s="30">
        <f t="shared" si="11"/>
        <v>-64.800000000000011</v>
      </c>
    </row>
    <row r="126" spans="1:24" hidden="1" x14ac:dyDescent="0.3">
      <c r="A126" s="31" t="s">
        <v>519</v>
      </c>
      <c r="B126" t="s">
        <v>797</v>
      </c>
      <c r="C126" s="31">
        <v>144</v>
      </c>
      <c r="D126" t="s">
        <v>283</v>
      </c>
      <c r="E126" s="8">
        <v>2700</v>
      </c>
      <c r="F126" t="s">
        <v>624</v>
      </c>
      <c r="G126" s="29">
        <v>0.1</v>
      </c>
      <c r="H126" s="30">
        <v>270</v>
      </c>
      <c r="I126" s="29">
        <v>0.1</v>
      </c>
      <c r="J126" s="31">
        <f t="shared" si="14"/>
        <v>285</v>
      </c>
      <c r="K126" s="33">
        <f t="shared" si="7"/>
        <v>270</v>
      </c>
      <c r="L126" s="33">
        <f t="shared" si="8"/>
        <v>405</v>
      </c>
      <c r="M126" s="33">
        <f t="shared" si="9"/>
        <v>540</v>
      </c>
      <c r="N126" s="32">
        <f t="shared" si="10"/>
        <v>0</v>
      </c>
      <c r="O126" s="32" t="str">
        <f>VLOOKUP($A126,[1]Sheet2!$A:$N,6,0)</f>
        <v>stephen sykes</v>
      </c>
      <c r="P126" s="32">
        <f>VLOOKUP($A126,[1]Sheet2!$A:$N,13,0)/100</f>
        <v>285</v>
      </c>
      <c r="Q126" s="32">
        <f>VLOOKUP($A126,[1]Sheet2!$A:$N,14,0)/100</f>
        <v>285</v>
      </c>
      <c r="T126" s="31"/>
      <c r="U126" s="31"/>
      <c r="V126" s="31"/>
      <c r="W126" s="30">
        <f t="shared" si="11"/>
        <v>15</v>
      </c>
      <c r="X126" s="24">
        <f>P126*11%+W126</f>
        <v>46.35</v>
      </c>
    </row>
    <row r="127" spans="1:24" x14ac:dyDescent="0.3">
      <c r="A127" s="36" t="s">
        <v>362</v>
      </c>
      <c r="B127" t="s">
        <v>802</v>
      </c>
      <c r="C127" s="31">
        <v>147</v>
      </c>
      <c r="D127" t="s">
        <v>283</v>
      </c>
      <c r="E127" s="19">
        <v>1000</v>
      </c>
      <c r="F127" s="21" t="s">
        <v>630</v>
      </c>
      <c r="G127" s="20">
        <v>0.1</v>
      </c>
      <c r="H127" s="48">
        <v>100</v>
      </c>
      <c r="I127" s="29">
        <v>0.04</v>
      </c>
      <c r="J127" s="31">
        <f t="shared" si="14"/>
        <v>0</v>
      </c>
      <c r="K127" s="33">
        <f t="shared" si="7"/>
        <v>100</v>
      </c>
      <c r="L127" s="33">
        <f t="shared" si="8"/>
        <v>120</v>
      </c>
      <c r="M127" s="33">
        <f t="shared" si="9"/>
        <v>140</v>
      </c>
      <c r="N127" s="32">
        <f t="shared" si="10"/>
        <v>0</v>
      </c>
      <c r="O127" s="45" t="str">
        <f>VLOOKUP($A127,[1]Sheet2!$A:$N,6,0)</f>
        <v>Sanzhar Houston</v>
      </c>
      <c r="P127" s="32">
        <f>VLOOKUP($A127,[1]Sheet2!$A:$N,13,0)/100</f>
        <v>31</v>
      </c>
      <c r="Q127" s="32">
        <f>VLOOKUP($A127,[1]Sheet2!$A:$N,14,0)/100</f>
        <v>100</v>
      </c>
      <c r="T127" s="31"/>
      <c r="U127" s="31"/>
      <c r="V127" s="31"/>
      <c r="W127" s="30">
        <f t="shared" si="11"/>
        <v>-69</v>
      </c>
    </row>
    <row r="128" spans="1:24" hidden="1" x14ac:dyDescent="0.3">
      <c r="A128" s="31" t="s">
        <v>848</v>
      </c>
      <c r="B128" t="s">
        <v>849</v>
      </c>
      <c r="C128" s="31">
        <v>176</v>
      </c>
      <c r="D128" t="s">
        <v>283</v>
      </c>
      <c r="E128" s="8">
        <v>540</v>
      </c>
      <c r="F128" t="s">
        <v>624</v>
      </c>
      <c r="G128" s="29">
        <v>0.1</v>
      </c>
      <c r="H128" s="30">
        <v>54</v>
      </c>
      <c r="I128" s="29">
        <v>0.1</v>
      </c>
      <c r="J128" s="31">
        <f t="shared" si="14"/>
        <v>67.5</v>
      </c>
      <c r="K128" s="33">
        <f t="shared" si="7"/>
        <v>54</v>
      </c>
      <c r="L128" s="33">
        <f t="shared" si="8"/>
        <v>81</v>
      </c>
      <c r="M128" s="33">
        <f t="shared" si="9"/>
        <v>108</v>
      </c>
      <c r="N128" s="32">
        <f t="shared" si="10"/>
        <v>0</v>
      </c>
      <c r="O128" s="32" t="str">
        <f>VLOOKUP($A128,[1]Sheet2!$A:$N,6,0)</f>
        <v>BEST OZUMBA</v>
      </c>
      <c r="P128" s="32">
        <f>VLOOKUP($A128,[1]Sheet2!$A:$N,13,0)/100</f>
        <v>67.5</v>
      </c>
      <c r="Q128" s="32">
        <f>VLOOKUP($A128,[1]Sheet2!$A:$N,14,0)/100</f>
        <v>67.5</v>
      </c>
      <c r="T128" s="31"/>
      <c r="U128" s="31"/>
      <c r="V128" s="31"/>
      <c r="W128" s="30">
        <f t="shared" si="11"/>
        <v>13.5</v>
      </c>
      <c r="X128" s="24">
        <f>P128*11%+W128</f>
        <v>20.925000000000001</v>
      </c>
    </row>
    <row r="129" spans="1:24" hidden="1" x14ac:dyDescent="0.3">
      <c r="A129" s="36" t="s">
        <v>941</v>
      </c>
      <c r="B129" t="s">
        <v>333</v>
      </c>
      <c r="C129" s="31">
        <v>101</v>
      </c>
      <c r="D129" t="s">
        <v>283</v>
      </c>
      <c r="E129" s="8">
        <v>370</v>
      </c>
      <c r="F129" t="s">
        <v>627</v>
      </c>
      <c r="G129" s="29">
        <v>0.1</v>
      </c>
      <c r="H129" s="30">
        <v>37</v>
      </c>
      <c r="I129">
        <v>0</v>
      </c>
      <c r="J129" s="31">
        <f t="shared" si="14"/>
        <v>50</v>
      </c>
      <c r="K129" s="33">
        <f t="shared" si="7"/>
        <v>37</v>
      </c>
      <c r="L129" s="33">
        <f t="shared" si="8"/>
        <v>37</v>
      </c>
      <c r="M129" s="33">
        <f t="shared" si="9"/>
        <v>37</v>
      </c>
      <c r="N129" s="32">
        <f t="shared" si="10"/>
        <v>1</v>
      </c>
      <c r="O129" s="32" t="str">
        <f>VLOOKUP($A129,[1]Sheet2!$A:$N,6,0)</f>
        <v>Joseph Mastrangelo</v>
      </c>
      <c r="P129" s="32">
        <f>VLOOKUP($A129,[1]Sheet2!$A:$N,13,0)/100</f>
        <v>50</v>
      </c>
      <c r="Q129" s="32">
        <f>VLOOKUP($A129,[1]Sheet2!$A:$N,14,0)/100</f>
        <v>50</v>
      </c>
      <c r="T129" s="31"/>
      <c r="U129" s="31"/>
      <c r="V129" s="31">
        <v>80</v>
      </c>
      <c r="W129" s="30">
        <f t="shared" si="11"/>
        <v>13</v>
      </c>
      <c r="X129" s="24">
        <f>P129*11%+W129</f>
        <v>18.5</v>
      </c>
    </row>
    <row r="130" spans="1:24" x14ac:dyDescent="0.3">
      <c r="A130" s="36" t="s">
        <v>487</v>
      </c>
      <c r="B130" t="s">
        <v>474</v>
      </c>
      <c r="C130" s="31">
        <v>102</v>
      </c>
      <c r="D130" t="s">
        <v>283</v>
      </c>
      <c r="E130" s="19">
        <v>1400</v>
      </c>
      <c r="F130" s="21" t="s">
        <v>627</v>
      </c>
      <c r="G130" s="20">
        <v>0.1</v>
      </c>
      <c r="H130" s="48">
        <v>140</v>
      </c>
      <c r="I130">
        <v>0</v>
      </c>
      <c r="J130" s="31">
        <f t="shared" si="14"/>
        <v>0</v>
      </c>
      <c r="K130" s="33">
        <f t="shared" ref="K130:K193" si="15">H130</f>
        <v>140</v>
      </c>
      <c r="L130" s="33">
        <f t="shared" ref="L130:L193" si="16">H130+E130*(I130/2)</f>
        <v>140</v>
      </c>
      <c r="M130" s="33">
        <f t="shared" ref="M130:M193" si="17">H130+E130*I130</f>
        <v>140</v>
      </c>
      <c r="N130" s="32">
        <f t="shared" ref="N130:N193" si="18">IF(SUM(R130:V130)&gt;0,1,0)</f>
        <v>1</v>
      </c>
      <c r="O130" s="45" t="str">
        <f>VLOOKUP($A130,[1]Sheet2!$A:$N,6,0)</f>
        <v>Yesset Karayev</v>
      </c>
      <c r="P130" s="32">
        <f>VLOOKUP($A130,[1]Sheet2!$A:$N,13,0)/100</f>
        <v>62.5</v>
      </c>
      <c r="Q130" s="32">
        <f>VLOOKUP($A130,[1]Sheet2!$A:$N,14,0)/100</f>
        <v>140</v>
      </c>
      <c r="T130" s="31"/>
      <c r="U130" s="31"/>
      <c r="V130" s="31">
        <v>205</v>
      </c>
      <c r="W130" s="30">
        <f t="shared" ref="W130:W193" si="19">P130-H130</f>
        <v>-77.5</v>
      </c>
    </row>
    <row r="131" spans="1:24" hidden="1" x14ac:dyDescent="0.3">
      <c r="A131" s="31">
        <v>26</v>
      </c>
      <c r="B131" t="s">
        <v>737</v>
      </c>
      <c r="C131" s="31">
        <v>48</v>
      </c>
      <c r="D131" t="s">
        <v>374</v>
      </c>
      <c r="E131" s="5">
        <v>77</v>
      </c>
      <c r="F131" t="s">
        <v>624</v>
      </c>
      <c r="G131" s="29">
        <v>0.12</v>
      </c>
      <c r="H131" s="30">
        <v>9.24</v>
      </c>
      <c r="I131" s="29">
        <v>0.1</v>
      </c>
      <c r="J131" s="31">
        <f t="shared" si="14"/>
        <v>21</v>
      </c>
      <c r="K131" s="33">
        <f t="shared" si="15"/>
        <v>9.24</v>
      </c>
      <c r="L131" s="33">
        <f t="shared" si="16"/>
        <v>13.09</v>
      </c>
      <c r="M131" s="33">
        <f t="shared" si="17"/>
        <v>16.940000000000001</v>
      </c>
      <c r="N131" s="32">
        <f t="shared" si="18"/>
        <v>1</v>
      </c>
      <c r="O131" s="32" t="str">
        <f>VLOOKUP($A131,[1]Sheet2!$A:$N,6,0)</f>
        <v>Alan Stubbs</v>
      </c>
      <c r="P131" s="32">
        <f>VLOOKUP($A131,[1]Sheet2!$A:$N,13,0)/100</f>
        <v>21</v>
      </c>
      <c r="Q131" s="32">
        <f>VLOOKUP($A131,[1]Sheet2!$A:$N,14,0)/100</f>
        <v>21</v>
      </c>
      <c r="S131" s="31">
        <v>5.5</v>
      </c>
      <c r="T131" s="31"/>
      <c r="U131" s="31"/>
      <c r="V131" s="31"/>
      <c r="W131" s="30">
        <f t="shared" si="19"/>
        <v>11.76</v>
      </c>
      <c r="X131" s="24">
        <f>P131*11%+W131</f>
        <v>14.07</v>
      </c>
    </row>
    <row r="132" spans="1:24" x14ac:dyDescent="0.3">
      <c r="A132" s="36" t="s">
        <v>753</v>
      </c>
      <c r="B132" t="s">
        <v>754</v>
      </c>
      <c r="C132" s="31">
        <v>118</v>
      </c>
      <c r="D132" t="s">
        <v>283</v>
      </c>
      <c r="E132" s="19">
        <v>900</v>
      </c>
      <c r="F132" s="21" t="s">
        <v>627</v>
      </c>
      <c r="G132" s="20">
        <v>0.1</v>
      </c>
      <c r="H132" s="48">
        <v>90</v>
      </c>
      <c r="I132">
        <v>0</v>
      </c>
      <c r="J132" s="31">
        <f t="shared" si="14"/>
        <v>0</v>
      </c>
      <c r="K132" s="33">
        <f t="shared" si="15"/>
        <v>90</v>
      </c>
      <c r="L132" s="33">
        <f t="shared" si="16"/>
        <v>90</v>
      </c>
      <c r="M132" s="33">
        <f t="shared" si="17"/>
        <v>90</v>
      </c>
      <c r="N132" s="32">
        <f t="shared" si="18"/>
        <v>0</v>
      </c>
      <c r="O132" s="45" t="str">
        <f>VLOOKUP($A132,[1]Sheet2!$A:$N,6,0)</f>
        <v>Sanzhar Houston</v>
      </c>
      <c r="P132" s="32">
        <f>VLOOKUP($A132,[1]Sheet2!$A:$N,13,0)/100</f>
        <v>5</v>
      </c>
      <c r="Q132" s="32">
        <f>VLOOKUP($A132,[1]Sheet2!$A:$N,14,0)/100</f>
        <v>90</v>
      </c>
      <c r="T132" s="31"/>
      <c r="U132" s="31"/>
      <c r="V132" s="31"/>
      <c r="W132" s="30">
        <f t="shared" si="19"/>
        <v>-85</v>
      </c>
    </row>
    <row r="133" spans="1:24" x14ac:dyDescent="0.3">
      <c r="A133" s="31" t="s">
        <v>328</v>
      </c>
      <c r="B133" t="s">
        <v>382</v>
      </c>
      <c r="C133" s="31">
        <v>103</v>
      </c>
      <c r="D133" t="s">
        <v>283</v>
      </c>
      <c r="E133" s="19">
        <v>1598</v>
      </c>
      <c r="F133" s="21" t="s">
        <v>629</v>
      </c>
      <c r="G133" s="20">
        <v>0.1</v>
      </c>
      <c r="H133" s="48">
        <v>159.80000000000001</v>
      </c>
      <c r="I133" s="29">
        <v>0.1</v>
      </c>
      <c r="J133" s="31">
        <f t="shared" si="14"/>
        <v>0</v>
      </c>
      <c r="K133" s="33">
        <f t="shared" si="15"/>
        <v>159.80000000000001</v>
      </c>
      <c r="L133" s="33">
        <f t="shared" si="16"/>
        <v>239.70000000000002</v>
      </c>
      <c r="M133" s="33">
        <f t="shared" si="17"/>
        <v>319.60000000000002</v>
      </c>
      <c r="N133" s="32">
        <f t="shared" si="18"/>
        <v>1</v>
      </c>
      <c r="O133" s="45" t="str">
        <f>VLOOKUP($A133,[1]Sheet2!$A:$N,6,0)</f>
        <v>Yesset Karayev</v>
      </c>
      <c r="P133" s="32">
        <f>VLOOKUP($A133,[1]Sheet2!$A:$N,13,0)/100</f>
        <v>72.5</v>
      </c>
      <c r="Q133" s="32">
        <f>VLOOKUP($A133,[1]Sheet2!$A:$N,14,0)/100</f>
        <v>160</v>
      </c>
      <c r="T133" s="31"/>
      <c r="U133" s="31"/>
      <c r="V133" s="31">
        <v>195</v>
      </c>
      <c r="W133" s="30">
        <f t="shared" si="19"/>
        <v>-87.300000000000011</v>
      </c>
    </row>
    <row r="134" spans="1:24" hidden="1" x14ac:dyDescent="0.3">
      <c r="A134" s="31" t="s">
        <v>326</v>
      </c>
      <c r="B134" t="s">
        <v>419</v>
      </c>
      <c r="C134" s="31">
        <v>98</v>
      </c>
      <c r="D134" t="s">
        <v>283</v>
      </c>
      <c r="E134" s="8">
        <v>486</v>
      </c>
      <c r="F134" t="s">
        <v>629</v>
      </c>
      <c r="G134" s="29">
        <v>0.1</v>
      </c>
      <c r="H134" s="30">
        <v>48.6</v>
      </c>
      <c r="I134" s="29">
        <v>0.1</v>
      </c>
      <c r="J134" s="31">
        <f t="shared" si="14"/>
        <v>60</v>
      </c>
      <c r="K134" s="33">
        <f t="shared" si="15"/>
        <v>48.6</v>
      </c>
      <c r="L134" s="33">
        <f t="shared" si="16"/>
        <v>72.900000000000006</v>
      </c>
      <c r="M134" s="33">
        <f t="shared" si="17"/>
        <v>97.2</v>
      </c>
      <c r="N134" s="32">
        <f t="shared" si="18"/>
        <v>0</v>
      </c>
      <c r="O134" s="32" t="str">
        <f>VLOOKUP($A134,[1]Sheet2!$A:$N,6,0)</f>
        <v>Jesus Salinas</v>
      </c>
      <c r="P134" s="32">
        <f>VLOOKUP($A134,[1]Sheet2!$A:$N,13,0)/100</f>
        <v>60</v>
      </c>
      <c r="Q134" s="32">
        <f>VLOOKUP($A134,[1]Sheet2!$A:$N,14,0)/100</f>
        <v>60</v>
      </c>
      <c r="T134" s="31"/>
      <c r="U134" s="31"/>
      <c r="V134" s="31"/>
      <c r="W134" s="30">
        <f t="shared" si="19"/>
        <v>11.399999999999999</v>
      </c>
      <c r="X134" s="24">
        <f>P134*11%+W134</f>
        <v>18</v>
      </c>
    </row>
    <row r="135" spans="1:24" x14ac:dyDescent="0.3">
      <c r="A135" s="36" t="s">
        <v>321</v>
      </c>
      <c r="B135" t="s">
        <v>384</v>
      </c>
      <c r="C135" s="31">
        <v>83</v>
      </c>
      <c r="D135" t="s">
        <v>283</v>
      </c>
      <c r="E135" s="19">
        <v>1749</v>
      </c>
      <c r="F135" s="21" t="s">
        <v>626</v>
      </c>
      <c r="G135" s="20">
        <v>0.1</v>
      </c>
      <c r="H135" s="48">
        <v>174.9</v>
      </c>
      <c r="I135" s="29">
        <v>0.04</v>
      </c>
      <c r="J135" s="31">
        <f t="shared" si="14"/>
        <v>0</v>
      </c>
      <c r="K135" s="33">
        <f t="shared" si="15"/>
        <v>174.9</v>
      </c>
      <c r="L135" s="33">
        <f t="shared" si="16"/>
        <v>209.88</v>
      </c>
      <c r="M135" s="33">
        <f t="shared" si="17"/>
        <v>244.86</v>
      </c>
      <c r="N135" s="32">
        <f t="shared" si="18"/>
        <v>1</v>
      </c>
      <c r="O135" s="45" t="str">
        <f>VLOOKUP($A135,[1]Sheet2!$A:$N,6,0)</f>
        <v>Yesset Karayev</v>
      </c>
      <c r="P135" s="32">
        <f>VLOOKUP($A135,[1]Sheet2!$A:$N,13,0)/100</f>
        <v>82.5</v>
      </c>
      <c r="Q135" s="32">
        <f>VLOOKUP($A135,[1]Sheet2!$A:$N,14,0)/100</f>
        <v>100</v>
      </c>
      <c r="R135" s="31">
        <v>105</v>
      </c>
      <c r="T135" s="31"/>
      <c r="U135" s="31"/>
      <c r="V135" s="31">
        <v>105</v>
      </c>
      <c r="W135" s="30">
        <f t="shared" si="19"/>
        <v>-92.4</v>
      </c>
    </row>
    <row r="136" spans="1:24" hidden="1" x14ac:dyDescent="0.3">
      <c r="A136" s="31">
        <v>28</v>
      </c>
      <c r="B136" t="s">
        <v>739</v>
      </c>
      <c r="C136" s="31">
        <v>52</v>
      </c>
      <c r="D136" t="s">
        <v>374</v>
      </c>
      <c r="E136" s="5">
        <v>90</v>
      </c>
      <c r="F136" t="s">
        <v>624</v>
      </c>
      <c r="G136" s="29">
        <v>0.12</v>
      </c>
      <c r="H136" s="30">
        <v>10.799999999999999</v>
      </c>
      <c r="I136" s="29">
        <v>0.1</v>
      </c>
      <c r="J136" s="31">
        <f t="shared" ref="J136:J167" si="20">IF(P136&gt;K136,P136,0)</f>
        <v>22</v>
      </c>
      <c r="K136" s="33">
        <f t="shared" si="15"/>
        <v>10.799999999999999</v>
      </c>
      <c r="L136" s="33">
        <f t="shared" si="16"/>
        <v>15.299999999999999</v>
      </c>
      <c r="M136" s="33">
        <f t="shared" si="17"/>
        <v>19.799999999999997</v>
      </c>
      <c r="N136" s="32">
        <f t="shared" si="18"/>
        <v>1</v>
      </c>
      <c r="O136" s="32" t="str">
        <f>VLOOKUP($A136,[1]Sheet2!$A:$N,6,0)</f>
        <v>Jesus Salinas</v>
      </c>
      <c r="P136" s="32">
        <f>VLOOKUP($A136,[1]Sheet2!$A:$N,13,0)/100</f>
        <v>22</v>
      </c>
      <c r="Q136" s="32">
        <f>VLOOKUP($A136,[1]Sheet2!$A:$N,14,0)/100</f>
        <v>22</v>
      </c>
      <c r="S136" s="31">
        <v>30</v>
      </c>
      <c r="T136" s="31"/>
      <c r="U136" s="31"/>
      <c r="V136" s="31"/>
      <c r="W136" s="30">
        <f t="shared" si="19"/>
        <v>11.200000000000001</v>
      </c>
      <c r="X136" s="24">
        <f>P136*11%+W136</f>
        <v>13.620000000000001</v>
      </c>
    </row>
    <row r="137" spans="1:24" hidden="1" x14ac:dyDescent="0.3">
      <c r="A137" s="31" t="s">
        <v>772</v>
      </c>
      <c r="B137" t="s">
        <v>773</v>
      </c>
      <c r="C137" s="31">
        <v>128</v>
      </c>
      <c r="D137" t="s">
        <v>283</v>
      </c>
      <c r="E137" s="8">
        <v>798</v>
      </c>
      <c r="F137" t="s">
        <v>629</v>
      </c>
      <c r="G137" s="29">
        <v>0.1</v>
      </c>
      <c r="H137" s="30">
        <v>79.800000000000011</v>
      </c>
      <c r="I137" s="29">
        <v>0.1</v>
      </c>
      <c r="J137" s="31">
        <f t="shared" si="20"/>
        <v>90</v>
      </c>
      <c r="K137" s="33">
        <f t="shared" si="15"/>
        <v>79.800000000000011</v>
      </c>
      <c r="L137" s="33">
        <f t="shared" si="16"/>
        <v>119.70000000000002</v>
      </c>
      <c r="M137" s="33">
        <f t="shared" si="17"/>
        <v>159.60000000000002</v>
      </c>
      <c r="N137" s="32">
        <f t="shared" si="18"/>
        <v>0</v>
      </c>
      <c r="O137" s="32" t="str">
        <f>VLOOKUP($A137,[1]Sheet2!$A:$N,6,0)</f>
        <v>Alejandro Servin</v>
      </c>
      <c r="P137" s="32">
        <f>VLOOKUP($A137,[1]Sheet2!$A:$N,13,0)/100</f>
        <v>90</v>
      </c>
      <c r="Q137" s="32">
        <f>VLOOKUP($A137,[1]Sheet2!$A:$N,14,0)/100</f>
        <v>90</v>
      </c>
      <c r="T137" s="31"/>
      <c r="U137" s="31"/>
      <c r="V137" s="31"/>
      <c r="W137" s="30">
        <f t="shared" si="19"/>
        <v>10.199999999999989</v>
      </c>
      <c r="X137" s="24">
        <f>P137*11%+W137</f>
        <v>20.099999999999987</v>
      </c>
    </row>
    <row r="138" spans="1:24" hidden="1" x14ac:dyDescent="0.3">
      <c r="A138" s="31" t="s">
        <v>527</v>
      </c>
      <c r="B138" t="s">
        <v>822</v>
      </c>
      <c r="C138" s="31">
        <v>159</v>
      </c>
      <c r="D138" t="s">
        <v>283</v>
      </c>
      <c r="E138" s="8">
        <v>4999</v>
      </c>
      <c r="F138" t="s">
        <v>629</v>
      </c>
      <c r="G138" s="29">
        <v>0.1</v>
      </c>
      <c r="H138" s="30">
        <v>499.90000000000003</v>
      </c>
      <c r="I138" s="29">
        <v>0.1</v>
      </c>
      <c r="J138" s="31">
        <f t="shared" si="20"/>
        <v>510</v>
      </c>
      <c r="K138" s="33">
        <f t="shared" si="15"/>
        <v>499.90000000000003</v>
      </c>
      <c r="L138" s="33">
        <f t="shared" si="16"/>
        <v>749.85</v>
      </c>
      <c r="M138" s="33">
        <f t="shared" si="17"/>
        <v>999.80000000000007</v>
      </c>
      <c r="N138" s="32">
        <f t="shared" si="18"/>
        <v>0</v>
      </c>
      <c r="O138" s="32" t="str">
        <f>VLOOKUP($A138,[1]Sheet2!$A:$N,6,0)</f>
        <v>Jeff Ong</v>
      </c>
      <c r="P138" s="32">
        <f>VLOOKUP($A138,[1]Sheet2!$A:$N,13,0)/100</f>
        <v>510</v>
      </c>
      <c r="Q138" s="32">
        <f>VLOOKUP($A138,[1]Sheet2!$A:$N,14,0)/100</f>
        <v>510</v>
      </c>
      <c r="T138" s="31"/>
      <c r="U138" s="31"/>
      <c r="V138" s="31"/>
      <c r="W138" s="30">
        <f t="shared" si="19"/>
        <v>10.099999999999966</v>
      </c>
      <c r="X138" s="24">
        <f>P138*11%+W138</f>
        <v>66.19999999999996</v>
      </c>
    </row>
    <row r="139" spans="1:24" hidden="1" x14ac:dyDescent="0.3">
      <c r="A139" s="31" t="s">
        <v>756</v>
      </c>
      <c r="B139" t="s">
        <v>757</v>
      </c>
      <c r="C139" s="31">
        <v>120</v>
      </c>
      <c r="D139" t="s">
        <v>283</v>
      </c>
      <c r="E139" s="8">
        <v>3800</v>
      </c>
      <c r="F139" t="s">
        <v>629</v>
      </c>
      <c r="G139" s="29">
        <v>0.1</v>
      </c>
      <c r="H139" s="30">
        <v>380</v>
      </c>
      <c r="I139" s="29">
        <v>0.1</v>
      </c>
      <c r="J139" s="31">
        <f t="shared" si="20"/>
        <v>390</v>
      </c>
      <c r="K139" s="33">
        <f t="shared" si="15"/>
        <v>380</v>
      </c>
      <c r="L139" s="33">
        <f t="shared" si="16"/>
        <v>570</v>
      </c>
      <c r="M139" s="33">
        <f t="shared" si="17"/>
        <v>760</v>
      </c>
      <c r="N139" s="32">
        <f t="shared" si="18"/>
        <v>1</v>
      </c>
      <c r="O139" s="32" t="str">
        <f>VLOOKUP($A139,[1]Sheet2!$A:$N,6,0)</f>
        <v>nelson guandique</v>
      </c>
      <c r="P139" s="32">
        <f>VLOOKUP($A139,[1]Sheet2!$A:$N,13,0)/100</f>
        <v>390</v>
      </c>
      <c r="Q139" s="32">
        <f>VLOOKUP($A139,[1]Sheet2!$A:$N,14,0)/100</f>
        <v>390</v>
      </c>
      <c r="T139" s="31"/>
      <c r="U139" s="31">
        <v>300</v>
      </c>
      <c r="V139" s="31"/>
      <c r="W139" s="30">
        <f t="shared" si="19"/>
        <v>10</v>
      </c>
      <c r="X139" s="24">
        <f>P139*11%+W139</f>
        <v>52.9</v>
      </c>
    </row>
    <row r="140" spans="1:24" x14ac:dyDescent="0.3">
      <c r="A140" s="31" t="s">
        <v>319</v>
      </c>
      <c r="B140" t="s">
        <v>441</v>
      </c>
      <c r="C140" s="31">
        <v>75</v>
      </c>
      <c r="D140" t="s">
        <v>283</v>
      </c>
      <c r="E140" s="19">
        <v>1750</v>
      </c>
      <c r="F140" s="21" t="s">
        <v>625</v>
      </c>
      <c r="G140" s="20">
        <v>0.1</v>
      </c>
      <c r="H140" s="48">
        <v>175</v>
      </c>
      <c r="I140" s="29">
        <v>0.1</v>
      </c>
      <c r="J140" s="31">
        <f t="shared" si="20"/>
        <v>0</v>
      </c>
      <c r="K140" s="33">
        <f t="shared" si="15"/>
        <v>175</v>
      </c>
      <c r="L140" s="33">
        <f t="shared" si="16"/>
        <v>262.5</v>
      </c>
      <c r="M140" s="33">
        <f t="shared" si="17"/>
        <v>350</v>
      </c>
      <c r="N140" s="32">
        <f t="shared" si="18"/>
        <v>1</v>
      </c>
      <c r="O140" s="45" t="str">
        <f>VLOOKUP($A140,[1]Sheet2!$A:$N,6,0)</f>
        <v>Yesset Karayev</v>
      </c>
      <c r="P140" s="32">
        <f>VLOOKUP($A140,[1]Sheet2!$A:$N,13,0)/100</f>
        <v>82.5</v>
      </c>
      <c r="Q140" s="32">
        <f>VLOOKUP($A140,[1]Sheet2!$A:$N,14,0)/100</f>
        <v>100</v>
      </c>
      <c r="T140" s="31"/>
      <c r="U140" s="31">
        <v>67.5</v>
      </c>
      <c r="V140" s="31">
        <v>95.5</v>
      </c>
      <c r="W140" s="30">
        <f t="shared" si="19"/>
        <v>-92.5</v>
      </c>
    </row>
    <row r="141" spans="1:24" hidden="1" x14ac:dyDescent="0.3">
      <c r="A141" s="31" t="s">
        <v>816</v>
      </c>
      <c r="B141" t="s">
        <v>817</v>
      </c>
      <c r="C141" s="31">
        <v>156</v>
      </c>
      <c r="D141" t="s">
        <v>283</v>
      </c>
      <c r="E141" s="8">
        <v>1600</v>
      </c>
      <c r="F141" t="s">
        <v>625</v>
      </c>
      <c r="G141" s="29">
        <v>0.1</v>
      </c>
      <c r="H141" s="30">
        <v>160</v>
      </c>
      <c r="I141" s="29">
        <v>0.1</v>
      </c>
      <c r="J141" s="31">
        <f t="shared" si="20"/>
        <v>170</v>
      </c>
      <c r="K141" s="33">
        <f t="shared" si="15"/>
        <v>160</v>
      </c>
      <c r="L141" s="33">
        <f t="shared" si="16"/>
        <v>240</v>
      </c>
      <c r="M141" s="33">
        <f t="shared" si="17"/>
        <v>320</v>
      </c>
      <c r="N141" s="32">
        <f t="shared" si="18"/>
        <v>0</v>
      </c>
      <c r="O141" s="32" t="str">
        <f>VLOOKUP($A141,[1]Sheet2!$A:$N,6,0)</f>
        <v>victoria moon</v>
      </c>
      <c r="P141" s="32">
        <f>VLOOKUP($A141,[1]Sheet2!$A:$N,13,0)/100</f>
        <v>170</v>
      </c>
      <c r="Q141" s="32">
        <f>VLOOKUP($A141,[1]Sheet2!$A:$N,14,0)/100</f>
        <v>170</v>
      </c>
      <c r="T141" s="31"/>
      <c r="U141" s="31"/>
      <c r="V141" s="31"/>
      <c r="W141" s="30">
        <f t="shared" si="19"/>
        <v>10</v>
      </c>
      <c r="X141" s="24">
        <f>P141*11%+W141</f>
        <v>28.7</v>
      </c>
    </row>
    <row r="142" spans="1:24" x14ac:dyDescent="0.3">
      <c r="A142" s="36" t="s">
        <v>449</v>
      </c>
      <c r="B142" t="s">
        <v>902</v>
      </c>
      <c r="C142" s="31">
        <v>9</v>
      </c>
      <c r="D142" t="s">
        <v>283</v>
      </c>
      <c r="E142" s="19">
        <v>2099</v>
      </c>
      <c r="F142" s="21" t="s">
        <v>628</v>
      </c>
      <c r="G142" s="20">
        <v>0.1</v>
      </c>
      <c r="H142" s="48">
        <v>209.9</v>
      </c>
      <c r="I142" s="29">
        <v>0.04</v>
      </c>
      <c r="J142" s="31">
        <f t="shared" si="20"/>
        <v>0</v>
      </c>
      <c r="K142" s="33">
        <f t="shared" si="15"/>
        <v>209.9</v>
      </c>
      <c r="L142" s="33">
        <f t="shared" si="16"/>
        <v>251.88</v>
      </c>
      <c r="M142" s="33">
        <f t="shared" si="17"/>
        <v>293.86</v>
      </c>
      <c r="N142" s="32">
        <f t="shared" si="18"/>
        <v>0</v>
      </c>
      <c r="O142" s="45" t="str">
        <f>VLOOKUP($A142,[1]Sheet2!$A:$N,6,0)</f>
        <v>Yesset Karayev</v>
      </c>
      <c r="P142" s="32">
        <f>VLOOKUP($A142,[1]Sheet2!$A:$N,13,0)/100</f>
        <v>115</v>
      </c>
      <c r="Q142" s="32">
        <f>VLOOKUP($A142,[1]Sheet2!$A:$N,14,0)/100</f>
        <v>210</v>
      </c>
      <c r="T142" s="31"/>
      <c r="U142" s="31"/>
      <c r="V142" s="31"/>
      <c r="W142" s="30">
        <f t="shared" si="19"/>
        <v>-94.9</v>
      </c>
    </row>
    <row r="143" spans="1:24" hidden="1" x14ac:dyDescent="0.3">
      <c r="A143" s="36" t="s">
        <v>770</v>
      </c>
      <c r="B143" t="s">
        <v>771</v>
      </c>
      <c r="C143" s="31">
        <v>127</v>
      </c>
      <c r="D143" t="s">
        <v>283</v>
      </c>
      <c r="E143" s="8">
        <v>1100</v>
      </c>
      <c r="F143" t="s">
        <v>627</v>
      </c>
      <c r="G143" s="29">
        <v>0.1</v>
      </c>
      <c r="H143" s="30">
        <v>110</v>
      </c>
      <c r="I143">
        <v>0</v>
      </c>
      <c r="J143" s="31">
        <f t="shared" si="20"/>
        <v>120</v>
      </c>
      <c r="K143" s="33">
        <f t="shared" si="15"/>
        <v>110</v>
      </c>
      <c r="L143" s="33">
        <f t="shared" si="16"/>
        <v>110</v>
      </c>
      <c r="M143" s="33">
        <f t="shared" si="17"/>
        <v>110</v>
      </c>
      <c r="N143" s="32">
        <f t="shared" si="18"/>
        <v>0</v>
      </c>
      <c r="O143" s="32" t="str">
        <f>VLOOKUP($A143,[1]Sheet2!$A:$N,6,0)</f>
        <v>Caitlin Green</v>
      </c>
      <c r="P143" s="32">
        <f>VLOOKUP($A143,[1]Sheet2!$A:$N,13,0)/100</f>
        <v>120</v>
      </c>
      <c r="Q143" s="32">
        <f>VLOOKUP($A143,[1]Sheet2!$A:$N,14,0)/100</f>
        <v>120</v>
      </c>
      <c r="T143" s="31"/>
      <c r="U143" s="31"/>
      <c r="V143" s="31"/>
      <c r="W143" s="30">
        <f t="shared" si="19"/>
        <v>10</v>
      </c>
      <c r="X143" s="24">
        <f>P143*11%+W143</f>
        <v>23.2</v>
      </c>
    </row>
    <row r="144" spans="1:24" hidden="1" x14ac:dyDescent="0.3">
      <c r="A144" s="36" t="s">
        <v>505</v>
      </c>
      <c r="B144" t="s">
        <v>774</v>
      </c>
      <c r="C144" s="31">
        <v>129</v>
      </c>
      <c r="D144" t="s">
        <v>283</v>
      </c>
      <c r="E144" s="8">
        <v>1100</v>
      </c>
      <c r="F144" t="s">
        <v>627</v>
      </c>
      <c r="G144" s="29">
        <v>0.1</v>
      </c>
      <c r="H144" s="30">
        <v>110</v>
      </c>
      <c r="I144">
        <v>0</v>
      </c>
      <c r="J144" s="31">
        <f t="shared" si="20"/>
        <v>120</v>
      </c>
      <c r="K144" s="33">
        <f t="shared" si="15"/>
        <v>110</v>
      </c>
      <c r="L144" s="33">
        <f t="shared" si="16"/>
        <v>110</v>
      </c>
      <c r="M144" s="33">
        <f t="shared" si="17"/>
        <v>110</v>
      </c>
      <c r="N144" s="32">
        <f t="shared" si="18"/>
        <v>0</v>
      </c>
      <c r="O144" s="32" t="str">
        <f>VLOOKUP($A144,[1]Sheet2!$A:$N,6,0)</f>
        <v>Caitlin Green</v>
      </c>
      <c r="P144" s="32">
        <f>VLOOKUP($A144,[1]Sheet2!$A:$N,13,0)/100</f>
        <v>120</v>
      </c>
      <c r="Q144" s="32">
        <f>VLOOKUP($A144,[1]Sheet2!$A:$N,14,0)/100</f>
        <v>120</v>
      </c>
      <c r="T144" s="31"/>
      <c r="U144" s="31"/>
      <c r="V144" s="31"/>
      <c r="W144" s="30">
        <f t="shared" si="19"/>
        <v>10</v>
      </c>
      <c r="X144" s="24">
        <f>P144*11%+W144</f>
        <v>23.2</v>
      </c>
    </row>
    <row r="145" spans="1:24" x14ac:dyDescent="0.3">
      <c r="A145" s="31" t="s">
        <v>876</v>
      </c>
      <c r="B145" t="s">
        <v>877</v>
      </c>
      <c r="C145" s="31">
        <v>192</v>
      </c>
      <c r="D145" t="s">
        <v>283</v>
      </c>
      <c r="E145" s="19">
        <v>1800</v>
      </c>
      <c r="F145" s="21" t="s">
        <v>625</v>
      </c>
      <c r="G145" s="20">
        <v>0.1</v>
      </c>
      <c r="H145" s="48">
        <v>180</v>
      </c>
      <c r="I145" s="29">
        <v>0.1</v>
      </c>
      <c r="J145" s="31">
        <f t="shared" si="20"/>
        <v>0</v>
      </c>
      <c r="K145" s="33">
        <f t="shared" si="15"/>
        <v>180</v>
      </c>
      <c r="L145" s="33">
        <f t="shared" si="16"/>
        <v>270</v>
      </c>
      <c r="M145" s="33">
        <f t="shared" si="17"/>
        <v>360</v>
      </c>
      <c r="N145" s="32">
        <f t="shared" si="18"/>
        <v>0</v>
      </c>
      <c r="O145" s="45" t="str">
        <f>VLOOKUP($A145,[1]Sheet2!$A:$N,6,0)</f>
        <v>Yesset Karayev</v>
      </c>
      <c r="P145" s="32">
        <f>VLOOKUP($A145,[1]Sheet2!$A:$N,13,0)/100</f>
        <v>77.5</v>
      </c>
      <c r="Q145" s="32">
        <f>VLOOKUP($A145,[1]Sheet2!$A:$N,14,0)/100</f>
        <v>180</v>
      </c>
      <c r="T145" s="31"/>
      <c r="U145" s="31"/>
      <c r="V145" s="31"/>
      <c r="W145" s="30">
        <f t="shared" si="19"/>
        <v>-102.5</v>
      </c>
    </row>
    <row r="146" spans="1:24" x14ac:dyDescent="0.3">
      <c r="A146" s="36" t="s">
        <v>410</v>
      </c>
      <c r="B146" t="s">
        <v>498</v>
      </c>
      <c r="C146" s="31">
        <v>76</v>
      </c>
      <c r="D146" t="s">
        <v>283</v>
      </c>
      <c r="E146" s="19">
        <v>1100</v>
      </c>
      <c r="F146" s="21" t="s">
        <v>627</v>
      </c>
      <c r="G146" s="20">
        <v>0.1</v>
      </c>
      <c r="H146" s="48">
        <v>110</v>
      </c>
      <c r="I146">
        <v>0</v>
      </c>
      <c r="J146" s="31">
        <f t="shared" si="20"/>
        <v>0</v>
      </c>
      <c r="K146" s="33">
        <f t="shared" si="15"/>
        <v>110</v>
      </c>
      <c r="L146" s="33">
        <f t="shared" si="16"/>
        <v>110</v>
      </c>
      <c r="M146" s="33">
        <f t="shared" si="17"/>
        <v>110</v>
      </c>
      <c r="N146" s="32">
        <f t="shared" si="18"/>
        <v>1</v>
      </c>
      <c r="O146" s="45" t="str">
        <f>VLOOKUP($A146,[1]Sheet2!$A:$N,6,0)</f>
        <v>Sanzhar Houston</v>
      </c>
      <c r="P146" s="32">
        <f>VLOOKUP($A146,[1]Sheet2!$A:$N,13,0)/100</f>
        <v>5.5</v>
      </c>
      <c r="Q146" s="32">
        <f>VLOOKUP($A146,[1]Sheet2!$A:$N,14,0)/100</f>
        <v>60</v>
      </c>
      <c r="S146" s="31">
        <v>155</v>
      </c>
      <c r="T146" s="31">
        <v>5.25</v>
      </c>
      <c r="U146" s="31"/>
      <c r="V146" s="31">
        <v>61.5</v>
      </c>
      <c r="W146" s="30">
        <f t="shared" si="19"/>
        <v>-104.5</v>
      </c>
    </row>
    <row r="147" spans="1:24" hidden="1" x14ac:dyDescent="0.3">
      <c r="A147" s="31" t="s">
        <v>883</v>
      </c>
      <c r="B147" t="s">
        <v>884</v>
      </c>
      <c r="C147" s="31">
        <v>196</v>
      </c>
      <c r="D147" t="s">
        <v>283</v>
      </c>
      <c r="E147" s="8">
        <v>828</v>
      </c>
      <c r="F147" t="s">
        <v>624</v>
      </c>
      <c r="G147" s="29">
        <v>0.1</v>
      </c>
      <c r="H147" s="30">
        <v>82.800000000000011</v>
      </c>
      <c r="I147" s="29">
        <v>0.1</v>
      </c>
      <c r="J147" s="31">
        <f t="shared" si="20"/>
        <v>92.5</v>
      </c>
      <c r="K147" s="33">
        <f t="shared" si="15"/>
        <v>82.800000000000011</v>
      </c>
      <c r="L147" s="33">
        <f t="shared" si="16"/>
        <v>124.20000000000002</v>
      </c>
      <c r="M147" s="33">
        <f t="shared" si="17"/>
        <v>165.60000000000002</v>
      </c>
      <c r="N147" s="32">
        <f t="shared" si="18"/>
        <v>0</v>
      </c>
      <c r="O147" s="32" t="str">
        <f>VLOOKUP($A147,[1]Sheet2!$A:$N,6,0)</f>
        <v>BEST OZUMBA</v>
      </c>
      <c r="P147" s="32">
        <f>VLOOKUP($A147,[1]Sheet2!$A:$N,13,0)/100</f>
        <v>92.5</v>
      </c>
      <c r="Q147" s="32">
        <f>VLOOKUP($A147,[1]Sheet2!$A:$N,14,0)/100</f>
        <v>92.5</v>
      </c>
      <c r="T147" s="31"/>
      <c r="U147" s="31"/>
      <c r="V147" s="31"/>
      <c r="W147" s="30">
        <f t="shared" si="19"/>
        <v>9.6999999999999886</v>
      </c>
      <c r="X147" s="24">
        <f>P147*11%+W147</f>
        <v>19.874999999999989</v>
      </c>
    </row>
    <row r="148" spans="1:24" hidden="1" x14ac:dyDescent="0.3">
      <c r="A148" s="31">
        <v>40</v>
      </c>
      <c r="B148" t="s">
        <v>905</v>
      </c>
      <c r="C148" s="31">
        <v>70</v>
      </c>
      <c r="D148" t="s">
        <v>374</v>
      </c>
      <c r="E148" s="5">
        <v>34</v>
      </c>
      <c r="F148" t="s">
        <v>624</v>
      </c>
      <c r="G148" s="29">
        <v>0.12</v>
      </c>
      <c r="H148" s="30">
        <v>4.08</v>
      </c>
      <c r="I148" s="29">
        <v>0.1</v>
      </c>
      <c r="J148" s="31">
        <f t="shared" si="20"/>
        <v>13.5</v>
      </c>
      <c r="K148" s="33">
        <f t="shared" si="15"/>
        <v>4.08</v>
      </c>
      <c r="L148" s="33">
        <f t="shared" si="16"/>
        <v>5.78</v>
      </c>
      <c r="M148" s="33">
        <f t="shared" si="17"/>
        <v>7.48</v>
      </c>
      <c r="N148" s="32">
        <f t="shared" si="18"/>
        <v>0</v>
      </c>
      <c r="O148" s="32" t="str">
        <f>VLOOKUP($A148,[1]Sheet2!$A:$N,6,0)</f>
        <v>Richard Stell</v>
      </c>
      <c r="P148" s="32">
        <f>VLOOKUP($A148,[1]Sheet2!$A:$N,13,0)/100</f>
        <v>13.5</v>
      </c>
      <c r="Q148" s="32">
        <f>VLOOKUP($A148,[1]Sheet2!$A:$N,14,0)/100</f>
        <v>13.5</v>
      </c>
      <c r="T148" s="31"/>
      <c r="U148" s="31"/>
      <c r="V148" s="31"/>
      <c r="W148" s="30">
        <f t="shared" si="19"/>
        <v>9.42</v>
      </c>
      <c r="X148" s="24">
        <f>P148*11%+W148</f>
        <v>10.904999999999999</v>
      </c>
    </row>
    <row r="149" spans="1:24" hidden="1" x14ac:dyDescent="0.3">
      <c r="A149" s="31" t="s">
        <v>473</v>
      </c>
      <c r="B149" t="s">
        <v>517</v>
      </c>
      <c r="C149" s="31">
        <v>107</v>
      </c>
      <c r="D149" t="s">
        <v>374</v>
      </c>
      <c r="E149" s="5">
        <v>160</v>
      </c>
      <c r="F149" t="s">
        <v>623</v>
      </c>
      <c r="G149" s="29">
        <v>0.12</v>
      </c>
      <c r="H149" s="30">
        <v>19.2</v>
      </c>
      <c r="I149" s="29">
        <v>0.1</v>
      </c>
      <c r="J149" s="31">
        <f t="shared" si="20"/>
        <v>27</v>
      </c>
      <c r="K149" s="33">
        <f t="shared" si="15"/>
        <v>19.2</v>
      </c>
      <c r="L149" s="33">
        <f t="shared" si="16"/>
        <v>27.2</v>
      </c>
      <c r="M149" s="33">
        <f t="shared" si="17"/>
        <v>35.200000000000003</v>
      </c>
      <c r="N149" s="32">
        <f t="shared" si="18"/>
        <v>1</v>
      </c>
      <c r="O149" s="32" t="str">
        <f>VLOOKUP($A149,[1]Sheet2!$A:$N,6,0)</f>
        <v>Angelina Santoro</v>
      </c>
      <c r="P149" s="32">
        <f>VLOOKUP($A149,[1]Sheet2!$A:$N,13,0)/100</f>
        <v>27</v>
      </c>
      <c r="Q149" s="32">
        <f>VLOOKUP($A149,[1]Sheet2!$A:$N,14,0)/100</f>
        <v>27</v>
      </c>
      <c r="T149" s="31"/>
      <c r="U149" s="31"/>
      <c r="V149" s="31">
        <v>55.5</v>
      </c>
      <c r="W149" s="30">
        <f t="shared" si="19"/>
        <v>7.8000000000000007</v>
      </c>
      <c r="X149" s="24">
        <f>P149*11%+W149</f>
        <v>10.770000000000001</v>
      </c>
    </row>
    <row r="150" spans="1:24" x14ac:dyDescent="0.3">
      <c r="A150" s="36" t="s">
        <v>434</v>
      </c>
      <c r="B150" t="s">
        <v>345</v>
      </c>
      <c r="C150" s="31">
        <v>109</v>
      </c>
      <c r="D150" t="s">
        <v>283</v>
      </c>
      <c r="E150" s="19">
        <v>1599</v>
      </c>
      <c r="F150" s="21" t="s">
        <v>627</v>
      </c>
      <c r="G150" s="20">
        <v>0.1</v>
      </c>
      <c r="H150" s="48">
        <v>159.9</v>
      </c>
      <c r="I150">
        <v>0</v>
      </c>
      <c r="J150" s="31">
        <f t="shared" si="20"/>
        <v>0</v>
      </c>
      <c r="K150" s="33">
        <f t="shared" si="15"/>
        <v>159.9</v>
      </c>
      <c r="L150" s="33">
        <f t="shared" si="16"/>
        <v>159.9</v>
      </c>
      <c r="M150" s="33">
        <f t="shared" si="17"/>
        <v>159.9</v>
      </c>
      <c r="N150" s="32">
        <f t="shared" si="18"/>
        <v>1</v>
      </c>
      <c r="O150" s="45" t="str">
        <f>VLOOKUP($A150,[1]Sheet2!$A:$N,6,0)</f>
        <v>Yesset Karayev</v>
      </c>
      <c r="P150" s="32">
        <f>VLOOKUP($A150,[1]Sheet2!$A:$N,13,0)/100</f>
        <v>52.5</v>
      </c>
      <c r="Q150" s="32">
        <f>VLOOKUP($A150,[1]Sheet2!$A:$N,14,0)/100</f>
        <v>160</v>
      </c>
      <c r="T150" s="31"/>
      <c r="U150" s="31"/>
      <c r="V150" s="31">
        <v>337</v>
      </c>
      <c r="W150" s="30">
        <f t="shared" si="19"/>
        <v>-107.4</v>
      </c>
    </row>
    <row r="151" spans="1:24" x14ac:dyDescent="0.3">
      <c r="A151" s="31" t="s">
        <v>271</v>
      </c>
      <c r="B151" t="s">
        <v>903</v>
      </c>
      <c r="C151" s="31">
        <v>11</v>
      </c>
      <c r="D151" t="s">
        <v>283</v>
      </c>
      <c r="E151" s="19">
        <v>3418</v>
      </c>
      <c r="F151" s="21" t="s">
        <v>629</v>
      </c>
      <c r="G151" s="20">
        <v>0.1</v>
      </c>
      <c r="H151" s="48">
        <v>341.8</v>
      </c>
      <c r="I151" s="29">
        <v>0.1</v>
      </c>
      <c r="J151" s="31">
        <f t="shared" si="20"/>
        <v>0</v>
      </c>
      <c r="K151" s="33">
        <f t="shared" si="15"/>
        <v>341.8</v>
      </c>
      <c r="L151" s="33">
        <f t="shared" si="16"/>
        <v>512.70000000000005</v>
      </c>
      <c r="M151" s="33">
        <f t="shared" si="17"/>
        <v>683.6</v>
      </c>
      <c r="N151" s="32">
        <f t="shared" si="18"/>
        <v>0</v>
      </c>
      <c r="O151" s="45" t="str">
        <f>VLOOKUP($A151,[1]Sheet2!$A:$N,6,0)</f>
        <v>Kuralay Kateryne</v>
      </c>
      <c r="P151" s="32">
        <f>VLOOKUP($A151,[1]Sheet2!$A:$N,13,0)/100</f>
        <v>225</v>
      </c>
      <c r="Q151" s="32">
        <f>VLOOKUP($A151,[1]Sheet2!$A:$N,14,0)/100</f>
        <v>340</v>
      </c>
      <c r="T151" s="31"/>
      <c r="U151" s="31"/>
      <c r="V151" s="31"/>
      <c r="W151" s="30">
        <f t="shared" si="19"/>
        <v>-116.80000000000001</v>
      </c>
    </row>
    <row r="152" spans="1:24" x14ac:dyDescent="0.3">
      <c r="A152" s="31" t="s">
        <v>495</v>
      </c>
      <c r="B152" t="s">
        <v>755</v>
      </c>
      <c r="C152" s="31">
        <v>119</v>
      </c>
      <c r="D152" t="s">
        <v>283</v>
      </c>
      <c r="E152" s="19">
        <v>4299</v>
      </c>
      <c r="F152" s="21" t="s">
        <v>628</v>
      </c>
      <c r="G152" s="20">
        <v>0.1</v>
      </c>
      <c r="H152" s="48">
        <v>429.90000000000003</v>
      </c>
      <c r="I152" s="29">
        <v>0.1</v>
      </c>
      <c r="J152" s="31">
        <f t="shared" si="20"/>
        <v>0</v>
      </c>
      <c r="K152" s="33">
        <f t="shared" si="15"/>
        <v>429.90000000000003</v>
      </c>
      <c r="L152" s="33">
        <f t="shared" si="16"/>
        <v>644.85</v>
      </c>
      <c r="M152" s="33">
        <f t="shared" si="17"/>
        <v>859.80000000000007</v>
      </c>
      <c r="N152" s="32">
        <f t="shared" si="18"/>
        <v>1</v>
      </c>
      <c r="O152" s="45" t="str">
        <f>VLOOKUP($A152,[1]Sheet2!$A:$N,6,0)</f>
        <v>Kuralay Kateryne</v>
      </c>
      <c r="P152" s="32">
        <f>VLOOKUP($A152,[1]Sheet2!$A:$N,13,0)/100</f>
        <v>310</v>
      </c>
      <c r="Q152" s="32">
        <f>VLOOKUP($A152,[1]Sheet2!$A:$N,14,0)/100</f>
        <v>330</v>
      </c>
      <c r="T152" s="31"/>
      <c r="U152" s="31">
        <v>330</v>
      </c>
      <c r="V152" s="31"/>
      <c r="W152" s="30">
        <f t="shared" si="19"/>
        <v>-119.90000000000003</v>
      </c>
    </row>
    <row r="153" spans="1:24" x14ac:dyDescent="0.3">
      <c r="A153" s="31" t="s">
        <v>389</v>
      </c>
      <c r="B153" t="s">
        <v>839</v>
      </c>
      <c r="C153" s="31">
        <v>170</v>
      </c>
      <c r="D153" t="s">
        <v>283</v>
      </c>
      <c r="E153" s="19">
        <v>3300</v>
      </c>
      <c r="F153" s="21" t="s">
        <v>629</v>
      </c>
      <c r="G153" s="20">
        <v>0.1</v>
      </c>
      <c r="H153" s="48">
        <v>330</v>
      </c>
      <c r="I153" s="29">
        <v>0.1</v>
      </c>
      <c r="J153" s="31">
        <f t="shared" si="20"/>
        <v>0</v>
      </c>
      <c r="K153" s="33">
        <f t="shared" si="15"/>
        <v>330</v>
      </c>
      <c r="L153" s="33">
        <f t="shared" si="16"/>
        <v>495</v>
      </c>
      <c r="M153" s="33">
        <f t="shared" si="17"/>
        <v>660</v>
      </c>
      <c r="N153" s="32">
        <f t="shared" si="18"/>
        <v>0</v>
      </c>
      <c r="O153" s="45" t="str">
        <f>VLOOKUP($A153,[1]Sheet2!$A:$N,6,0)</f>
        <v>Almata Atastana</v>
      </c>
      <c r="P153" s="32">
        <f>VLOOKUP($A153,[1]Sheet2!$A:$N,13,0)/100</f>
        <v>210</v>
      </c>
      <c r="Q153" s="32">
        <f>VLOOKUP($A153,[1]Sheet2!$A:$N,14,0)/100</f>
        <v>300</v>
      </c>
      <c r="T153" s="31"/>
      <c r="U153" s="31"/>
      <c r="V153" s="31"/>
      <c r="W153" s="30">
        <f t="shared" si="19"/>
        <v>-120</v>
      </c>
    </row>
    <row r="154" spans="1:24" hidden="1" x14ac:dyDescent="0.3">
      <c r="A154" s="31" t="s">
        <v>523</v>
      </c>
      <c r="B154" t="s">
        <v>805</v>
      </c>
      <c r="C154" s="31">
        <v>149</v>
      </c>
      <c r="D154" t="s">
        <v>283</v>
      </c>
      <c r="E154" s="8">
        <v>898</v>
      </c>
      <c r="F154" t="s">
        <v>625</v>
      </c>
      <c r="G154" s="29">
        <v>0.1</v>
      </c>
      <c r="H154" s="30">
        <v>89.800000000000011</v>
      </c>
      <c r="I154" s="29">
        <v>0.1</v>
      </c>
      <c r="J154" s="31">
        <f t="shared" si="20"/>
        <v>95</v>
      </c>
      <c r="K154" s="33">
        <f t="shared" si="15"/>
        <v>89.800000000000011</v>
      </c>
      <c r="L154" s="33">
        <f t="shared" si="16"/>
        <v>134.70000000000002</v>
      </c>
      <c r="M154" s="33">
        <f t="shared" si="17"/>
        <v>179.60000000000002</v>
      </c>
      <c r="N154" s="32">
        <f t="shared" si="18"/>
        <v>0</v>
      </c>
      <c r="O154" s="32" t="str">
        <f>VLOOKUP($A154,[1]Sheet2!$A:$N,6,0)</f>
        <v>jack witte</v>
      </c>
      <c r="P154" s="32">
        <f>VLOOKUP($A154,[1]Sheet2!$A:$N,13,0)/100</f>
        <v>95</v>
      </c>
      <c r="Q154" s="32">
        <f>VLOOKUP($A154,[1]Sheet2!$A:$N,14,0)/100</f>
        <v>95</v>
      </c>
      <c r="T154" s="31"/>
      <c r="U154" s="31"/>
      <c r="V154" s="31"/>
      <c r="W154" s="30">
        <f t="shared" si="19"/>
        <v>5.1999999999999886</v>
      </c>
      <c r="X154" s="24">
        <f>P154*11%+W154</f>
        <v>15.649999999999988</v>
      </c>
    </row>
    <row r="155" spans="1:24" x14ac:dyDescent="0.3">
      <c r="A155" s="36" t="s">
        <v>537</v>
      </c>
      <c r="B155" t="s">
        <v>845</v>
      </c>
      <c r="C155" s="31">
        <v>174</v>
      </c>
      <c r="D155" t="s">
        <v>283</v>
      </c>
      <c r="E155" s="19">
        <v>3599</v>
      </c>
      <c r="F155" s="21" t="s">
        <v>631</v>
      </c>
      <c r="G155" s="20">
        <v>0.1</v>
      </c>
      <c r="H155" s="48">
        <v>359.90000000000003</v>
      </c>
      <c r="I155" s="29">
        <v>0.02</v>
      </c>
      <c r="J155" s="31">
        <f t="shared" si="20"/>
        <v>0</v>
      </c>
      <c r="K155" s="33">
        <f t="shared" si="15"/>
        <v>359.90000000000003</v>
      </c>
      <c r="L155" s="33">
        <f t="shared" si="16"/>
        <v>395.89000000000004</v>
      </c>
      <c r="M155" s="33">
        <f t="shared" si="17"/>
        <v>431.88000000000005</v>
      </c>
      <c r="N155" s="32">
        <f t="shared" si="18"/>
        <v>0</v>
      </c>
      <c r="O155" s="45" t="str">
        <f>VLOOKUP($A155,[1]Sheet2!$A:$N,6,0)</f>
        <v>Kuralay Kateryne</v>
      </c>
      <c r="P155" s="32">
        <f>VLOOKUP($A155,[1]Sheet2!$A:$N,13,0)/100</f>
        <v>205</v>
      </c>
      <c r="Q155" s="32">
        <f>VLOOKUP($A155,[1]Sheet2!$A:$N,14,0)/100</f>
        <v>360</v>
      </c>
      <c r="T155" s="31"/>
      <c r="U155" s="31"/>
      <c r="V155" s="31"/>
      <c r="W155" s="30">
        <f t="shared" si="19"/>
        <v>-154.90000000000003</v>
      </c>
    </row>
    <row r="156" spans="1:24" x14ac:dyDescent="0.3">
      <c r="A156" s="36" t="s">
        <v>379</v>
      </c>
      <c r="B156" t="s">
        <v>827</v>
      </c>
      <c r="C156" s="31">
        <v>162</v>
      </c>
      <c r="D156" t="s">
        <v>283</v>
      </c>
      <c r="E156" s="19">
        <v>3449</v>
      </c>
      <c r="F156" s="21" t="s">
        <v>627</v>
      </c>
      <c r="G156" s="20">
        <v>0.1</v>
      </c>
      <c r="H156" s="48">
        <v>344.90000000000003</v>
      </c>
      <c r="I156">
        <v>0</v>
      </c>
      <c r="J156" s="31">
        <f t="shared" si="20"/>
        <v>0</v>
      </c>
      <c r="K156" s="33">
        <f t="shared" si="15"/>
        <v>344.90000000000003</v>
      </c>
      <c r="L156" s="33">
        <f t="shared" si="16"/>
        <v>344.90000000000003</v>
      </c>
      <c r="M156" s="33">
        <f t="shared" si="17"/>
        <v>344.90000000000003</v>
      </c>
      <c r="N156" s="32">
        <f t="shared" si="18"/>
        <v>0</v>
      </c>
      <c r="O156" s="45" t="str">
        <f>VLOOKUP($A156,[1]Sheet2!$A:$N,6,0)</f>
        <v>Kuralay Kateryne</v>
      </c>
      <c r="P156" s="32">
        <f>VLOOKUP($A156,[1]Sheet2!$A:$N,13,0)/100</f>
        <v>180</v>
      </c>
      <c r="Q156" s="32">
        <f>VLOOKUP($A156,[1]Sheet2!$A:$N,14,0)/100</f>
        <v>345</v>
      </c>
      <c r="T156" s="31"/>
      <c r="U156" s="31"/>
      <c r="V156" s="31"/>
      <c r="W156" s="30">
        <f t="shared" si="19"/>
        <v>-164.90000000000003</v>
      </c>
    </row>
    <row r="157" spans="1:24" x14ac:dyDescent="0.3">
      <c r="A157" s="36" t="s">
        <v>310</v>
      </c>
      <c r="B157" t="s">
        <v>297</v>
      </c>
      <c r="C157" s="31">
        <v>61</v>
      </c>
      <c r="D157" t="s">
        <v>283</v>
      </c>
      <c r="E157" s="19">
        <v>2298</v>
      </c>
      <c r="F157" s="21" t="s">
        <v>627</v>
      </c>
      <c r="G157" s="20">
        <v>0.1</v>
      </c>
      <c r="H157" s="48">
        <v>229.8</v>
      </c>
      <c r="I157">
        <v>0</v>
      </c>
      <c r="J157" s="31">
        <f t="shared" si="20"/>
        <v>0</v>
      </c>
      <c r="K157" s="33">
        <f t="shared" si="15"/>
        <v>229.8</v>
      </c>
      <c r="L157" s="33">
        <f t="shared" si="16"/>
        <v>229.8</v>
      </c>
      <c r="M157" s="33">
        <f t="shared" si="17"/>
        <v>229.8</v>
      </c>
      <c r="N157" s="32">
        <f t="shared" si="18"/>
        <v>1</v>
      </c>
      <c r="O157" s="45" t="str">
        <f>VLOOKUP($A157,[1]Sheet2!$A:$N,6,0)</f>
        <v>Almata Atastana</v>
      </c>
      <c r="P157" s="32">
        <f>VLOOKUP($A157,[1]Sheet2!$A:$N,13,0)/100</f>
        <v>52.5</v>
      </c>
      <c r="Q157" s="32">
        <f>VLOOKUP($A157,[1]Sheet2!$A:$N,14,0)/100</f>
        <v>230</v>
      </c>
      <c r="T157" s="31">
        <v>62.5</v>
      </c>
      <c r="U157" s="31"/>
      <c r="V157" s="31">
        <v>21</v>
      </c>
      <c r="W157" s="30">
        <f t="shared" si="19"/>
        <v>-177.3</v>
      </c>
    </row>
    <row r="158" spans="1:24" hidden="1" x14ac:dyDescent="0.3">
      <c r="A158" s="36" t="s">
        <v>288</v>
      </c>
      <c r="B158" t="s">
        <v>914</v>
      </c>
      <c r="C158" s="31">
        <v>31</v>
      </c>
      <c r="D158" t="s">
        <v>283</v>
      </c>
      <c r="E158" s="8">
        <v>1549</v>
      </c>
      <c r="F158" t="s">
        <v>627</v>
      </c>
      <c r="G158" s="29">
        <v>0.1</v>
      </c>
      <c r="H158" s="30">
        <v>154.9</v>
      </c>
      <c r="I158">
        <v>0</v>
      </c>
      <c r="J158" s="31">
        <f t="shared" si="20"/>
        <v>160</v>
      </c>
      <c r="K158" s="33">
        <f t="shared" si="15"/>
        <v>154.9</v>
      </c>
      <c r="L158" s="33">
        <f t="shared" si="16"/>
        <v>154.9</v>
      </c>
      <c r="M158" s="33">
        <f t="shared" si="17"/>
        <v>154.9</v>
      </c>
      <c r="N158" s="32">
        <f t="shared" si="18"/>
        <v>0</v>
      </c>
      <c r="O158" s="32" t="str">
        <f>VLOOKUP($A158,[1]Sheet2!$A:$N,6,0)</f>
        <v>jack witte</v>
      </c>
      <c r="P158" s="32">
        <f>VLOOKUP($A158,[1]Sheet2!$A:$N,13,0)/100</f>
        <v>160</v>
      </c>
      <c r="Q158" s="32">
        <f>VLOOKUP($A158,[1]Sheet2!$A:$N,14,0)/100</f>
        <v>160</v>
      </c>
      <c r="T158" s="31"/>
      <c r="U158" s="31"/>
      <c r="V158" s="31"/>
      <c r="W158" s="30">
        <f t="shared" si="19"/>
        <v>5.0999999999999943</v>
      </c>
      <c r="X158" s="24">
        <f>P158*11%+W158</f>
        <v>22.699999999999996</v>
      </c>
    </row>
    <row r="159" spans="1:24" x14ac:dyDescent="0.3">
      <c r="A159" s="36" t="s">
        <v>312</v>
      </c>
      <c r="B159" t="s">
        <v>293</v>
      </c>
      <c r="C159" s="31">
        <v>63</v>
      </c>
      <c r="D159" t="s">
        <v>283</v>
      </c>
      <c r="E159" s="19">
        <v>2798</v>
      </c>
      <c r="F159" s="21" t="s">
        <v>627</v>
      </c>
      <c r="G159" s="20">
        <v>0.1</v>
      </c>
      <c r="H159" s="48">
        <v>279.8</v>
      </c>
      <c r="I159">
        <v>0</v>
      </c>
      <c r="J159" s="31">
        <f t="shared" si="20"/>
        <v>0</v>
      </c>
      <c r="K159" s="33">
        <f t="shared" si="15"/>
        <v>279.8</v>
      </c>
      <c r="L159" s="33">
        <f t="shared" si="16"/>
        <v>279.8</v>
      </c>
      <c r="M159" s="33">
        <f t="shared" si="17"/>
        <v>279.8</v>
      </c>
      <c r="N159" s="32">
        <f t="shared" si="18"/>
        <v>1</v>
      </c>
      <c r="O159" s="45" t="str">
        <f>VLOOKUP($A159,[1]Sheet2!$A:$N,6,0)</f>
        <v>Almata Atastana</v>
      </c>
      <c r="P159" s="32">
        <f>VLOOKUP($A159,[1]Sheet2!$A:$N,13,0)/100</f>
        <v>62.5</v>
      </c>
      <c r="Q159" s="32">
        <f>VLOOKUP($A159,[1]Sheet2!$A:$N,14,0)/100</f>
        <v>280</v>
      </c>
      <c r="T159" s="31"/>
      <c r="U159" s="31"/>
      <c r="V159" s="31">
        <v>21</v>
      </c>
      <c r="W159" s="30">
        <f t="shared" si="19"/>
        <v>-217.3</v>
      </c>
    </row>
    <row r="160" spans="1:24" hidden="1" x14ac:dyDescent="0.3">
      <c r="A160" s="31" t="s">
        <v>323</v>
      </c>
      <c r="B160" t="s">
        <v>931</v>
      </c>
      <c r="C160" s="31">
        <v>88</v>
      </c>
      <c r="D160" t="s">
        <v>283</v>
      </c>
      <c r="E160" s="8">
        <v>2750</v>
      </c>
      <c r="F160" t="s">
        <v>632</v>
      </c>
      <c r="G160" s="29">
        <v>0.1</v>
      </c>
      <c r="H160" s="30">
        <v>275</v>
      </c>
      <c r="I160" s="29">
        <v>0.1</v>
      </c>
      <c r="J160" s="31">
        <f t="shared" si="20"/>
        <v>280</v>
      </c>
      <c r="K160" s="33">
        <f t="shared" si="15"/>
        <v>275</v>
      </c>
      <c r="L160" s="35">
        <f t="shared" si="16"/>
        <v>412.5</v>
      </c>
      <c r="M160" s="35">
        <f t="shared" si="17"/>
        <v>550</v>
      </c>
      <c r="N160" s="32">
        <f t="shared" si="18"/>
        <v>0</v>
      </c>
      <c r="O160" s="32" t="str">
        <f>VLOOKUP($A160,[1]Sheet2!$A:$N,6,0)</f>
        <v>Nelson Morales</v>
      </c>
      <c r="P160" s="32">
        <f>VLOOKUP($A160,[1]Sheet2!$A:$N,13,0)/100</f>
        <v>280</v>
      </c>
      <c r="Q160" s="32">
        <f>VLOOKUP($A160,[1]Sheet2!$A:$N,14,0)/100</f>
        <v>280</v>
      </c>
      <c r="T160" s="31"/>
      <c r="U160" s="31"/>
      <c r="V160" s="31"/>
      <c r="W160" s="30">
        <f t="shared" si="19"/>
        <v>5</v>
      </c>
      <c r="X160" s="24">
        <f t="shared" ref="X160:X188" si="21">P160*11%+W160</f>
        <v>35.799999999999997</v>
      </c>
    </row>
    <row r="161" spans="1:24" hidden="1" x14ac:dyDescent="0.3">
      <c r="A161" s="36" t="s">
        <v>759</v>
      </c>
      <c r="B161" t="s">
        <v>760</v>
      </c>
      <c r="C161" s="31">
        <v>122</v>
      </c>
      <c r="D161" t="s">
        <v>283</v>
      </c>
      <c r="E161" s="8">
        <v>1100</v>
      </c>
      <c r="F161" t="s">
        <v>627</v>
      </c>
      <c r="G161" s="29">
        <v>0.1</v>
      </c>
      <c r="H161" s="30">
        <v>110</v>
      </c>
      <c r="I161">
        <v>0</v>
      </c>
      <c r="J161" s="31">
        <f t="shared" si="20"/>
        <v>115</v>
      </c>
      <c r="K161" s="33">
        <f t="shared" si="15"/>
        <v>110</v>
      </c>
      <c r="L161" s="33">
        <f t="shared" si="16"/>
        <v>110</v>
      </c>
      <c r="M161" s="33">
        <f t="shared" si="17"/>
        <v>110</v>
      </c>
      <c r="N161" s="32">
        <f t="shared" si="18"/>
        <v>0</v>
      </c>
      <c r="O161" s="32" t="str">
        <f>VLOOKUP($A161,[1]Sheet2!$A:$N,6,0)</f>
        <v>BABS SOKOYA</v>
      </c>
      <c r="P161" s="32">
        <f>VLOOKUP($A161,[1]Sheet2!$A:$N,13,0)/100</f>
        <v>115</v>
      </c>
      <c r="Q161" s="32">
        <f>VLOOKUP($A161,[1]Sheet2!$A:$N,14,0)/100</f>
        <v>115</v>
      </c>
      <c r="T161" s="31"/>
      <c r="U161" s="31"/>
      <c r="V161" s="31"/>
      <c r="W161" s="30">
        <f t="shared" si="19"/>
        <v>5</v>
      </c>
      <c r="X161" s="24">
        <f t="shared" si="21"/>
        <v>17.649999999999999</v>
      </c>
    </row>
    <row r="162" spans="1:24" hidden="1" x14ac:dyDescent="0.3">
      <c r="A162" s="31" t="s">
        <v>775</v>
      </c>
      <c r="B162" t="s">
        <v>776</v>
      </c>
      <c r="C162" s="31">
        <v>130</v>
      </c>
      <c r="D162" t="s">
        <v>283</v>
      </c>
      <c r="E162" s="8">
        <v>1199</v>
      </c>
      <c r="F162" t="s">
        <v>632</v>
      </c>
      <c r="G162" s="29">
        <v>0.1</v>
      </c>
      <c r="H162" s="30">
        <v>119.9</v>
      </c>
      <c r="I162" s="29">
        <v>0.1</v>
      </c>
      <c r="J162" s="31">
        <f t="shared" si="20"/>
        <v>124.75</v>
      </c>
      <c r="K162" s="33">
        <f t="shared" si="15"/>
        <v>119.9</v>
      </c>
      <c r="L162" s="33">
        <f t="shared" si="16"/>
        <v>179.85000000000002</v>
      </c>
      <c r="M162" s="33">
        <f t="shared" si="17"/>
        <v>239.8</v>
      </c>
      <c r="N162" s="32">
        <f t="shared" si="18"/>
        <v>0</v>
      </c>
      <c r="O162" s="32" t="str">
        <f>VLOOKUP($A162,[1]Sheet2!$A:$N,6,0)</f>
        <v>BEST OZUMBA</v>
      </c>
      <c r="P162" s="32">
        <f>VLOOKUP($A162,[1]Sheet2!$A:$N,13,0)/100</f>
        <v>124.75</v>
      </c>
      <c r="Q162" s="32">
        <f>VLOOKUP($A162,[1]Sheet2!$A:$N,14,0)/100</f>
        <v>124.75</v>
      </c>
      <c r="T162" s="31"/>
      <c r="U162" s="31"/>
      <c r="V162" s="31"/>
      <c r="W162" s="30">
        <f t="shared" si="19"/>
        <v>4.8499999999999943</v>
      </c>
      <c r="X162" s="24">
        <f t="shared" si="21"/>
        <v>18.572499999999994</v>
      </c>
    </row>
    <row r="163" spans="1:24" hidden="1" x14ac:dyDescent="0.3">
      <c r="A163" s="36" t="s">
        <v>368</v>
      </c>
      <c r="B163" t="s">
        <v>810</v>
      </c>
      <c r="C163" s="31">
        <v>152</v>
      </c>
      <c r="D163" t="s">
        <v>283</v>
      </c>
      <c r="E163" s="8">
        <v>628</v>
      </c>
      <c r="F163" t="s">
        <v>627</v>
      </c>
      <c r="G163" s="29">
        <v>0.1</v>
      </c>
      <c r="H163" s="30">
        <v>62.800000000000004</v>
      </c>
      <c r="I163">
        <v>0</v>
      </c>
      <c r="J163" s="31">
        <f t="shared" si="20"/>
        <v>67.5</v>
      </c>
      <c r="K163" s="33">
        <f t="shared" si="15"/>
        <v>62.800000000000004</v>
      </c>
      <c r="L163" s="33">
        <f t="shared" si="16"/>
        <v>62.800000000000004</v>
      </c>
      <c r="M163" s="33">
        <f t="shared" si="17"/>
        <v>62.800000000000004</v>
      </c>
      <c r="N163" s="32">
        <f t="shared" si="18"/>
        <v>0</v>
      </c>
      <c r="O163" s="32" t="str">
        <f>VLOOKUP($A163,[1]Sheet2!$A:$N,6,0)</f>
        <v>Alejandro Servin</v>
      </c>
      <c r="P163" s="32">
        <f>VLOOKUP($A163,[1]Sheet2!$A:$N,13,0)/100</f>
        <v>67.5</v>
      </c>
      <c r="Q163" s="32">
        <f>VLOOKUP($A163,[1]Sheet2!$A:$N,14,0)/100</f>
        <v>67.5</v>
      </c>
      <c r="T163" s="31"/>
      <c r="U163" s="31"/>
      <c r="V163" s="31"/>
      <c r="W163" s="30">
        <f t="shared" si="19"/>
        <v>4.6999999999999957</v>
      </c>
      <c r="X163" s="24">
        <f t="shared" si="21"/>
        <v>12.124999999999996</v>
      </c>
    </row>
    <row r="164" spans="1:24" hidden="1" x14ac:dyDescent="0.3">
      <c r="A164" s="36" t="s">
        <v>306</v>
      </c>
      <c r="B164" t="s">
        <v>465</v>
      </c>
      <c r="C164" s="31">
        <v>55</v>
      </c>
      <c r="D164" t="s">
        <v>268</v>
      </c>
      <c r="E164" s="8">
        <v>1933</v>
      </c>
      <c r="F164" t="s">
        <v>626</v>
      </c>
      <c r="G164" s="29">
        <v>7.0000000000000007E-2</v>
      </c>
      <c r="H164" s="30">
        <v>135.31</v>
      </c>
      <c r="I164" s="29">
        <v>0.04</v>
      </c>
      <c r="J164" s="31">
        <f t="shared" si="20"/>
        <v>140</v>
      </c>
      <c r="K164" s="33">
        <f t="shared" si="15"/>
        <v>135.31</v>
      </c>
      <c r="L164" s="33">
        <f t="shared" si="16"/>
        <v>173.97</v>
      </c>
      <c r="M164" s="33">
        <f t="shared" si="17"/>
        <v>212.63</v>
      </c>
      <c r="N164" s="32">
        <f t="shared" si="18"/>
        <v>1</v>
      </c>
      <c r="O164" s="32" t="str">
        <f>VLOOKUP($A164,[1]Sheet2!$A:$N,6,0)</f>
        <v>Mayowa Solademi</v>
      </c>
      <c r="P164" s="32">
        <f>VLOOKUP($A164,[1]Sheet2!$A:$N,13,0)/100</f>
        <v>140</v>
      </c>
      <c r="Q164" s="32">
        <f>VLOOKUP($A164,[1]Sheet2!$A:$N,14,0)/100</f>
        <v>140</v>
      </c>
      <c r="T164" s="31"/>
      <c r="U164" s="31"/>
      <c r="V164" s="31">
        <v>360</v>
      </c>
      <c r="W164" s="30">
        <f t="shared" si="19"/>
        <v>4.6899999999999977</v>
      </c>
      <c r="X164" s="24">
        <f t="shared" si="21"/>
        <v>20.089999999999996</v>
      </c>
    </row>
    <row r="165" spans="1:24" hidden="1" x14ac:dyDescent="0.3">
      <c r="A165" s="31">
        <v>5</v>
      </c>
      <c r="B165" t="s">
        <v>718</v>
      </c>
      <c r="C165" s="31">
        <v>6</v>
      </c>
      <c r="D165" t="s">
        <v>374</v>
      </c>
      <c r="E165" s="5">
        <v>10</v>
      </c>
      <c r="F165" t="s">
        <v>624</v>
      </c>
      <c r="G165" s="29">
        <v>0.12</v>
      </c>
      <c r="H165" s="30">
        <v>1.2</v>
      </c>
      <c r="I165" s="29">
        <v>0.1</v>
      </c>
      <c r="J165" s="31">
        <f t="shared" si="20"/>
        <v>5</v>
      </c>
      <c r="K165" s="33">
        <f t="shared" si="15"/>
        <v>1.2</v>
      </c>
      <c r="L165" s="33">
        <f t="shared" si="16"/>
        <v>1.7</v>
      </c>
      <c r="M165" s="33">
        <f t="shared" si="17"/>
        <v>2.2000000000000002</v>
      </c>
      <c r="N165" s="32">
        <f t="shared" si="18"/>
        <v>0</v>
      </c>
      <c r="O165" s="32" t="str">
        <f>VLOOKUP($A165,[1]Sheet2!$A:$N,6,0)</f>
        <v>Uyen Bui</v>
      </c>
      <c r="P165" s="32">
        <f>VLOOKUP($A165,[1]Sheet2!$A:$N,13,0)/100</f>
        <v>5</v>
      </c>
      <c r="Q165" s="32">
        <f>VLOOKUP($A165,[1]Sheet2!$A:$N,14,0)/100</f>
        <v>5</v>
      </c>
      <c r="T165" s="31"/>
      <c r="U165" s="31"/>
      <c r="V165" s="31"/>
      <c r="W165" s="30">
        <f t="shared" si="19"/>
        <v>3.8</v>
      </c>
      <c r="X165" s="24">
        <f t="shared" si="21"/>
        <v>4.3499999999999996</v>
      </c>
    </row>
    <row r="166" spans="1:24" hidden="1" x14ac:dyDescent="0.3">
      <c r="A166" s="31" t="s">
        <v>856</v>
      </c>
      <c r="B166" t="s">
        <v>857</v>
      </c>
      <c r="C166" s="31">
        <v>181</v>
      </c>
      <c r="D166" t="s">
        <v>283</v>
      </c>
      <c r="E166" s="8">
        <v>350</v>
      </c>
      <c r="F166" t="s">
        <v>624</v>
      </c>
      <c r="G166" s="29">
        <v>0.1</v>
      </c>
      <c r="H166" s="30">
        <v>35</v>
      </c>
      <c r="I166" s="29">
        <v>0.1</v>
      </c>
      <c r="J166" s="31">
        <f t="shared" si="20"/>
        <v>38</v>
      </c>
      <c r="K166" s="33">
        <f t="shared" si="15"/>
        <v>35</v>
      </c>
      <c r="L166" s="33">
        <f t="shared" si="16"/>
        <v>52.5</v>
      </c>
      <c r="M166" s="33">
        <f t="shared" si="17"/>
        <v>70</v>
      </c>
      <c r="N166" s="32">
        <f t="shared" si="18"/>
        <v>0</v>
      </c>
      <c r="O166" s="32" t="str">
        <f>VLOOKUP($A166,[1]Sheet2!$A:$N,6,0)</f>
        <v>Virginia Sallot</v>
      </c>
      <c r="P166" s="32">
        <f>VLOOKUP($A166,[1]Sheet2!$A:$N,13,0)/100</f>
        <v>38</v>
      </c>
      <c r="Q166" s="32">
        <f>VLOOKUP($A166,[1]Sheet2!$A:$N,14,0)/100</f>
        <v>38</v>
      </c>
      <c r="T166" s="31"/>
      <c r="U166" s="31"/>
      <c r="V166" s="31"/>
      <c r="W166" s="30">
        <f t="shared" si="19"/>
        <v>3</v>
      </c>
      <c r="X166" s="24">
        <f t="shared" si="21"/>
        <v>7.18</v>
      </c>
    </row>
    <row r="167" spans="1:24" hidden="1" x14ac:dyDescent="0.3">
      <c r="A167" s="31">
        <v>10</v>
      </c>
      <c r="B167" t="s">
        <v>723</v>
      </c>
      <c r="C167" s="31">
        <v>16</v>
      </c>
      <c r="D167" t="s">
        <v>374</v>
      </c>
      <c r="E167" s="5">
        <v>20</v>
      </c>
      <c r="F167" t="s">
        <v>624</v>
      </c>
      <c r="G167" s="29">
        <v>0.12</v>
      </c>
      <c r="H167" s="30">
        <v>2.4</v>
      </c>
      <c r="I167" s="29">
        <v>0.1</v>
      </c>
      <c r="J167" s="31">
        <f t="shared" si="20"/>
        <v>5</v>
      </c>
      <c r="K167" s="33">
        <f t="shared" si="15"/>
        <v>2.4</v>
      </c>
      <c r="L167" s="33">
        <f t="shared" si="16"/>
        <v>3.4</v>
      </c>
      <c r="M167" s="33">
        <f t="shared" si="17"/>
        <v>4.4000000000000004</v>
      </c>
      <c r="N167" s="32">
        <f t="shared" si="18"/>
        <v>0</v>
      </c>
      <c r="O167" s="32" t="str">
        <f>VLOOKUP($A167,[1]Sheet2!$A:$N,6,0)</f>
        <v>jack witte</v>
      </c>
      <c r="P167" s="32">
        <f>VLOOKUP($A167,[1]Sheet2!$A:$N,13,0)/100</f>
        <v>5</v>
      </c>
      <c r="Q167" s="32">
        <f>VLOOKUP($A167,[1]Sheet2!$A:$N,14,0)/100</f>
        <v>5</v>
      </c>
      <c r="S167" s="31">
        <v>0</v>
      </c>
      <c r="T167" s="31"/>
      <c r="U167" s="31">
        <v>0</v>
      </c>
      <c r="V167" s="31"/>
      <c r="W167" s="30">
        <f t="shared" si="19"/>
        <v>2.6</v>
      </c>
      <c r="X167" s="24">
        <f t="shared" si="21"/>
        <v>3.1500000000000004</v>
      </c>
    </row>
    <row r="168" spans="1:24" hidden="1" x14ac:dyDescent="0.3">
      <c r="A168" s="31" t="s">
        <v>814</v>
      </c>
      <c r="B168" t="s">
        <v>815</v>
      </c>
      <c r="C168" s="31">
        <v>155</v>
      </c>
      <c r="D168" t="s">
        <v>283</v>
      </c>
      <c r="E168" s="8">
        <v>799</v>
      </c>
      <c r="F168" t="s">
        <v>628</v>
      </c>
      <c r="G168" s="29">
        <v>0.1</v>
      </c>
      <c r="H168" s="30">
        <v>79.900000000000006</v>
      </c>
      <c r="I168" s="29">
        <v>0.1</v>
      </c>
      <c r="J168" s="31">
        <f t="shared" ref="J168:J199" si="22">IF(P168&gt;K168,P168,0)</f>
        <v>82.5</v>
      </c>
      <c r="K168" s="33">
        <f t="shared" si="15"/>
        <v>79.900000000000006</v>
      </c>
      <c r="L168" s="33">
        <f t="shared" si="16"/>
        <v>119.85000000000001</v>
      </c>
      <c r="M168" s="33">
        <f t="shared" si="17"/>
        <v>159.80000000000001</v>
      </c>
      <c r="N168" s="32">
        <f t="shared" si="18"/>
        <v>0</v>
      </c>
      <c r="O168" s="32" t="str">
        <f>VLOOKUP($A168,[1]Sheet2!$A:$N,6,0)</f>
        <v>Alejandro Servin</v>
      </c>
      <c r="P168" s="32">
        <f>VLOOKUP($A168,[1]Sheet2!$A:$N,13,0)/100</f>
        <v>82.5</v>
      </c>
      <c r="Q168" s="32">
        <f>VLOOKUP($A168,[1]Sheet2!$A:$N,14,0)/100</f>
        <v>85</v>
      </c>
      <c r="T168" s="31"/>
      <c r="U168" s="31"/>
      <c r="V168" s="31"/>
      <c r="W168" s="30">
        <f t="shared" si="19"/>
        <v>2.5999999999999943</v>
      </c>
      <c r="X168" s="24">
        <f t="shared" si="21"/>
        <v>11.674999999999994</v>
      </c>
    </row>
    <row r="169" spans="1:24" hidden="1" x14ac:dyDescent="0.3">
      <c r="A169" s="31">
        <v>7</v>
      </c>
      <c r="B169" t="s">
        <v>720</v>
      </c>
      <c r="C169" s="31">
        <v>10</v>
      </c>
      <c r="D169" t="s">
        <v>283</v>
      </c>
      <c r="E169" s="5">
        <v>30</v>
      </c>
      <c r="F169" t="s">
        <v>624</v>
      </c>
      <c r="G169" s="29">
        <v>0.1</v>
      </c>
      <c r="H169" s="30">
        <v>3</v>
      </c>
      <c r="I169" s="29">
        <v>0.1</v>
      </c>
      <c r="J169" s="31">
        <f t="shared" si="22"/>
        <v>5</v>
      </c>
      <c r="K169" s="33">
        <f t="shared" si="15"/>
        <v>3</v>
      </c>
      <c r="L169" s="33">
        <f t="shared" si="16"/>
        <v>4.5</v>
      </c>
      <c r="M169" s="33">
        <f t="shared" si="17"/>
        <v>6</v>
      </c>
      <c r="N169" s="32">
        <f t="shared" si="18"/>
        <v>0</v>
      </c>
      <c r="O169" s="32" t="str">
        <f>VLOOKUP($A169,[1]Sheet2!$A:$N,6,0)</f>
        <v>jack witte</v>
      </c>
      <c r="P169" s="32">
        <f>VLOOKUP($A169,[1]Sheet2!$A:$N,13,0)/100</f>
        <v>5</v>
      </c>
      <c r="Q169" s="32">
        <f>VLOOKUP($A169,[1]Sheet2!$A:$N,14,0)/100</f>
        <v>5</v>
      </c>
      <c r="R169" s="31">
        <v>0</v>
      </c>
      <c r="T169" s="31"/>
      <c r="U169" s="31">
        <v>0</v>
      </c>
      <c r="V169" s="31"/>
      <c r="W169" s="30">
        <f t="shared" si="19"/>
        <v>2</v>
      </c>
      <c r="X169" s="24">
        <f t="shared" si="21"/>
        <v>2.5499999999999998</v>
      </c>
    </row>
    <row r="170" spans="1:24" hidden="1" x14ac:dyDescent="0.3">
      <c r="A170" s="31">
        <v>37</v>
      </c>
      <c r="B170" t="s">
        <v>747</v>
      </c>
      <c r="C170" s="31">
        <v>67</v>
      </c>
      <c r="D170" t="s">
        <v>374</v>
      </c>
      <c r="E170" s="5">
        <v>29</v>
      </c>
      <c r="F170" t="s">
        <v>623</v>
      </c>
      <c r="G170" s="29">
        <v>0.12</v>
      </c>
      <c r="H170" s="30">
        <v>3.48</v>
      </c>
      <c r="I170" s="29">
        <v>0.1</v>
      </c>
      <c r="J170" s="31">
        <f t="shared" si="22"/>
        <v>5.25</v>
      </c>
      <c r="K170" s="33">
        <f t="shared" si="15"/>
        <v>3.48</v>
      </c>
      <c r="L170" s="33">
        <f t="shared" si="16"/>
        <v>4.93</v>
      </c>
      <c r="M170" s="33">
        <f t="shared" si="17"/>
        <v>6.3800000000000008</v>
      </c>
      <c r="N170" s="32">
        <f t="shared" si="18"/>
        <v>0</v>
      </c>
      <c r="O170" s="32" t="str">
        <f>VLOOKUP($A170,[1]Sheet2!$A:$N,6,0)</f>
        <v>Roxana Colchado</v>
      </c>
      <c r="P170" s="32">
        <f>VLOOKUP($A170,[1]Sheet2!$A:$N,13,0)/100</f>
        <v>5.25</v>
      </c>
      <c r="Q170" s="32">
        <f>VLOOKUP($A170,[1]Sheet2!$A:$N,14,0)/100</f>
        <v>5.25</v>
      </c>
      <c r="T170" s="31">
        <v>0</v>
      </c>
      <c r="U170" s="31"/>
      <c r="V170" s="31"/>
      <c r="W170" s="30">
        <f t="shared" si="19"/>
        <v>1.77</v>
      </c>
      <c r="X170" s="24">
        <f t="shared" si="21"/>
        <v>2.3475000000000001</v>
      </c>
    </row>
    <row r="171" spans="1:24" hidden="1" x14ac:dyDescent="0.3">
      <c r="A171" s="31">
        <v>13</v>
      </c>
      <c r="B171" t="s">
        <v>726</v>
      </c>
      <c r="C171" s="31">
        <v>22</v>
      </c>
      <c r="D171" t="s">
        <v>374</v>
      </c>
      <c r="E171" s="5">
        <v>30</v>
      </c>
      <c r="F171" t="s">
        <v>624</v>
      </c>
      <c r="G171" s="29">
        <v>0.12</v>
      </c>
      <c r="H171" s="30">
        <v>3.5999999999999996</v>
      </c>
      <c r="I171" s="29">
        <v>0.1</v>
      </c>
      <c r="J171" s="31">
        <f t="shared" si="22"/>
        <v>5</v>
      </c>
      <c r="K171" s="33">
        <f t="shared" si="15"/>
        <v>3.5999999999999996</v>
      </c>
      <c r="L171" s="33">
        <f t="shared" si="16"/>
        <v>5.0999999999999996</v>
      </c>
      <c r="M171" s="33">
        <f t="shared" si="17"/>
        <v>6.6</v>
      </c>
      <c r="N171" s="32">
        <f t="shared" si="18"/>
        <v>0</v>
      </c>
      <c r="O171" s="32" t="str">
        <f>VLOOKUP($A171,[1]Sheet2!$A:$N,6,0)</f>
        <v>Maria Chong</v>
      </c>
      <c r="P171" s="32">
        <f>VLOOKUP($A171,[1]Sheet2!$A:$N,13,0)/100</f>
        <v>5</v>
      </c>
      <c r="Q171" s="32">
        <f>VLOOKUP($A171,[1]Sheet2!$A:$N,14,0)/100</f>
        <v>5</v>
      </c>
      <c r="S171" s="31">
        <v>0</v>
      </c>
      <c r="T171" s="31"/>
      <c r="U171" s="31">
        <v>0</v>
      </c>
      <c r="V171" s="31"/>
      <c r="W171" s="30">
        <f t="shared" si="19"/>
        <v>1.4000000000000004</v>
      </c>
      <c r="X171" s="24">
        <f t="shared" si="21"/>
        <v>1.9500000000000004</v>
      </c>
    </row>
    <row r="172" spans="1:24" hidden="1" x14ac:dyDescent="0.3">
      <c r="A172" s="36" t="s">
        <v>354</v>
      </c>
      <c r="B172" t="s">
        <v>784</v>
      </c>
      <c r="C172" s="31">
        <v>136</v>
      </c>
      <c r="D172" t="s">
        <v>283</v>
      </c>
      <c r="E172" s="8">
        <v>300</v>
      </c>
      <c r="F172" t="s">
        <v>629</v>
      </c>
      <c r="G172" s="29">
        <v>0.1</v>
      </c>
      <c r="H172" s="30">
        <v>30</v>
      </c>
      <c r="I172" s="29">
        <v>0.04</v>
      </c>
      <c r="J172" s="31">
        <f t="shared" si="22"/>
        <v>31</v>
      </c>
      <c r="K172" s="33">
        <f t="shared" si="15"/>
        <v>30</v>
      </c>
      <c r="L172" s="33">
        <f t="shared" si="16"/>
        <v>36</v>
      </c>
      <c r="M172" s="33">
        <f t="shared" si="17"/>
        <v>42</v>
      </c>
      <c r="N172" s="32">
        <f t="shared" si="18"/>
        <v>0</v>
      </c>
      <c r="O172" s="32" t="str">
        <f>VLOOKUP($A172,[1]Sheet2!$A:$N,6,0)</f>
        <v>German Neira</v>
      </c>
      <c r="P172" s="32">
        <f>VLOOKUP($A172,[1]Sheet2!$A:$N,13,0)/100</f>
        <v>31</v>
      </c>
      <c r="Q172" s="32">
        <f>VLOOKUP($A172,[1]Sheet2!$A:$N,14,0)/100</f>
        <v>31</v>
      </c>
      <c r="T172" s="31"/>
      <c r="U172" s="31"/>
      <c r="V172" s="31"/>
      <c r="W172" s="30">
        <f t="shared" si="19"/>
        <v>1</v>
      </c>
      <c r="X172" s="24">
        <f t="shared" si="21"/>
        <v>4.41</v>
      </c>
    </row>
    <row r="173" spans="1:24" hidden="1" x14ac:dyDescent="0.3">
      <c r="A173" s="31">
        <v>11</v>
      </c>
      <c r="B173" t="s">
        <v>724</v>
      </c>
      <c r="C173" s="31">
        <v>18</v>
      </c>
      <c r="D173" t="s">
        <v>374</v>
      </c>
      <c r="E173" s="5">
        <v>40</v>
      </c>
      <c r="F173" t="s">
        <v>624</v>
      </c>
      <c r="G173" s="29">
        <v>0.12</v>
      </c>
      <c r="H173" s="30">
        <v>4.8</v>
      </c>
      <c r="I173" s="29">
        <v>0.1</v>
      </c>
      <c r="J173" s="31">
        <f t="shared" si="22"/>
        <v>5.75</v>
      </c>
      <c r="K173" s="33">
        <f t="shared" si="15"/>
        <v>4.8</v>
      </c>
      <c r="L173" s="33">
        <f t="shared" si="16"/>
        <v>6.8</v>
      </c>
      <c r="M173" s="33">
        <f t="shared" si="17"/>
        <v>8.8000000000000007</v>
      </c>
      <c r="N173" s="32">
        <f t="shared" si="18"/>
        <v>0</v>
      </c>
      <c r="O173" s="32" t="str">
        <f>VLOOKUP($A173,[1]Sheet2!$A:$N,6,0)</f>
        <v>Bernard Millette</v>
      </c>
      <c r="P173" s="32">
        <f>VLOOKUP($A173,[1]Sheet2!$A:$N,13,0)/100</f>
        <v>5.75</v>
      </c>
      <c r="Q173" s="32">
        <f>VLOOKUP($A173,[1]Sheet2!$A:$N,14,0)/100</f>
        <v>5.75</v>
      </c>
      <c r="S173" s="31">
        <v>0</v>
      </c>
      <c r="T173" s="31"/>
      <c r="U173" s="31">
        <v>0</v>
      </c>
      <c r="V173" s="31"/>
      <c r="W173" s="30">
        <f t="shared" si="19"/>
        <v>0.95000000000000018</v>
      </c>
      <c r="X173" s="24">
        <f t="shared" si="21"/>
        <v>1.5825</v>
      </c>
    </row>
    <row r="174" spans="1:24" hidden="1" x14ac:dyDescent="0.3">
      <c r="A174" s="31">
        <v>2</v>
      </c>
      <c r="B174" t="s">
        <v>715</v>
      </c>
      <c r="C174" s="31">
        <v>1</v>
      </c>
      <c r="D174" t="s">
        <v>374</v>
      </c>
      <c r="E174" s="5">
        <v>39</v>
      </c>
      <c r="F174" t="s">
        <v>624</v>
      </c>
      <c r="G174" s="29">
        <v>0.12</v>
      </c>
      <c r="H174" s="30">
        <v>4.68</v>
      </c>
      <c r="I174" s="29">
        <v>0.1</v>
      </c>
      <c r="J174" s="31">
        <f t="shared" si="22"/>
        <v>5</v>
      </c>
      <c r="K174" s="33">
        <f t="shared" si="15"/>
        <v>4.68</v>
      </c>
      <c r="L174" s="33">
        <f t="shared" si="16"/>
        <v>6.63</v>
      </c>
      <c r="M174" s="33">
        <f t="shared" si="17"/>
        <v>8.58</v>
      </c>
      <c r="N174" s="32">
        <f t="shared" si="18"/>
        <v>0</v>
      </c>
      <c r="O174" s="32" t="str">
        <f>VLOOKUP($A174,[1]Sheet2!$A:$N,6,0)</f>
        <v>Alma Torres</v>
      </c>
      <c r="P174" s="32">
        <f>VLOOKUP($A174,[1]Sheet2!$A:$N,13,0)/100</f>
        <v>5</v>
      </c>
      <c r="Q174" s="32">
        <f>VLOOKUP($A174,[1]Sheet2!$A:$N,14,0)/100</f>
        <v>5</v>
      </c>
      <c r="R174" s="31">
        <v>0</v>
      </c>
      <c r="T174" s="31"/>
      <c r="U174" s="31">
        <v>0</v>
      </c>
      <c r="V174" s="31"/>
      <c r="W174" s="30">
        <f t="shared" si="19"/>
        <v>0.32000000000000028</v>
      </c>
      <c r="X174" s="24">
        <f t="shared" si="21"/>
        <v>0.87000000000000033</v>
      </c>
    </row>
    <row r="175" spans="1:24" x14ac:dyDescent="0.3">
      <c r="A175" s="31">
        <v>18</v>
      </c>
      <c r="B175" t="s">
        <v>730</v>
      </c>
      <c r="C175" s="31">
        <v>32</v>
      </c>
      <c r="D175" t="s">
        <v>374</v>
      </c>
      <c r="E175" s="19">
        <v>7</v>
      </c>
      <c r="F175" s="21" t="s">
        <v>624</v>
      </c>
      <c r="G175" s="20">
        <v>0.12</v>
      </c>
      <c r="H175" s="48">
        <v>0.84</v>
      </c>
      <c r="I175" s="29">
        <v>0.1</v>
      </c>
      <c r="J175" s="31">
        <f t="shared" si="22"/>
        <v>0</v>
      </c>
      <c r="K175" s="33">
        <f t="shared" si="15"/>
        <v>0.84</v>
      </c>
      <c r="L175" s="33">
        <f t="shared" si="16"/>
        <v>1.19</v>
      </c>
      <c r="M175" s="33">
        <f t="shared" si="17"/>
        <v>1.54</v>
      </c>
      <c r="N175" s="32">
        <f t="shared" si="18"/>
        <v>0</v>
      </c>
      <c r="O175" s="45" t="str">
        <f>VLOOKUP($A175,[1]Sheet2!$A:$N,6,0)</f>
        <v>Floor</v>
      </c>
      <c r="P175" s="32">
        <f>VLOOKUP($A175,[1]Sheet2!$A:$N,13,0)/100</f>
        <v>0</v>
      </c>
      <c r="Q175" s="32">
        <f>VLOOKUP($A175,[1]Sheet2!$A:$N,14,0)/100</f>
        <v>0</v>
      </c>
      <c r="S175" s="31">
        <v>0</v>
      </c>
      <c r="T175" s="31"/>
      <c r="U175" s="31">
        <v>0</v>
      </c>
      <c r="V175" s="31"/>
      <c r="W175" s="30">
        <f t="shared" si="19"/>
        <v>-0.84</v>
      </c>
      <c r="X175" s="24">
        <f t="shared" si="21"/>
        <v>-0.84</v>
      </c>
    </row>
    <row r="176" spans="1:24" x14ac:dyDescent="0.3">
      <c r="A176" s="31">
        <v>9</v>
      </c>
      <c r="B176" t="s">
        <v>722</v>
      </c>
      <c r="C176" s="31">
        <v>14</v>
      </c>
      <c r="D176" t="s">
        <v>374</v>
      </c>
      <c r="E176" s="19">
        <v>10</v>
      </c>
      <c r="F176" s="21" t="s">
        <v>624</v>
      </c>
      <c r="G176" s="20">
        <v>0.12</v>
      </c>
      <c r="H176" s="48">
        <v>1.2</v>
      </c>
      <c r="I176" s="29">
        <v>0.1</v>
      </c>
      <c r="J176" s="31">
        <f t="shared" si="22"/>
        <v>0</v>
      </c>
      <c r="K176" s="33">
        <f t="shared" si="15"/>
        <v>1.2</v>
      </c>
      <c r="L176" s="33">
        <f t="shared" si="16"/>
        <v>1.7</v>
      </c>
      <c r="M176" s="33">
        <f t="shared" si="17"/>
        <v>2.2000000000000002</v>
      </c>
      <c r="N176" s="32">
        <f t="shared" si="18"/>
        <v>0</v>
      </c>
      <c r="O176" s="45" t="str">
        <f>VLOOKUP($A176,[1]Sheet2!$A:$N,6,0)</f>
        <v>Floor</v>
      </c>
      <c r="P176" s="32">
        <f>VLOOKUP($A176,[1]Sheet2!$A:$N,13,0)/100</f>
        <v>0</v>
      </c>
      <c r="Q176" s="32">
        <f>VLOOKUP($A176,[1]Sheet2!$A:$N,14,0)/100</f>
        <v>0</v>
      </c>
      <c r="T176" s="31"/>
      <c r="U176" s="31"/>
      <c r="V176" s="31"/>
      <c r="W176" s="30">
        <f t="shared" si="19"/>
        <v>-1.2</v>
      </c>
      <c r="X176" s="24">
        <f t="shared" si="21"/>
        <v>-1.2</v>
      </c>
    </row>
    <row r="177" spans="1:24" x14ac:dyDescent="0.3">
      <c r="A177" s="31">
        <v>30</v>
      </c>
      <c r="B177" t="s">
        <v>741</v>
      </c>
      <c r="C177" s="31">
        <v>56</v>
      </c>
      <c r="D177" t="s">
        <v>374</v>
      </c>
      <c r="E177" s="19">
        <v>13</v>
      </c>
      <c r="F177" s="21" t="s">
        <v>624</v>
      </c>
      <c r="G177" s="20">
        <v>0.12</v>
      </c>
      <c r="H177" s="48">
        <v>1.56</v>
      </c>
      <c r="I177" s="29">
        <v>0.1</v>
      </c>
      <c r="J177" s="31">
        <f t="shared" si="22"/>
        <v>0</v>
      </c>
      <c r="K177" s="33">
        <f t="shared" si="15"/>
        <v>1.56</v>
      </c>
      <c r="L177" s="33">
        <f t="shared" si="16"/>
        <v>2.21</v>
      </c>
      <c r="M177" s="33">
        <f t="shared" si="17"/>
        <v>2.8600000000000003</v>
      </c>
      <c r="N177" s="32">
        <f t="shared" si="18"/>
        <v>0</v>
      </c>
      <c r="O177" s="45" t="str">
        <f>VLOOKUP($A177,[1]Sheet2!$A:$N,6,0)</f>
        <v>Floor</v>
      </c>
      <c r="P177" s="32">
        <f>VLOOKUP($A177,[1]Sheet2!$A:$N,13,0)/100</f>
        <v>0</v>
      </c>
      <c r="Q177" s="32">
        <f>VLOOKUP($A177,[1]Sheet2!$A:$N,14,0)/100</f>
        <v>0</v>
      </c>
      <c r="T177" s="31">
        <v>0</v>
      </c>
      <c r="U177" s="31"/>
      <c r="V177" s="31"/>
      <c r="W177" s="30">
        <f t="shared" si="19"/>
        <v>-1.56</v>
      </c>
      <c r="X177" s="24">
        <f t="shared" si="21"/>
        <v>-1.56</v>
      </c>
    </row>
    <row r="178" spans="1:24" x14ac:dyDescent="0.3">
      <c r="A178" s="31">
        <v>31</v>
      </c>
      <c r="B178" t="s">
        <v>742</v>
      </c>
      <c r="C178" s="31">
        <v>58</v>
      </c>
      <c r="D178" t="s">
        <v>374</v>
      </c>
      <c r="E178" s="19">
        <v>15</v>
      </c>
      <c r="G178" s="20">
        <v>0.12</v>
      </c>
      <c r="H178" s="48">
        <v>1.7999999999999998</v>
      </c>
      <c r="I178" s="29">
        <v>0.1</v>
      </c>
      <c r="J178" s="31">
        <f t="shared" si="22"/>
        <v>0</v>
      </c>
      <c r="K178" s="33">
        <f t="shared" si="15"/>
        <v>1.7999999999999998</v>
      </c>
      <c r="L178" s="33">
        <f t="shared" si="16"/>
        <v>2.5499999999999998</v>
      </c>
      <c r="M178" s="33">
        <f t="shared" si="17"/>
        <v>3.3</v>
      </c>
      <c r="N178" s="32">
        <f t="shared" si="18"/>
        <v>0</v>
      </c>
      <c r="O178" s="45" t="str">
        <f>VLOOKUP($A178,[1]Sheet2!$A:$N,6,0)</f>
        <v>Floor</v>
      </c>
      <c r="P178" s="32">
        <f>VLOOKUP($A178,[1]Sheet2!$A:$N,13,0)/100</f>
        <v>0</v>
      </c>
      <c r="Q178" s="32">
        <f>VLOOKUP($A178,[1]Sheet2!$A:$N,14,0)/100</f>
        <v>0</v>
      </c>
      <c r="T178" s="31">
        <v>0</v>
      </c>
      <c r="U178" s="31"/>
      <c r="V178" s="31"/>
      <c r="W178" s="30">
        <f t="shared" si="19"/>
        <v>-1.7999999999999998</v>
      </c>
      <c r="X178" s="24">
        <f t="shared" si="21"/>
        <v>-1.7999999999999998</v>
      </c>
    </row>
    <row r="179" spans="1:24" x14ac:dyDescent="0.3">
      <c r="A179" s="31">
        <v>4</v>
      </c>
      <c r="B179" t="s">
        <v>717</v>
      </c>
      <c r="C179" s="31">
        <v>4</v>
      </c>
      <c r="D179" t="s">
        <v>283</v>
      </c>
      <c r="E179" s="19">
        <v>18</v>
      </c>
      <c r="F179" s="21" t="s">
        <v>623</v>
      </c>
      <c r="G179" s="20">
        <v>0.1</v>
      </c>
      <c r="H179" s="48">
        <v>1.8</v>
      </c>
      <c r="I179" s="29">
        <v>0.1</v>
      </c>
      <c r="J179" s="31">
        <f t="shared" si="22"/>
        <v>0</v>
      </c>
      <c r="K179" s="33">
        <f t="shared" si="15"/>
        <v>1.8</v>
      </c>
      <c r="L179" s="33">
        <f t="shared" si="16"/>
        <v>2.7</v>
      </c>
      <c r="M179" s="33">
        <f t="shared" si="17"/>
        <v>3.6</v>
      </c>
      <c r="N179" s="32">
        <f t="shared" si="18"/>
        <v>0</v>
      </c>
      <c r="O179" s="45" t="str">
        <f>VLOOKUP($A179,[1]Sheet2!$A:$N,6,0)</f>
        <v>Floor</v>
      </c>
      <c r="P179" s="32">
        <f>VLOOKUP($A179,[1]Sheet2!$A:$N,13,0)/100</f>
        <v>0</v>
      </c>
      <c r="Q179" s="32">
        <f>VLOOKUP($A179,[1]Sheet2!$A:$N,14,0)/100</f>
        <v>0</v>
      </c>
      <c r="R179" s="31">
        <v>0</v>
      </c>
      <c r="T179" s="31"/>
      <c r="U179" s="31">
        <v>0</v>
      </c>
      <c r="V179" s="31"/>
      <c r="W179" s="30">
        <f t="shared" si="19"/>
        <v>-1.8</v>
      </c>
      <c r="X179" s="24">
        <f t="shared" si="21"/>
        <v>-1.8</v>
      </c>
    </row>
    <row r="180" spans="1:24" x14ac:dyDescent="0.3">
      <c r="A180" s="31">
        <v>32</v>
      </c>
      <c r="B180" t="s">
        <v>743</v>
      </c>
      <c r="C180" s="31">
        <v>60</v>
      </c>
      <c r="D180" t="s">
        <v>374</v>
      </c>
      <c r="E180" s="19">
        <v>20</v>
      </c>
      <c r="F180" s="21" t="s">
        <v>632</v>
      </c>
      <c r="G180" s="20">
        <v>0.12</v>
      </c>
      <c r="H180" s="48">
        <v>2.4</v>
      </c>
      <c r="I180" s="29">
        <v>0.1</v>
      </c>
      <c r="J180" s="31">
        <f t="shared" si="22"/>
        <v>0</v>
      </c>
      <c r="K180" s="33">
        <f t="shared" si="15"/>
        <v>2.4</v>
      </c>
      <c r="L180" s="33">
        <f t="shared" si="16"/>
        <v>3.4</v>
      </c>
      <c r="M180" s="33">
        <f t="shared" si="17"/>
        <v>4.4000000000000004</v>
      </c>
      <c r="N180" s="32">
        <f t="shared" si="18"/>
        <v>0</v>
      </c>
      <c r="O180" s="45" t="str">
        <f>VLOOKUP($A180,[1]Sheet2!$A:$N,6,0)</f>
        <v>Floor</v>
      </c>
      <c r="P180" s="32">
        <f>VLOOKUP($A180,[1]Sheet2!$A:$N,13,0)/100</f>
        <v>0</v>
      </c>
      <c r="Q180" s="32">
        <f>VLOOKUP($A180,[1]Sheet2!$A:$N,14,0)/100</f>
        <v>0</v>
      </c>
      <c r="T180" s="31">
        <v>0</v>
      </c>
      <c r="U180" s="31"/>
      <c r="V180" s="31"/>
      <c r="W180" s="30">
        <f t="shared" si="19"/>
        <v>-2.4</v>
      </c>
      <c r="X180" s="24">
        <f t="shared" si="21"/>
        <v>-2.4</v>
      </c>
    </row>
    <row r="181" spans="1:24" hidden="1" x14ac:dyDescent="0.3">
      <c r="A181" s="31">
        <v>38</v>
      </c>
      <c r="B181" t="s">
        <v>761</v>
      </c>
      <c r="C181" s="31">
        <v>68</v>
      </c>
      <c r="D181" t="s">
        <v>268</v>
      </c>
      <c r="E181" s="5">
        <v>120</v>
      </c>
      <c r="F181" t="s">
        <v>625</v>
      </c>
      <c r="G181" s="29">
        <v>7.0000000000000007E-2</v>
      </c>
      <c r="H181" s="30">
        <v>8.4</v>
      </c>
      <c r="I181" s="29">
        <v>0.1</v>
      </c>
      <c r="J181" s="31">
        <f t="shared" si="22"/>
        <v>0</v>
      </c>
      <c r="K181" s="33">
        <f t="shared" si="15"/>
        <v>8.4</v>
      </c>
      <c r="L181" s="33">
        <f t="shared" si="16"/>
        <v>14.4</v>
      </c>
      <c r="M181" s="33">
        <f t="shared" si="17"/>
        <v>20.399999999999999</v>
      </c>
      <c r="N181" s="32">
        <f t="shared" si="18"/>
        <v>0</v>
      </c>
      <c r="O181" s="32" t="str">
        <f>VLOOKUP($A181,[1]Sheet2!$A:$N,6,0)</f>
        <v>Bernard Millette</v>
      </c>
      <c r="P181" s="32">
        <f>VLOOKUP($A181,[1]Sheet2!$A:$N,13,0)/100</f>
        <v>5.5</v>
      </c>
      <c r="Q181" s="32">
        <f>VLOOKUP($A181,[1]Sheet2!$A:$N,14,0)/100</f>
        <v>5.5</v>
      </c>
      <c r="T181" s="31"/>
      <c r="U181" s="31"/>
      <c r="V181" s="31"/>
      <c r="W181" s="30">
        <f t="shared" si="19"/>
        <v>-2.9000000000000004</v>
      </c>
      <c r="X181" s="24">
        <f t="shared" si="21"/>
        <v>-2.2950000000000004</v>
      </c>
    </row>
    <row r="182" spans="1:24" x14ac:dyDescent="0.3">
      <c r="A182" s="36">
        <v>14</v>
      </c>
      <c r="B182" t="s">
        <v>727</v>
      </c>
      <c r="C182" s="31">
        <v>24</v>
      </c>
      <c r="D182" t="s">
        <v>374</v>
      </c>
      <c r="E182" s="19">
        <v>28</v>
      </c>
      <c r="F182" s="21" t="s">
        <v>626</v>
      </c>
      <c r="G182" s="20">
        <v>0.12</v>
      </c>
      <c r="H182" s="48">
        <v>3.36</v>
      </c>
      <c r="I182" s="29">
        <v>0.04</v>
      </c>
      <c r="J182" s="31">
        <f t="shared" si="22"/>
        <v>0</v>
      </c>
      <c r="K182" s="33">
        <f t="shared" si="15"/>
        <v>3.36</v>
      </c>
      <c r="L182" s="33">
        <f t="shared" si="16"/>
        <v>3.92</v>
      </c>
      <c r="M182" s="33">
        <f t="shared" si="17"/>
        <v>4.4800000000000004</v>
      </c>
      <c r="N182" s="32">
        <f t="shared" si="18"/>
        <v>0</v>
      </c>
      <c r="O182" s="45" t="str">
        <f>VLOOKUP($A182,[1]Sheet2!$A:$N,6,0)</f>
        <v>Floor</v>
      </c>
      <c r="P182" s="32">
        <f>VLOOKUP($A182,[1]Sheet2!$A:$N,13,0)/100</f>
        <v>0</v>
      </c>
      <c r="Q182" s="32">
        <f>VLOOKUP($A182,[1]Sheet2!$A:$N,14,0)/100</f>
        <v>0</v>
      </c>
      <c r="S182" s="31">
        <v>0</v>
      </c>
      <c r="T182" s="31"/>
      <c r="U182" s="31">
        <v>0</v>
      </c>
      <c r="V182" s="31"/>
      <c r="W182" s="30">
        <f t="shared" si="19"/>
        <v>-3.36</v>
      </c>
      <c r="X182" s="24">
        <f t="shared" si="21"/>
        <v>-3.36</v>
      </c>
    </row>
    <row r="183" spans="1:24" x14ac:dyDescent="0.3">
      <c r="A183" s="31">
        <v>33</v>
      </c>
      <c r="B183" t="s">
        <v>744</v>
      </c>
      <c r="C183" s="31">
        <v>62</v>
      </c>
      <c r="D183" t="s">
        <v>374</v>
      </c>
      <c r="E183" s="19">
        <v>29</v>
      </c>
      <c r="F183" s="21" t="s">
        <v>623</v>
      </c>
      <c r="G183" s="20">
        <v>0.12</v>
      </c>
      <c r="H183" s="48">
        <v>3.48</v>
      </c>
      <c r="I183" s="29">
        <v>0.1</v>
      </c>
      <c r="J183" s="31">
        <f t="shared" si="22"/>
        <v>0</v>
      </c>
      <c r="K183" s="33">
        <f t="shared" si="15"/>
        <v>3.48</v>
      </c>
      <c r="L183" s="33">
        <f t="shared" si="16"/>
        <v>4.93</v>
      </c>
      <c r="M183" s="33">
        <f t="shared" si="17"/>
        <v>6.3800000000000008</v>
      </c>
      <c r="N183" s="32">
        <f t="shared" si="18"/>
        <v>0</v>
      </c>
      <c r="O183" s="45" t="str">
        <f>VLOOKUP($A183,[1]Sheet2!$A:$N,6,0)</f>
        <v>Floor</v>
      </c>
      <c r="P183" s="32">
        <f>VLOOKUP($A183,[1]Sheet2!$A:$N,13,0)/100</f>
        <v>0</v>
      </c>
      <c r="Q183" s="32">
        <f>VLOOKUP($A183,[1]Sheet2!$A:$N,14,0)/100</f>
        <v>0</v>
      </c>
      <c r="T183" s="31">
        <v>0</v>
      </c>
      <c r="U183" s="31"/>
      <c r="V183" s="31"/>
      <c r="W183" s="30">
        <f t="shared" si="19"/>
        <v>-3.48</v>
      </c>
      <c r="X183" s="24">
        <f t="shared" si="21"/>
        <v>-3.48</v>
      </c>
    </row>
    <row r="184" spans="1:24" x14ac:dyDescent="0.3">
      <c r="A184" s="31">
        <v>20</v>
      </c>
      <c r="B184" t="s">
        <v>732</v>
      </c>
      <c r="C184" s="31">
        <v>36</v>
      </c>
      <c r="D184" t="s">
        <v>374</v>
      </c>
      <c r="E184" s="19">
        <v>32</v>
      </c>
      <c r="F184" s="21" t="s">
        <v>623</v>
      </c>
      <c r="G184" s="20">
        <v>0.12</v>
      </c>
      <c r="H184" s="48">
        <v>3.84</v>
      </c>
      <c r="I184" s="29">
        <v>0.1</v>
      </c>
      <c r="J184" s="31">
        <f t="shared" si="22"/>
        <v>0</v>
      </c>
      <c r="K184" s="33">
        <f t="shared" si="15"/>
        <v>3.84</v>
      </c>
      <c r="L184" s="33">
        <f t="shared" si="16"/>
        <v>5.4399999999999995</v>
      </c>
      <c r="M184" s="33">
        <f t="shared" si="17"/>
        <v>7.04</v>
      </c>
      <c r="N184" s="32">
        <f t="shared" si="18"/>
        <v>0</v>
      </c>
      <c r="O184" s="45" t="str">
        <f>VLOOKUP($A184,[1]Sheet2!$A:$N,6,0)</f>
        <v>Floor</v>
      </c>
      <c r="P184" s="32">
        <f>VLOOKUP($A184,[1]Sheet2!$A:$N,13,0)/100</f>
        <v>0</v>
      </c>
      <c r="Q184" s="32">
        <f>VLOOKUP($A184,[1]Sheet2!$A:$N,14,0)/100</f>
        <v>0</v>
      </c>
      <c r="T184" s="31"/>
      <c r="U184" s="31"/>
      <c r="V184" s="31"/>
      <c r="W184" s="30">
        <f t="shared" si="19"/>
        <v>-3.84</v>
      </c>
      <c r="X184" s="24">
        <f t="shared" si="21"/>
        <v>-3.84</v>
      </c>
    </row>
    <row r="185" spans="1:24" x14ac:dyDescent="0.3">
      <c r="A185" s="36">
        <v>29</v>
      </c>
      <c r="B185" t="s">
        <v>740</v>
      </c>
      <c r="C185" s="31">
        <v>54</v>
      </c>
      <c r="D185" t="s">
        <v>374</v>
      </c>
      <c r="E185" s="19">
        <v>33</v>
      </c>
      <c r="F185" s="21" t="s">
        <v>631</v>
      </c>
      <c r="G185" s="20">
        <v>0.12</v>
      </c>
      <c r="H185" s="48">
        <v>3.96</v>
      </c>
      <c r="I185" s="29">
        <v>0.02</v>
      </c>
      <c r="J185" s="31">
        <f t="shared" si="22"/>
        <v>0</v>
      </c>
      <c r="K185" s="33">
        <f t="shared" si="15"/>
        <v>3.96</v>
      </c>
      <c r="L185" s="33">
        <f t="shared" si="16"/>
        <v>4.29</v>
      </c>
      <c r="M185" s="33">
        <f t="shared" si="17"/>
        <v>4.62</v>
      </c>
      <c r="N185" s="32">
        <f t="shared" si="18"/>
        <v>0</v>
      </c>
      <c r="O185" s="45" t="str">
        <f>VLOOKUP($A185,[1]Sheet2!$A:$N,6,0)</f>
        <v>Floor</v>
      </c>
      <c r="P185" s="32">
        <f>VLOOKUP($A185,[1]Sheet2!$A:$N,13,0)/100</f>
        <v>0</v>
      </c>
      <c r="Q185" s="32">
        <f>VLOOKUP($A185,[1]Sheet2!$A:$N,14,0)/100</f>
        <v>0</v>
      </c>
      <c r="T185" s="31"/>
      <c r="U185" s="31"/>
      <c r="V185" s="31"/>
      <c r="W185" s="30">
        <f t="shared" si="19"/>
        <v>-3.96</v>
      </c>
      <c r="X185" s="24">
        <f t="shared" si="21"/>
        <v>-3.96</v>
      </c>
    </row>
    <row r="186" spans="1:24" x14ac:dyDescent="0.3">
      <c r="A186" s="31">
        <v>35</v>
      </c>
      <c r="B186" t="s">
        <v>746</v>
      </c>
      <c r="C186" s="31">
        <v>65</v>
      </c>
      <c r="D186" t="s">
        <v>374</v>
      </c>
      <c r="E186" s="19">
        <v>33</v>
      </c>
      <c r="F186" s="21" t="s">
        <v>624</v>
      </c>
      <c r="G186" s="20">
        <v>0.12</v>
      </c>
      <c r="H186" s="48">
        <v>3.96</v>
      </c>
      <c r="I186" s="29">
        <v>0.1</v>
      </c>
      <c r="J186" s="31">
        <f t="shared" si="22"/>
        <v>0</v>
      </c>
      <c r="K186" s="33">
        <f t="shared" si="15"/>
        <v>3.96</v>
      </c>
      <c r="L186" s="33">
        <f t="shared" si="16"/>
        <v>5.61</v>
      </c>
      <c r="M186" s="33">
        <f t="shared" si="17"/>
        <v>7.26</v>
      </c>
      <c r="N186" s="32">
        <f t="shared" si="18"/>
        <v>0</v>
      </c>
      <c r="O186" s="45" t="str">
        <f>VLOOKUP($A186,[1]Sheet2!$A:$N,6,0)</f>
        <v>Floor</v>
      </c>
      <c r="P186" s="32">
        <f>VLOOKUP($A186,[1]Sheet2!$A:$N,13,0)/100</f>
        <v>0</v>
      </c>
      <c r="Q186" s="32">
        <f>VLOOKUP($A186,[1]Sheet2!$A:$N,14,0)/100</f>
        <v>0</v>
      </c>
      <c r="T186" s="31">
        <v>0</v>
      </c>
      <c r="U186" s="31"/>
      <c r="V186" s="31"/>
      <c r="W186" s="30">
        <f t="shared" si="19"/>
        <v>-3.96</v>
      </c>
      <c r="X186" s="24">
        <f t="shared" si="21"/>
        <v>-3.96</v>
      </c>
    </row>
    <row r="187" spans="1:24" x14ac:dyDescent="0.3">
      <c r="A187" s="31">
        <v>27</v>
      </c>
      <c r="B187" t="s">
        <v>738</v>
      </c>
      <c r="C187" s="31">
        <v>50</v>
      </c>
      <c r="D187" t="s">
        <v>374</v>
      </c>
      <c r="E187" s="19">
        <v>34</v>
      </c>
      <c r="F187" s="21" t="s">
        <v>624</v>
      </c>
      <c r="G187" s="20">
        <v>0.12</v>
      </c>
      <c r="H187" s="48">
        <v>4.08</v>
      </c>
      <c r="I187" s="29">
        <v>0.1</v>
      </c>
      <c r="J187" s="31">
        <f t="shared" si="22"/>
        <v>0</v>
      </c>
      <c r="K187" s="33">
        <f t="shared" si="15"/>
        <v>4.08</v>
      </c>
      <c r="L187" s="33">
        <f t="shared" si="16"/>
        <v>5.78</v>
      </c>
      <c r="M187" s="33">
        <f t="shared" si="17"/>
        <v>7.48</v>
      </c>
      <c r="N187" s="32">
        <f t="shared" si="18"/>
        <v>0</v>
      </c>
      <c r="O187" s="45" t="str">
        <f>VLOOKUP($A187,[1]Sheet2!$A:$N,6,0)</f>
        <v>Floor</v>
      </c>
      <c r="P187" s="32">
        <f>VLOOKUP($A187,[1]Sheet2!$A:$N,13,0)/100</f>
        <v>0</v>
      </c>
      <c r="Q187" s="32">
        <f>VLOOKUP($A187,[1]Sheet2!$A:$N,14,0)/100</f>
        <v>0</v>
      </c>
      <c r="T187" s="31"/>
      <c r="U187" s="31"/>
      <c r="V187" s="31"/>
      <c r="W187" s="30">
        <f t="shared" si="19"/>
        <v>-4.08</v>
      </c>
      <c r="X187" s="24">
        <f t="shared" si="21"/>
        <v>-4.08</v>
      </c>
    </row>
    <row r="188" spans="1:24" x14ac:dyDescent="0.3">
      <c r="A188" s="31">
        <v>16</v>
      </c>
      <c r="B188" t="s">
        <v>729</v>
      </c>
      <c r="C188" s="31">
        <v>28</v>
      </c>
      <c r="D188" t="s">
        <v>374</v>
      </c>
      <c r="E188" s="19">
        <v>36</v>
      </c>
      <c r="F188" s="21" t="s">
        <v>625</v>
      </c>
      <c r="G188" s="20">
        <v>0.12</v>
      </c>
      <c r="H188" s="48">
        <v>4.32</v>
      </c>
      <c r="I188" s="29">
        <v>0.1</v>
      </c>
      <c r="J188" s="31">
        <f t="shared" si="22"/>
        <v>0</v>
      </c>
      <c r="K188" s="33">
        <f t="shared" si="15"/>
        <v>4.32</v>
      </c>
      <c r="L188" s="33">
        <f t="shared" si="16"/>
        <v>6.12</v>
      </c>
      <c r="M188" s="33">
        <f t="shared" si="17"/>
        <v>7.92</v>
      </c>
      <c r="N188" s="32">
        <f t="shared" si="18"/>
        <v>0</v>
      </c>
      <c r="O188" s="45" t="str">
        <f>VLOOKUP($A188,[1]Sheet2!$A:$N,6,0)</f>
        <v>Floor</v>
      </c>
      <c r="P188" s="32">
        <f>VLOOKUP($A188,[1]Sheet2!$A:$N,13,0)/100</f>
        <v>0</v>
      </c>
      <c r="Q188" s="32">
        <f>VLOOKUP($A188,[1]Sheet2!$A:$N,14,0)/100</f>
        <v>0</v>
      </c>
      <c r="S188" s="31">
        <v>0</v>
      </c>
      <c r="T188" s="31"/>
      <c r="U188" s="31">
        <v>0</v>
      </c>
      <c r="V188" s="31"/>
      <c r="W188" s="30">
        <f t="shared" si="19"/>
        <v>-4.32</v>
      </c>
      <c r="X188" s="24">
        <f t="shared" si="21"/>
        <v>-4.32</v>
      </c>
    </row>
    <row r="189" spans="1:24" x14ac:dyDescent="0.3">
      <c r="A189" s="31" t="s">
        <v>426</v>
      </c>
      <c r="B189" t="s">
        <v>933</v>
      </c>
      <c r="C189" s="31">
        <v>90</v>
      </c>
      <c r="D189" t="s">
        <v>283</v>
      </c>
      <c r="E189" s="19">
        <v>4600</v>
      </c>
      <c r="F189" s="21" t="s">
        <v>628</v>
      </c>
      <c r="G189" s="20">
        <v>0.1</v>
      </c>
      <c r="H189" s="48">
        <v>460</v>
      </c>
      <c r="I189" s="29">
        <v>0.1</v>
      </c>
      <c r="J189" s="31">
        <f t="shared" si="22"/>
        <v>0</v>
      </c>
      <c r="K189" s="33">
        <f t="shared" si="15"/>
        <v>460</v>
      </c>
      <c r="L189" s="33">
        <f t="shared" si="16"/>
        <v>690</v>
      </c>
      <c r="M189" s="33">
        <f t="shared" si="17"/>
        <v>920</v>
      </c>
      <c r="N189" s="32">
        <f t="shared" si="18"/>
        <v>0</v>
      </c>
      <c r="O189" s="45" t="str">
        <f>VLOOKUP($A189,[1]Sheet2!$A:$N,6,0)</f>
        <v>Kuralay Kateryne</v>
      </c>
      <c r="P189" s="32">
        <f>VLOOKUP($A189,[1]Sheet2!$A:$N,13,0)/100</f>
        <v>205</v>
      </c>
      <c r="Q189" s="32">
        <f>VLOOKUP($A189,[1]Sheet2!$A:$N,14,0)/100</f>
        <v>460</v>
      </c>
      <c r="T189" s="31"/>
      <c r="U189" s="31"/>
      <c r="V189" s="31"/>
      <c r="W189" s="30">
        <f t="shared" si="19"/>
        <v>-255</v>
      </c>
    </row>
    <row r="190" spans="1:24" x14ac:dyDescent="0.3">
      <c r="A190" s="31">
        <v>19</v>
      </c>
      <c r="B190" t="s">
        <v>731</v>
      </c>
      <c r="C190" s="31">
        <v>34</v>
      </c>
      <c r="D190" t="s">
        <v>374</v>
      </c>
      <c r="E190" s="19">
        <v>36</v>
      </c>
      <c r="F190" s="21" t="s">
        <v>624</v>
      </c>
      <c r="G190" s="20">
        <v>0.12</v>
      </c>
      <c r="H190" s="48">
        <v>4.32</v>
      </c>
      <c r="I190" s="29">
        <v>0.1</v>
      </c>
      <c r="J190" s="31">
        <f t="shared" si="22"/>
        <v>0</v>
      </c>
      <c r="K190" s="33">
        <f t="shared" si="15"/>
        <v>4.32</v>
      </c>
      <c r="L190" s="33">
        <f t="shared" si="16"/>
        <v>6.12</v>
      </c>
      <c r="M190" s="33">
        <f t="shared" si="17"/>
        <v>7.92</v>
      </c>
      <c r="N190" s="32">
        <f t="shared" si="18"/>
        <v>0</v>
      </c>
      <c r="O190" s="45" t="str">
        <f>VLOOKUP($A190,[1]Sheet2!$A:$N,6,0)</f>
        <v>Floor</v>
      </c>
      <c r="P190" s="32">
        <f>VLOOKUP($A190,[1]Sheet2!$A:$N,13,0)/100</f>
        <v>0</v>
      </c>
      <c r="Q190" s="32">
        <f>VLOOKUP($A190,[1]Sheet2!$A:$N,14,0)/100</f>
        <v>0</v>
      </c>
      <c r="S190" s="31">
        <v>0</v>
      </c>
      <c r="T190" s="31"/>
      <c r="U190" s="31">
        <v>0</v>
      </c>
      <c r="V190" s="31"/>
      <c r="W190" s="30">
        <f t="shared" si="19"/>
        <v>-4.32</v>
      </c>
      <c r="X190" s="24">
        <f t="shared" ref="X190:X203" si="23">P190*11%+W190</f>
        <v>-4.32</v>
      </c>
    </row>
    <row r="191" spans="1:24" hidden="1" x14ac:dyDescent="0.3">
      <c r="A191" s="31" t="s">
        <v>408</v>
      </c>
      <c r="B191" t="s">
        <v>927</v>
      </c>
      <c r="C191" s="31">
        <v>74</v>
      </c>
      <c r="D191" t="s">
        <v>374</v>
      </c>
      <c r="E191" s="5">
        <v>162</v>
      </c>
      <c r="F191" t="s">
        <v>624</v>
      </c>
      <c r="G191" s="29">
        <v>0.12</v>
      </c>
      <c r="H191" s="30">
        <v>19.439999999999998</v>
      </c>
      <c r="I191" s="29">
        <v>0.1</v>
      </c>
      <c r="J191" s="31">
        <f t="shared" si="22"/>
        <v>0</v>
      </c>
      <c r="K191" s="33">
        <f t="shared" si="15"/>
        <v>19.439999999999998</v>
      </c>
      <c r="L191" s="33">
        <f t="shared" si="16"/>
        <v>27.54</v>
      </c>
      <c r="M191" s="33">
        <f t="shared" si="17"/>
        <v>35.64</v>
      </c>
      <c r="N191" s="32">
        <f t="shared" si="18"/>
        <v>1</v>
      </c>
      <c r="O191" s="32" t="str">
        <f>VLOOKUP($A191,[1]Sheet2!$A:$N,6,0)</f>
        <v>John Cornelius</v>
      </c>
      <c r="P191" s="32">
        <f>VLOOKUP($A191,[1]Sheet2!$A:$N,13,0)/100</f>
        <v>15</v>
      </c>
      <c r="Q191" s="32">
        <f>VLOOKUP($A191,[1]Sheet2!$A:$N,14,0)/100</f>
        <v>15</v>
      </c>
      <c r="T191" s="31">
        <v>6.25</v>
      </c>
      <c r="U191" s="31"/>
      <c r="V191" s="31"/>
      <c r="W191" s="30">
        <f t="shared" si="19"/>
        <v>-4.4399999999999977</v>
      </c>
      <c r="X191" s="24">
        <f t="shared" si="23"/>
        <v>-2.7899999999999978</v>
      </c>
    </row>
    <row r="192" spans="1:24" x14ac:dyDescent="0.3">
      <c r="A192" s="31">
        <v>15</v>
      </c>
      <c r="B192" t="s">
        <v>728</v>
      </c>
      <c r="C192" s="31">
        <v>26</v>
      </c>
      <c r="D192" t="s">
        <v>374</v>
      </c>
      <c r="E192" s="19">
        <v>39</v>
      </c>
      <c r="F192" s="21" t="s">
        <v>624</v>
      </c>
      <c r="G192" s="20">
        <v>0.12</v>
      </c>
      <c r="H192" s="48">
        <v>4.68</v>
      </c>
      <c r="I192" s="29">
        <v>0.1</v>
      </c>
      <c r="J192" s="31">
        <f t="shared" si="22"/>
        <v>0</v>
      </c>
      <c r="K192" s="33">
        <f t="shared" si="15"/>
        <v>4.68</v>
      </c>
      <c r="L192" s="33">
        <f t="shared" si="16"/>
        <v>6.63</v>
      </c>
      <c r="M192" s="33">
        <f t="shared" si="17"/>
        <v>8.58</v>
      </c>
      <c r="N192" s="32">
        <f t="shared" si="18"/>
        <v>1</v>
      </c>
      <c r="O192" s="45" t="str">
        <f>VLOOKUP($A192,[1]Sheet2!$A:$N,6,0)</f>
        <v>Floor</v>
      </c>
      <c r="P192" s="32">
        <f>VLOOKUP($A192,[1]Sheet2!$A:$N,13,0)/100</f>
        <v>0</v>
      </c>
      <c r="Q192" s="32">
        <f>VLOOKUP($A192,[1]Sheet2!$A:$N,14,0)/100</f>
        <v>0</v>
      </c>
      <c r="S192" s="31">
        <v>0</v>
      </c>
      <c r="T192" s="31"/>
      <c r="U192" s="31">
        <v>5</v>
      </c>
      <c r="V192" s="31"/>
      <c r="W192" s="30">
        <f t="shared" si="19"/>
        <v>-4.68</v>
      </c>
      <c r="X192" s="24">
        <f t="shared" si="23"/>
        <v>-4.68</v>
      </c>
    </row>
    <row r="193" spans="1:24" x14ac:dyDescent="0.3">
      <c r="A193" s="31">
        <v>17</v>
      </c>
      <c r="B193" t="s">
        <v>728</v>
      </c>
      <c r="C193" s="31">
        <v>30</v>
      </c>
      <c r="D193" t="s">
        <v>374</v>
      </c>
      <c r="E193" s="19">
        <v>39</v>
      </c>
      <c r="F193" s="21" t="s">
        <v>625</v>
      </c>
      <c r="G193" s="20">
        <v>0.12</v>
      </c>
      <c r="H193" s="48">
        <v>4.68</v>
      </c>
      <c r="I193" s="29">
        <v>0.1</v>
      </c>
      <c r="J193" s="31">
        <f t="shared" si="22"/>
        <v>0</v>
      </c>
      <c r="K193" s="33">
        <f t="shared" si="15"/>
        <v>4.68</v>
      </c>
      <c r="L193" s="33">
        <f t="shared" si="16"/>
        <v>6.63</v>
      </c>
      <c r="M193" s="33">
        <f t="shared" si="17"/>
        <v>8.58</v>
      </c>
      <c r="N193" s="32">
        <f t="shared" si="18"/>
        <v>1</v>
      </c>
      <c r="O193" s="45" t="str">
        <f>VLOOKUP($A193,[1]Sheet2!$A:$N,6,0)</f>
        <v>Floor</v>
      </c>
      <c r="P193" s="32">
        <f>VLOOKUP($A193,[1]Sheet2!$A:$N,13,0)/100</f>
        <v>0</v>
      </c>
      <c r="Q193" s="32">
        <f>VLOOKUP($A193,[1]Sheet2!$A:$N,14,0)/100</f>
        <v>0</v>
      </c>
      <c r="S193" s="31">
        <v>0</v>
      </c>
      <c r="T193" s="31"/>
      <c r="U193" s="31">
        <v>5</v>
      </c>
      <c r="V193" s="31"/>
      <c r="W193" s="30">
        <f t="shared" si="19"/>
        <v>-4.68</v>
      </c>
      <c r="X193" s="24">
        <f t="shared" si="23"/>
        <v>-4.68</v>
      </c>
    </row>
    <row r="194" spans="1:24" x14ac:dyDescent="0.3">
      <c r="A194" s="31">
        <v>8</v>
      </c>
      <c r="B194" t="s">
        <v>721</v>
      </c>
      <c r="C194" s="31">
        <v>12</v>
      </c>
      <c r="D194" t="s">
        <v>374</v>
      </c>
      <c r="E194" s="19">
        <v>43</v>
      </c>
      <c r="G194" s="20">
        <v>0.12</v>
      </c>
      <c r="H194" s="48">
        <v>5.16</v>
      </c>
      <c r="I194" s="29">
        <v>0.1</v>
      </c>
      <c r="J194" s="31">
        <f t="shared" si="22"/>
        <v>0</v>
      </c>
      <c r="K194" s="33">
        <f t="shared" ref="K194:K203" si="24">H194</f>
        <v>5.16</v>
      </c>
      <c r="L194" s="33">
        <f t="shared" ref="L194:L203" si="25">H194+E194*(I194/2)</f>
        <v>7.3100000000000005</v>
      </c>
      <c r="M194" s="33">
        <f t="shared" ref="M194:M203" si="26">H194+E194*I194</f>
        <v>9.4600000000000009</v>
      </c>
      <c r="N194" s="32">
        <f t="shared" ref="N194:N203" si="27">IF(SUM(R194:V194)&gt;0,1,0)</f>
        <v>0</v>
      </c>
      <c r="O194" s="45" t="str">
        <f>VLOOKUP($A194,[1]Sheet2!$A:$N,6,0)</f>
        <v>Floor</v>
      </c>
      <c r="P194" s="32">
        <f>VLOOKUP($A194,[1]Sheet2!$A:$N,13,0)/100</f>
        <v>0</v>
      </c>
      <c r="Q194" s="32">
        <f>VLOOKUP($A194,[1]Sheet2!$A:$N,14,0)/100</f>
        <v>0</v>
      </c>
      <c r="T194" s="31"/>
      <c r="U194" s="31"/>
      <c r="V194" s="31"/>
      <c r="W194" s="30">
        <f t="shared" ref="W194:W203" si="28">P194-H194</f>
        <v>-5.16</v>
      </c>
      <c r="X194" s="24">
        <f t="shared" si="23"/>
        <v>-5.16</v>
      </c>
    </row>
    <row r="195" spans="1:24" x14ac:dyDescent="0.3">
      <c r="A195" s="31">
        <v>12</v>
      </c>
      <c r="B195" t="s">
        <v>725</v>
      </c>
      <c r="C195" s="31">
        <v>20</v>
      </c>
      <c r="D195" t="s">
        <v>374</v>
      </c>
      <c r="E195" s="19">
        <v>43</v>
      </c>
      <c r="F195" s="21" t="s">
        <v>624</v>
      </c>
      <c r="G195" s="20">
        <v>0.12</v>
      </c>
      <c r="H195" s="48">
        <v>5.16</v>
      </c>
      <c r="I195" s="29">
        <v>0.1</v>
      </c>
      <c r="J195" s="31">
        <f t="shared" si="22"/>
        <v>0</v>
      </c>
      <c r="K195" s="33">
        <f t="shared" si="24"/>
        <v>5.16</v>
      </c>
      <c r="L195" s="33">
        <f t="shared" si="25"/>
        <v>7.3100000000000005</v>
      </c>
      <c r="M195" s="33">
        <f t="shared" si="26"/>
        <v>9.4600000000000009</v>
      </c>
      <c r="N195" s="32">
        <f t="shared" si="27"/>
        <v>1</v>
      </c>
      <c r="O195" s="45" t="str">
        <f>VLOOKUP($A195,[1]Sheet2!$A:$N,6,0)</f>
        <v>Floor</v>
      </c>
      <c r="P195" s="32">
        <f>VLOOKUP($A195,[1]Sheet2!$A:$N,13,0)/100</f>
        <v>0</v>
      </c>
      <c r="Q195" s="32">
        <f>VLOOKUP($A195,[1]Sheet2!$A:$N,14,0)/100</f>
        <v>0</v>
      </c>
      <c r="S195" s="31">
        <v>5</v>
      </c>
      <c r="T195" s="31"/>
      <c r="U195" s="31">
        <v>0</v>
      </c>
      <c r="V195" s="31"/>
      <c r="W195" s="30">
        <f t="shared" si="28"/>
        <v>-5.16</v>
      </c>
      <c r="X195" s="24">
        <f t="shared" si="23"/>
        <v>-5.16</v>
      </c>
    </row>
    <row r="196" spans="1:24" x14ac:dyDescent="0.3">
      <c r="A196" s="31">
        <v>34</v>
      </c>
      <c r="B196" t="s">
        <v>745</v>
      </c>
      <c r="C196" s="31">
        <v>64</v>
      </c>
      <c r="D196" t="s">
        <v>374</v>
      </c>
      <c r="E196" s="19">
        <v>50</v>
      </c>
      <c r="F196" s="21" t="s">
        <v>625</v>
      </c>
      <c r="G196" s="20">
        <v>0.12</v>
      </c>
      <c r="H196" s="48">
        <v>6</v>
      </c>
      <c r="I196" s="29">
        <v>0.1</v>
      </c>
      <c r="J196" s="31">
        <f t="shared" si="22"/>
        <v>0</v>
      </c>
      <c r="K196" s="33">
        <f t="shared" si="24"/>
        <v>6</v>
      </c>
      <c r="L196" s="33">
        <f t="shared" si="25"/>
        <v>8.5</v>
      </c>
      <c r="M196" s="33">
        <f t="shared" si="26"/>
        <v>11</v>
      </c>
      <c r="N196" s="32">
        <f t="shared" si="27"/>
        <v>0</v>
      </c>
      <c r="O196" s="45" t="str">
        <f>VLOOKUP($A196,[1]Sheet2!$A:$N,6,0)</f>
        <v>Floor</v>
      </c>
      <c r="P196" s="32">
        <f>VLOOKUP($A196,[1]Sheet2!$A:$N,13,0)/100</f>
        <v>0</v>
      </c>
      <c r="Q196" s="32">
        <f>VLOOKUP($A196,[1]Sheet2!$A:$N,14,0)/100</f>
        <v>0</v>
      </c>
      <c r="T196" s="31">
        <v>0</v>
      </c>
      <c r="U196" s="31"/>
      <c r="V196" s="31"/>
      <c r="W196" s="30">
        <f t="shared" si="28"/>
        <v>-6</v>
      </c>
      <c r="X196" s="24">
        <f t="shared" si="23"/>
        <v>-6</v>
      </c>
    </row>
    <row r="197" spans="1:24" x14ac:dyDescent="0.3">
      <c r="A197" s="31">
        <v>36</v>
      </c>
      <c r="B197" t="s">
        <v>460</v>
      </c>
      <c r="C197" s="31">
        <v>66</v>
      </c>
      <c r="D197" t="s">
        <v>374</v>
      </c>
      <c r="E197" s="19">
        <v>63</v>
      </c>
      <c r="F197" s="21" t="s">
        <v>624</v>
      </c>
      <c r="G197" s="20">
        <v>0.12</v>
      </c>
      <c r="H197" s="48">
        <v>7.56</v>
      </c>
      <c r="I197" s="29">
        <v>0.1</v>
      </c>
      <c r="J197" s="31">
        <f t="shared" si="22"/>
        <v>0</v>
      </c>
      <c r="K197" s="33">
        <f t="shared" si="24"/>
        <v>7.56</v>
      </c>
      <c r="L197" s="33">
        <f t="shared" si="25"/>
        <v>10.71</v>
      </c>
      <c r="M197" s="33">
        <f t="shared" si="26"/>
        <v>13.86</v>
      </c>
      <c r="N197" s="32">
        <f t="shared" si="27"/>
        <v>1</v>
      </c>
      <c r="O197" s="45" t="str">
        <f>VLOOKUP($A197,[1]Sheet2!$A:$N,6,0)</f>
        <v>Floor</v>
      </c>
      <c r="P197" s="32">
        <f>VLOOKUP($A197,[1]Sheet2!$A:$N,13,0)/100</f>
        <v>0</v>
      </c>
      <c r="Q197" s="32">
        <f>VLOOKUP($A197,[1]Sheet2!$A:$N,14,0)/100</f>
        <v>0</v>
      </c>
      <c r="T197" s="31">
        <v>0</v>
      </c>
      <c r="U197" s="31"/>
      <c r="V197" s="31">
        <v>5</v>
      </c>
      <c r="W197" s="30">
        <f t="shared" si="28"/>
        <v>-7.56</v>
      </c>
      <c r="X197" s="24">
        <f t="shared" si="23"/>
        <v>-7.56</v>
      </c>
    </row>
    <row r="198" spans="1:24" x14ac:dyDescent="0.3">
      <c r="A198" s="31">
        <v>24</v>
      </c>
      <c r="B198" t="s">
        <v>736</v>
      </c>
      <c r="C198" s="31">
        <v>44</v>
      </c>
      <c r="D198" t="s">
        <v>374</v>
      </c>
      <c r="E198" s="19">
        <v>104</v>
      </c>
      <c r="F198" s="21" t="s">
        <v>625</v>
      </c>
      <c r="G198" s="20">
        <v>0.12</v>
      </c>
      <c r="H198" s="48">
        <v>12.48</v>
      </c>
      <c r="I198" s="29">
        <v>0.1</v>
      </c>
      <c r="J198" s="31">
        <f t="shared" si="22"/>
        <v>0</v>
      </c>
      <c r="K198" s="33">
        <f t="shared" si="24"/>
        <v>12.48</v>
      </c>
      <c r="L198" s="33">
        <f t="shared" si="25"/>
        <v>17.68</v>
      </c>
      <c r="M198" s="33">
        <f t="shared" si="26"/>
        <v>22.880000000000003</v>
      </c>
      <c r="N198" s="32">
        <f t="shared" si="27"/>
        <v>1</v>
      </c>
      <c r="O198" s="45" t="str">
        <f>VLOOKUP($A198,[1]Sheet2!$A:$N,6,0)</f>
        <v>Floor</v>
      </c>
      <c r="P198" s="32">
        <f>VLOOKUP($A198,[1]Sheet2!$A:$N,13,0)/100</f>
        <v>0</v>
      </c>
      <c r="Q198" s="32">
        <f>VLOOKUP($A198,[1]Sheet2!$A:$N,14,0)/100</f>
        <v>0</v>
      </c>
      <c r="S198" s="31">
        <v>8.25</v>
      </c>
      <c r="T198" s="31"/>
      <c r="U198" s="31"/>
      <c r="V198" s="31"/>
      <c r="W198" s="30">
        <f t="shared" si="28"/>
        <v>-12.48</v>
      </c>
      <c r="X198" s="24">
        <f t="shared" si="23"/>
        <v>-12.48</v>
      </c>
    </row>
    <row r="199" spans="1:24" hidden="1" x14ac:dyDescent="0.3">
      <c r="A199" s="36">
        <v>3</v>
      </c>
      <c r="B199" t="s">
        <v>716</v>
      </c>
      <c r="C199" s="31">
        <v>3</v>
      </c>
      <c r="D199" t="s">
        <v>374</v>
      </c>
      <c r="E199" s="5">
        <v>149</v>
      </c>
      <c r="F199" t="s">
        <v>631</v>
      </c>
      <c r="G199" s="29">
        <v>0.12</v>
      </c>
      <c r="H199" s="30">
        <v>17.88</v>
      </c>
      <c r="I199" s="29">
        <v>0.02</v>
      </c>
      <c r="J199" s="31">
        <f t="shared" si="22"/>
        <v>0</v>
      </c>
      <c r="K199" s="33">
        <f t="shared" si="24"/>
        <v>17.88</v>
      </c>
      <c r="L199" s="33">
        <f t="shared" si="25"/>
        <v>19.369999999999997</v>
      </c>
      <c r="M199" s="33">
        <f t="shared" si="26"/>
        <v>20.86</v>
      </c>
      <c r="N199" s="32">
        <f t="shared" si="27"/>
        <v>0</v>
      </c>
      <c r="O199" s="32" t="str">
        <f>VLOOKUP($A199,[1]Sheet2!$A:$N,6,0)</f>
        <v>Marie Williams</v>
      </c>
      <c r="P199" s="32">
        <f>VLOOKUP($A199,[1]Sheet2!$A:$N,13,0)/100</f>
        <v>5</v>
      </c>
      <c r="Q199" s="32">
        <f>VLOOKUP($A199,[1]Sheet2!$A:$N,14,0)/100</f>
        <v>5</v>
      </c>
      <c r="T199" s="31"/>
      <c r="U199" s="31"/>
      <c r="V199" s="31"/>
      <c r="W199" s="30">
        <f t="shared" si="28"/>
        <v>-12.879999999999999</v>
      </c>
      <c r="X199" s="24">
        <f t="shared" si="23"/>
        <v>-12.329999999999998</v>
      </c>
    </row>
    <row r="200" spans="1:24" hidden="1" x14ac:dyDescent="0.3">
      <c r="A200" s="36" t="s">
        <v>937</v>
      </c>
      <c r="B200" t="s">
        <v>554</v>
      </c>
      <c r="C200" s="31">
        <v>94</v>
      </c>
      <c r="D200" t="s">
        <v>283</v>
      </c>
      <c r="E200" s="8">
        <v>490</v>
      </c>
      <c r="F200" t="s">
        <v>630</v>
      </c>
      <c r="G200" s="29">
        <v>0.1</v>
      </c>
      <c r="H200" s="30">
        <v>49</v>
      </c>
      <c r="I200" s="29">
        <v>0.04</v>
      </c>
      <c r="J200" s="31">
        <f t="shared" ref="J200:J203" si="29">IF(P200&gt;K200,P200,0)</f>
        <v>0</v>
      </c>
      <c r="K200" s="33">
        <f t="shared" si="24"/>
        <v>49</v>
      </c>
      <c r="L200" s="33">
        <f t="shared" si="25"/>
        <v>58.8</v>
      </c>
      <c r="M200" s="33">
        <f t="shared" si="26"/>
        <v>68.599999999999994</v>
      </c>
      <c r="N200" s="32">
        <f t="shared" si="27"/>
        <v>1</v>
      </c>
      <c r="O200" s="32" t="str">
        <f>VLOOKUP($A200,[1]Sheet2!$A:$N,6,0)</f>
        <v>Steven green</v>
      </c>
      <c r="P200" s="32">
        <f>VLOOKUP($A200,[1]Sheet2!$A:$N,13,0)/100</f>
        <v>31</v>
      </c>
      <c r="Q200" s="32">
        <f>VLOOKUP($A200,[1]Sheet2!$A:$N,14,0)/100</f>
        <v>32</v>
      </c>
      <c r="T200" s="31"/>
      <c r="U200" s="31"/>
      <c r="V200" s="31">
        <v>22.5</v>
      </c>
      <c r="W200" s="30">
        <f t="shared" si="28"/>
        <v>-18</v>
      </c>
      <c r="X200" s="24">
        <f t="shared" si="23"/>
        <v>-14.59</v>
      </c>
    </row>
    <row r="201" spans="1:24" hidden="1" x14ac:dyDescent="0.3">
      <c r="A201" s="36" t="s">
        <v>424</v>
      </c>
      <c r="B201" t="s">
        <v>556</v>
      </c>
      <c r="C201" s="31">
        <v>84</v>
      </c>
      <c r="D201" t="s">
        <v>283</v>
      </c>
      <c r="E201" s="8">
        <v>1000</v>
      </c>
      <c r="F201" t="s">
        <v>626</v>
      </c>
      <c r="G201" s="29">
        <v>0.1</v>
      </c>
      <c r="H201" s="30">
        <v>100</v>
      </c>
      <c r="I201" s="29">
        <v>0.04</v>
      </c>
      <c r="J201" s="31">
        <f t="shared" si="29"/>
        <v>0</v>
      </c>
      <c r="K201" s="33">
        <f t="shared" si="24"/>
        <v>100</v>
      </c>
      <c r="L201" s="33">
        <f t="shared" si="25"/>
        <v>120</v>
      </c>
      <c r="M201" s="33">
        <f t="shared" si="26"/>
        <v>140</v>
      </c>
      <c r="N201" s="32">
        <f t="shared" si="27"/>
        <v>1</v>
      </c>
      <c r="O201" s="32" t="str">
        <f>VLOOKUP($A201,[1]Sheet2!$A:$N,6,0)</f>
        <v>jack witte</v>
      </c>
      <c r="P201" s="32">
        <f>VLOOKUP($A201,[1]Sheet2!$A:$N,13,0)/100</f>
        <v>72.5</v>
      </c>
      <c r="Q201" s="32">
        <f>VLOOKUP($A201,[1]Sheet2!$A:$N,14,0)/100</f>
        <v>72.5</v>
      </c>
      <c r="T201" s="31"/>
      <c r="U201" s="31"/>
      <c r="V201" s="31">
        <v>70.5</v>
      </c>
      <c r="W201" s="30">
        <f t="shared" si="28"/>
        <v>-27.5</v>
      </c>
      <c r="X201" s="24">
        <f t="shared" si="23"/>
        <v>-19.524999999999999</v>
      </c>
    </row>
    <row r="202" spans="1:24" hidden="1" x14ac:dyDescent="0.3">
      <c r="A202" s="36" t="s">
        <v>751</v>
      </c>
      <c r="B202" t="s">
        <v>752</v>
      </c>
      <c r="C202" s="31">
        <v>116</v>
      </c>
      <c r="D202" t="s">
        <v>283</v>
      </c>
      <c r="E202" s="8">
        <v>2199</v>
      </c>
      <c r="F202" t="s">
        <v>627</v>
      </c>
      <c r="G202" s="29">
        <v>0.1</v>
      </c>
      <c r="H202" s="30">
        <v>219.9</v>
      </c>
      <c r="I202">
        <v>0</v>
      </c>
      <c r="J202" s="31">
        <f t="shared" si="29"/>
        <v>0</v>
      </c>
      <c r="K202" s="33">
        <f t="shared" si="24"/>
        <v>219.9</v>
      </c>
      <c r="L202" s="33">
        <f t="shared" si="25"/>
        <v>219.9</v>
      </c>
      <c r="M202" s="33">
        <f t="shared" si="26"/>
        <v>219.9</v>
      </c>
      <c r="N202" s="32">
        <f t="shared" si="27"/>
        <v>0</v>
      </c>
      <c r="O202" s="32" t="str">
        <f>VLOOKUP($A202,[1]Sheet2!$A:$N,6,0)</f>
        <v>joel wadley</v>
      </c>
      <c r="P202" s="32">
        <f>VLOOKUP($A202,[1]Sheet2!$A:$N,13,0)/100</f>
        <v>65</v>
      </c>
      <c r="Q202" s="32">
        <f>VLOOKUP($A202,[1]Sheet2!$A:$N,14,0)/100</f>
        <v>65</v>
      </c>
      <c r="T202" s="31"/>
      <c r="U202" s="31"/>
      <c r="V202" s="31"/>
      <c r="W202" s="30">
        <f t="shared" si="28"/>
        <v>-154.9</v>
      </c>
      <c r="X202" s="24">
        <f t="shared" si="23"/>
        <v>-147.75</v>
      </c>
    </row>
    <row r="203" spans="1:24" hidden="1" x14ac:dyDescent="0.3">
      <c r="A203" s="36" t="s">
        <v>324</v>
      </c>
      <c r="B203" t="s">
        <v>936</v>
      </c>
      <c r="C203" s="31">
        <v>93</v>
      </c>
      <c r="D203" t="s">
        <v>283</v>
      </c>
      <c r="E203" s="8">
        <v>3960</v>
      </c>
      <c r="F203" t="s">
        <v>633</v>
      </c>
      <c r="G203" s="29">
        <v>0.1</v>
      </c>
      <c r="H203" s="30">
        <v>396</v>
      </c>
      <c r="I203" s="29">
        <v>0.04</v>
      </c>
      <c r="J203" s="31">
        <f t="shared" si="29"/>
        <v>0</v>
      </c>
      <c r="K203" s="33">
        <f t="shared" si="24"/>
        <v>396</v>
      </c>
      <c r="L203" s="33">
        <f t="shared" si="25"/>
        <v>475.2</v>
      </c>
      <c r="M203" s="33">
        <f t="shared" si="26"/>
        <v>554.4</v>
      </c>
      <c r="N203" s="32">
        <f t="shared" si="27"/>
        <v>0</v>
      </c>
      <c r="O203" s="32" t="str">
        <f>VLOOKUP($A203,[1]Sheet2!$A:$N,6,0)</f>
        <v>Bernard Millette</v>
      </c>
      <c r="P203" s="32">
        <f>VLOOKUP($A203,[1]Sheet2!$A:$N,13,0)/100</f>
        <v>240</v>
      </c>
      <c r="Q203" s="32">
        <f>VLOOKUP($A203,[1]Sheet2!$A:$N,14,0)/100</f>
        <v>240</v>
      </c>
      <c r="T203" s="31"/>
      <c r="U203" s="31"/>
      <c r="V203" s="31"/>
      <c r="W203" s="30">
        <f t="shared" si="28"/>
        <v>-156</v>
      </c>
      <c r="X203" s="24">
        <f t="shared" si="23"/>
        <v>-129.6</v>
      </c>
    </row>
  </sheetData>
  <autoFilter ref="A1:X203" xr:uid="{010B8060-3DA0-48BB-AEF3-0385E7DE12DF}">
    <filterColumn colId="14">
      <colorFilter dxfId="0"/>
    </filterColumn>
  </autoFilter>
  <phoneticPr fontId="20" type="noConversion"/>
  <pageMargins left="0.7" right="0.7" top="0.75" bottom="0.75" header="0.3" footer="0.3"/>
  <pageSetup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Sugarland_24</vt:lpstr>
      <vt:lpstr>Hibid stat</vt:lpstr>
      <vt:lpstr>S-24</vt:lpstr>
      <vt:lpstr>Sugarland-25</vt:lpstr>
      <vt:lpstr>'S-24'!Print_Area</vt:lpstr>
      <vt:lpstr>'Sugarland-25'!Print_Area</vt:lpstr>
      <vt:lpstr>'Hibid stat'!s20_</vt:lpstr>
      <vt:lpstr>'Hibid stat'!s21_</vt:lpstr>
      <vt:lpstr>'Hibid stat'!s22_</vt:lpstr>
      <vt:lpstr>'Hibid stat'!s23_</vt:lpstr>
      <vt:lpstr>'Hibid stat'!s24_</vt:lpstr>
      <vt:lpstr>'S-24'!Sugarland_24</vt:lpstr>
      <vt:lpstr>'Sugarland-25'!Sugarland_25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Yesset Karayev</dc:creator>
  <cp:lastModifiedBy>Yesset Karayev</cp:lastModifiedBy>
  <cp:lastPrinted>2026-02-25T18:37:43Z</cp:lastPrinted>
  <dcterms:created xsi:type="dcterms:W3CDTF">2026-02-16T03:53:02Z</dcterms:created>
  <dcterms:modified xsi:type="dcterms:W3CDTF">2026-02-25T18:40:07Z</dcterms:modified>
</cp:coreProperties>
</file>