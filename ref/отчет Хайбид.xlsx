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sake\Projects\Sugarland\"/>
    </mc:Choice>
  </mc:AlternateContent>
  <xr:revisionPtr revIDLastSave="0" documentId="13_ncr:1_{6B08CCB5-4542-42C2-A912-421C8944E42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ugarLand_20" sheetId="1" r:id="rId1"/>
  </sheets>
  <externalReferences>
    <externalReference r:id="rId2"/>
  </externalReferences>
  <definedNames>
    <definedName name="_xlnm._FilterDatabase" localSheetId="0" hidden="1">SugarLand_20!$A$1:$P$365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4" i="1" l="1"/>
  <c r="P4" i="1"/>
  <c r="P363" i="1"/>
  <c r="P22" i="1"/>
  <c r="P7" i="1"/>
  <c r="P8" i="1"/>
  <c r="P9" i="1"/>
  <c r="P12" i="1"/>
  <c r="P11" i="1"/>
  <c r="P6" i="1"/>
  <c r="P13" i="1"/>
  <c r="P14" i="1"/>
  <c r="P10" i="1"/>
  <c r="P360" i="1"/>
  <c r="P17" i="1"/>
  <c r="P24" i="1"/>
  <c r="P19" i="1"/>
  <c r="P20" i="1"/>
  <c r="P21" i="1"/>
  <c r="P42" i="1"/>
  <c r="P40" i="1"/>
  <c r="P15" i="1"/>
  <c r="P25" i="1"/>
  <c r="P18" i="1"/>
  <c r="P27" i="1"/>
  <c r="P28" i="1"/>
  <c r="P34" i="1"/>
  <c r="P58" i="1"/>
  <c r="P31" i="1"/>
  <c r="P365" i="1"/>
  <c r="P33" i="1"/>
  <c r="P362" i="1"/>
  <c r="P16" i="1"/>
  <c r="P45" i="1"/>
  <c r="P37" i="1"/>
  <c r="P26" i="1"/>
  <c r="P30" i="1"/>
  <c r="P69" i="1"/>
  <c r="P41" i="1"/>
  <c r="P46" i="1"/>
  <c r="P91" i="1"/>
  <c r="P50" i="1"/>
  <c r="P56" i="1"/>
  <c r="P23" i="1"/>
  <c r="P47" i="1"/>
  <c r="P48" i="1"/>
  <c r="P62" i="1"/>
  <c r="P76" i="1"/>
  <c r="P63" i="1"/>
  <c r="P39" i="1"/>
  <c r="P65" i="1"/>
  <c r="P54" i="1"/>
  <c r="P53" i="1"/>
  <c r="P361" i="1"/>
  <c r="P57" i="1"/>
  <c r="P70" i="1"/>
  <c r="P80" i="1"/>
  <c r="P60" i="1"/>
  <c r="P52" i="1"/>
  <c r="P72" i="1"/>
  <c r="P87" i="1"/>
  <c r="P64" i="1"/>
  <c r="P44" i="1"/>
  <c r="P29" i="1"/>
  <c r="P90" i="1"/>
  <c r="P55" i="1"/>
  <c r="P89" i="1"/>
  <c r="P88" i="1"/>
  <c r="P71" i="1"/>
  <c r="P97" i="1"/>
  <c r="P73" i="1"/>
  <c r="P104" i="1"/>
  <c r="P75" i="1"/>
  <c r="P94" i="1"/>
  <c r="P77" i="1"/>
  <c r="P35" i="1"/>
  <c r="P79" i="1"/>
  <c r="P99" i="1"/>
  <c r="P81" i="1"/>
  <c r="P82" i="1"/>
  <c r="P83" i="1"/>
  <c r="P84" i="1"/>
  <c r="P85" i="1"/>
  <c r="P86" i="1"/>
  <c r="P98" i="1"/>
  <c r="P66" i="1"/>
  <c r="P103" i="1"/>
  <c r="P38" i="1"/>
  <c r="P110" i="1"/>
  <c r="P51" i="1"/>
  <c r="P49" i="1"/>
  <c r="P36" i="1"/>
  <c r="P95" i="1"/>
  <c r="P96" i="1"/>
  <c r="P32" i="1"/>
  <c r="P43" i="1"/>
  <c r="P78" i="1"/>
  <c r="P355" i="1"/>
  <c r="P101" i="1"/>
  <c r="P102" i="1"/>
  <c r="P100" i="1"/>
  <c r="P59" i="1"/>
  <c r="P154" i="1"/>
  <c r="P113" i="1"/>
  <c r="P107" i="1"/>
  <c r="P108" i="1"/>
  <c r="P109" i="1"/>
  <c r="P356" i="1"/>
  <c r="P93" i="1"/>
  <c r="P112" i="1"/>
  <c r="P134" i="1"/>
  <c r="P114" i="1"/>
  <c r="P74" i="1"/>
  <c r="P359" i="1"/>
  <c r="P358" i="1"/>
  <c r="P5" i="1"/>
  <c r="P345" i="1"/>
  <c r="P144" i="1"/>
  <c r="P61" i="1"/>
  <c r="P349" i="1"/>
  <c r="P357" i="1"/>
  <c r="P117" i="1"/>
  <c r="P116" i="1"/>
  <c r="P344" i="1"/>
  <c r="P127" i="1"/>
  <c r="P291" i="1"/>
  <c r="P68" i="1"/>
  <c r="P130" i="1"/>
  <c r="P347" i="1"/>
  <c r="P132" i="1"/>
  <c r="P348" i="1"/>
  <c r="P92" i="1"/>
  <c r="P133" i="1"/>
  <c r="P136" i="1"/>
  <c r="P147" i="1"/>
  <c r="P340" i="1"/>
  <c r="P190" i="1"/>
  <c r="P329" i="1"/>
  <c r="P353" i="1"/>
  <c r="P105" i="1"/>
  <c r="P196" i="1"/>
  <c r="P119" i="1"/>
  <c r="P197" i="1"/>
  <c r="P128" i="1"/>
  <c r="P305" i="1"/>
  <c r="P296" i="1"/>
  <c r="P354" i="1"/>
  <c r="P339" i="1"/>
  <c r="P139" i="1"/>
  <c r="P67" i="1"/>
  <c r="P153" i="1"/>
  <c r="P232" i="1"/>
  <c r="P321" i="1"/>
  <c r="P226" i="1"/>
  <c r="P346" i="1"/>
  <c r="P213" i="1"/>
  <c r="P162" i="1"/>
  <c r="P199" i="1"/>
  <c r="P207" i="1"/>
  <c r="P350" i="1"/>
  <c r="P152" i="1"/>
  <c r="P106" i="1"/>
  <c r="P126" i="1"/>
  <c r="P165" i="1"/>
  <c r="P111" i="1"/>
  <c r="P214" i="1"/>
  <c r="P115" i="1"/>
  <c r="P120" i="1"/>
  <c r="P203" i="1"/>
  <c r="P135" i="1"/>
  <c r="P146" i="1"/>
  <c r="P189" i="1"/>
  <c r="P137" i="1"/>
  <c r="P352" i="1"/>
  <c r="P337" i="1"/>
  <c r="P257" i="1"/>
  <c r="P303" i="1"/>
  <c r="P295" i="1"/>
  <c r="P3" i="1"/>
  <c r="P336" i="1"/>
  <c r="P155" i="1"/>
  <c r="P179" i="1"/>
  <c r="P260" i="1"/>
  <c r="P206" i="1"/>
  <c r="P163" i="1"/>
  <c r="P351" i="1"/>
  <c r="P129" i="1"/>
  <c r="P124" i="1"/>
  <c r="P219" i="1"/>
  <c r="P142" i="1"/>
  <c r="P168" i="1"/>
  <c r="P194" i="1"/>
  <c r="P208" i="1"/>
  <c r="P169" i="1"/>
  <c r="P298" i="1"/>
  <c r="P331" i="1"/>
  <c r="P332" i="1"/>
  <c r="P140" i="1"/>
  <c r="P187" i="1"/>
  <c r="P188" i="1"/>
  <c r="P292" i="1"/>
  <c r="P224" i="1"/>
  <c r="P122" i="1"/>
  <c r="P159" i="1"/>
  <c r="P277" i="1"/>
  <c r="P278" i="1"/>
  <c r="P192" i="1"/>
  <c r="P138" i="1"/>
  <c r="P320" i="1"/>
  <c r="P184" i="1"/>
  <c r="P333" i="1"/>
  <c r="P341" i="1"/>
  <c r="P308" i="1"/>
  <c r="P312" i="1"/>
  <c r="P309" i="1"/>
  <c r="P118" i="1"/>
  <c r="P338" i="1"/>
  <c r="P185" i="1"/>
  <c r="P297" i="1"/>
  <c r="P343" i="1"/>
  <c r="P145" i="1"/>
  <c r="P223" i="1"/>
  <c r="P237" i="1"/>
  <c r="P172" i="1"/>
  <c r="P164" i="1"/>
  <c r="P143" i="1"/>
  <c r="P157" i="1"/>
  <c r="P150" i="1"/>
  <c r="P158" i="1"/>
  <c r="P182" i="1"/>
  <c r="P293" i="1"/>
  <c r="P177" i="1"/>
  <c r="P253" i="1"/>
  <c r="P121" i="1"/>
  <c r="P175" i="1"/>
  <c r="P326" i="1"/>
  <c r="P170" i="1"/>
  <c r="P156" i="1"/>
  <c r="P269" i="1"/>
  <c r="P317" i="1"/>
  <c r="P315" i="1"/>
  <c r="P318" i="1"/>
  <c r="P221" i="1"/>
  <c r="P319" i="1"/>
  <c r="P180" i="1"/>
  <c r="P193" i="1"/>
  <c r="P166" i="1"/>
  <c r="P342" i="1"/>
  <c r="P264" i="1"/>
  <c r="P287" i="1"/>
  <c r="P235" i="1"/>
  <c r="P240" i="1"/>
  <c r="P186" i="1"/>
  <c r="P151" i="1"/>
  <c r="P191" i="1"/>
  <c r="P123" i="1"/>
  <c r="P310" i="1"/>
  <c r="P148" i="1"/>
  <c r="P311" i="1"/>
  <c r="P167" i="1"/>
  <c r="P174" i="1"/>
  <c r="P244" i="1"/>
  <c r="P259" i="1"/>
  <c r="P216" i="1"/>
  <c r="P149" i="1"/>
  <c r="P195" i="1"/>
  <c r="P314" i="1"/>
  <c r="P313" i="1"/>
  <c r="P171" i="1"/>
  <c r="P200" i="1"/>
  <c r="P141" i="1"/>
  <c r="P334" i="1"/>
  <c r="P288" i="1"/>
  <c r="P289" i="1"/>
  <c r="P290" i="1"/>
  <c r="P176" i="1"/>
  <c r="P323" i="1"/>
  <c r="P131" i="1"/>
  <c r="P284" i="1"/>
  <c r="P335" i="1"/>
  <c r="P262" i="1"/>
  <c r="P215" i="1"/>
  <c r="P250" i="1"/>
  <c r="P241" i="1"/>
  <c r="P125" i="1"/>
  <c r="P209" i="1"/>
  <c r="P160" i="1"/>
  <c r="P316" i="1"/>
  <c r="P202" i="1"/>
  <c r="P252" i="1"/>
  <c r="P330" i="1"/>
  <c r="P275" i="1"/>
  <c r="P272" i="1"/>
  <c r="P181" i="1"/>
  <c r="P274" i="1"/>
  <c r="P276" i="1"/>
  <c r="P266" i="1"/>
  <c r="P198" i="1"/>
  <c r="P248" i="1"/>
  <c r="P263" i="1"/>
  <c r="P327" i="1"/>
  <c r="P328" i="1"/>
  <c r="P265" i="1"/>
  <c r="P322" i="1"/>
  <c r="P178" i="1"/>
  <c r="P245" i="1"/>
  <c r="P161" i="1"/>
  <c r="P302" i="1"/>
  <c r="P281" i="1"/>
  <c r="P279" i="1"/>
  <c r="P225" i="1"/>
  <c r="P273" i="1"/>
  <c r="P258" i="1"/>
  <c r="P234" i="1"/>
  <c r="P231" i="1"/>
  <c r="P217" i="1"/>
  <c r="P324" i="1"/>
  <c r="P325" i="1"/>
  <c r="P256" i="1"/>
  <c r="P204" i="1"/>
  <c r="P251" i="1"/>
  <c r="P201" i="1"/>
  <c r="P267" i="1"/>
  <c r="P210" i="1"/>
  <c r="P268" i="1"/>
  <c r="P227" i="1"/>
  <c r="P183" i="1"/>
  <c r="P205" i="1"/>
  <c r="P222" i="1"/>
  <c r="P304" i="1"/>
  <c r="P249" i="1"/>
  <c r="P242" i="1"/>
  <c r="P229" i="1"/>
  <c r="P233" i="1"/>
  <c r="P211" i="1"/>
  <c r="P218" i="1"/>
  <c r="P270" i="1"/>
  <c r="P271" i="1"/>
  <c r="P299" i="1"/>
  <c r="P220" i="1"/>
  <c r="P300" i="1"/>
  <c r="P301" i="1"/>
  <c r="P283" i="1"/>
  <c r="P247" i="1"/>
  <c r="P212" i="1"/>
  <c r="P261" i="1"/>
  <c r="P306" i="1"/>
  <c r="P307" i="1"/>
  <c r="P238" i="1"/>
  <c r="P294" i="1"/>
  <c r="P173" i="1"/>
  <c r="P236" i="1"/>
  <c r="P285" i="1"/>
  <c r="P280" i="1"/>
  <c r="P254" i="1"/>
  <c r="P255" i="1"/>
  <c r="P286" i="1"/>
  <c r="P243" i="1"/>
  <c r="P228" i="1"/>
  <c r="P246" i="1"/>
  <c r="P282" i="1"/>
  <c r="P239" i="1"/>
  <c r="P230" i="1"/>
  <c r="P2" i="1"/>
  <c r="N364" i="1"/>
  <c r="N4" i="1"/>
  <c r="N363" i="1"/>
  <c r="N22" i="1"/>
  <c r="N7" i="1"/>
  <c r="N8" i="1"/>
  <c r="N9" i="1"/>
  <c r="N12" i="1"/>
  <c r="N11" i="1"/>
  <c r="N6" i="1"/>
  <c r="N13" i="1"/>
  <c r="N14" i="1"/>
  <c r="N10" i="1"/>
  <c r="N360" i="1"/>
  <c r="N17" i="1"/>
  <c r="N24" i="1"/>
  <c r="N19" i="1"/>
  <c r="N20" i="1"/>
  <c r="N21" i="1"/>
  <c r="N42" i="1"/>
  <c r="N40" i="1"/>
  <c r="N15" i="1"/>
  <c r="N25" i="1"/>
  <c r="N18" i="1"/>
  <c r="N27" i="1"/>
  <c r="N28" i="1"/>
  <c r="N34" i="1"/>
  <c r="N58" i="1"/>
  <c r="N31" i="1"/>
  <c r="N365" i="1"/>
  <c r="N33" i="1"/>
  <c r="N362" i="1"/>
  <c r="N16" i="1"/>
  <c r="N45" i="1"/>
  <c r="N37" i="1"/>
  <c r="N26" i="1"/>
  <c r="N30" i="1"/>
  <c r="N69" i="1"/>
  <c r="N41" i="1"/>
  <c r="N46" i="1"/>
  <c r="N91" i="1"/>
  <c r="N50" i="1"/>
  <c r="N56" i="1"/>
  <c r="N23" i="1"/>
  <c r="N47" i="1"/>
  <c r="N48" i="1"/>
  <c r="N62" i="1"/>
  <c r="N76" i="1"/>
  <c r="N63" i="1"/>
  <c r="N39" i="1"/>
  <c r="N65" i="1"/>
  <c r="N54" i="1"/>
  <c r="N53" i="1"/>
  <c r="N361" i="1"/>
  <c r="N57" i="1"/>
  <c r="N70" i="1"/>
  <c r="N80" i="1"/>
  <c r="N60" i="1"/>
  <c r="N52" i="1"/>
  <c r="N72" i="1"/>
  <c r="N87" i="1"/>
  <c r="N64" i="1"/>
  <c r="N44" i="1"/>
  <c r="N29" i="1"/>
  <c r="N90" i="1"/>
  <c r="N55" i="1"/>
  <c r="N89" i="1"/>
  <c r="N88" i="1"/>
  <c r="N71" i="1"/>
  <c r="N97" i="1"/>
  <c r="N73" i="1"/>
  <c r="N104" i="1"/>
  <c r="N75" i="1"/>
  <c r="N94" i="1"/>
  <c r="N77" i="1"/>
  <c r="N35" i="1"/>
  <c r="N79" i="1"/>
  <c r="N99" i="1"/>
  <c r="N81" i="1"/>
  <c r="N82" i="1"/>
  <c r="N83" i="1"/>
  <c r="N84" i="1"/>
  <c r="N85" i="1"/>
  <c r="N86" i="1"/>
  <c r="N98" i="1"/>
  <c r="N66" i="1"/>
  <c r="N103" i="1"/>
  <c r="N38" i="1"/>
  <c r="N110" i="1"/>
  <c r="N51" i="1"/>
  <c r="N49" i="1"/>
  <c r="N36" i="1"/>
  <c r="N95" i="1"/>
  <c r="N96" i="1"/>
  <c r="N32" i="1"/>
  <c r="N43" i="1"/>
  <c r="N78" i="1"/>
  <c r="N355" i="1"/>
  <c r="N101" i="1"/>
  <c r="N102" i="1"/>
  <c r="N100" i="1"/>
  <c r="N59" i="1"/>
  <c r="N154" i="1"/>
  <c r="N113" i="1"/>
  <c r="N107" i="1"/>
  <c r="N108" i="1"/>
  <c r="N109" i="1"/>
  <c r="N356" i="1"/>
  <c r="N93" i="1"/>
  <c r="N112" i="1"/>
  <c r="N134" i="1"/>
  <c r="N114" i="1"/>
  <c r="N74" i="1"/>
  <c r="N359" i="1"/>
  <c r="N358" i="1"/>
  <c r="N5" i="1"/>
  <c r="N345" i="1"/>
  <c r="N144" i="1"/>
  <c r="N61" i="1"/>
  <c r="N349" i="1"/>
  <c r="N357" i="1"/>
  <c r="N117" i="1"/>
  <c r="N116" i="1"/>
  <c r="N344" i="1"/>
  <c r="N127" i="1"/>
  <c r="N291" i="1"/>
  <c r="N68" i="1"/>
  <c r="N130" i="1"/>
  <c r="N347" i="1"/>
  <c r="N132" i="1"/>
  <c r="N348" i="1"/>
  <c r="N92" i="1"/>
  <c r="N133" i="1"/>
  <c r="N136" i="1"/>
  <c r="N147" i="1"/>
  <c r="N340" i="1"/>
  <c r="N190" i="1"/>
  <c r="N329" i="1"/>
  <c r="N353" i="1"/>
  <c r="N105" i="1"/>
  <c r="N196" i="1"/>
  <c r="N119" i="1"/>
  <c r="N197" i="1"/>
  <c r="N128" i="1"/>
  <c r="N305" i="1"/>
  <c r="N296" i="1"/>
  <c r="N354" i="1"/>
  <c r="N339" i="1"/>
  <c r="N139" i="1"/>
  <c r="N67" i="1"/>
  <c r="N153" i="1"/>
  <c r="N232" i="1"/>
  <c r="N321" i="1"/>
  <c r="N226" i="1"/>
  <c r="N346" i="1"/>
  <c r="N213" i="1"/>
  <c r="N162" i="1"/>
  <c r="N199" i="1"/>
  <c r="N207" i="1"/>
  <c r="N350" i="1"/>
  <c r="N152" i="1"/>
  <c r="N106" i="1"/>
  <c r="N126" i="1"/>
  <c r="N165" i="1"/>
  <c r="N111" i="1"/>
  <c r="N214" i="1"/>
  <c r="N115" i="1"/>
  <c r="N120" i="1"/>
  <c r="N203" i="1"/>
  <c r="N135" i="1"/>
  <c r="N146" i="1"/>
  <c r="N189" i="1"/>
  <c r="N137" i="1"/>
  <c r="N352" i="1"/>
  <c r="N337" i="1"/>
  <c r="N257" i="1"/>
  <c r="N303" i="1"/>
  <c r="N295" i="1"/>
  <c r="N3" i="1"/>
  <c r="N336" i="1"/>
  <c r="N155" i="1"/>
  <c r="N179" i="1"/>
  <c r="N260" i="1"/>
  <c r="N206" i="1"/>
  <c r="N163" i="1"/>
  <c r="N351" i="1"/>
  <c r="N129" i="1"/>
  <c r="N124" i="1"/>
  <c r="N219" i="1"/>
  <c r="N142" i="1"/>
  <c r="N168" i="1"/>
  <c r="N194" i="1"/>
  <c r="N208" i="1"/>
  <c r="N169" i="1"/>
  <c r="N298" i="1"/>
  <c r="N331" i="1"/>
  <c r="N332" i="1"/>
  <c r="N140" i="1"/>
  <c r="N187" i="1"/>
  <c r="N188" i="1"/>
  <c r="N292" i="1"/>
  <c r="N224" i="1"/>
  <c r="N122" i="1"/>
  <c r="N159" i="1"/>
  <c r="N277" i="1"/>
  <c r="N278" i="1"/>
  <c r="N192" i="1"/>
  <c r="N138" i="1"/>
  <c r="N320" i="1"/>
  <c r="N184" i="1"/>
  <c r="N333" i="1"/>
  <c r="N341" i="1"/>
  <c r="N308" i="1"/>
  <c r="N312" i="1"/>
  <c r="N309" i="1"/>
  <c r="N118" i="1"/>
  <c r="N338" i="1"/>
  <c r="N185" i="1"/>
  <c r="N297" i="1"/>
  <c r="N343" i="1"/>
  <c r="N145" i="1"/>
  <c r="N223" i="1"/>
  <c r="N237" i="1"/>
  <c r="N172" i="1"/>
  <c r="N164" i="1"/>
  <c r="N143" i="1"/>
  <c r="N157" i="1"/>
  <c r="N150" i="1"/>
  <c r="N158" i="1"/>
  <c r="N182" i="1"/>
  <c r="N293" i="1"/>
  <c r="N177" i="1"/>
  <c r="N253" i="1"/>
  <c r="N121" i="1"/>
  <c r="N175" i="1"/>
  <c r="N326" i="1"/>
  <c r="N170" i="1"/>
  <c r="N156" i="1"/>
  <c r="N269" i="1"/>
  <c r="N317" i="1"/>
  <c r="N315" i="1"/>
  <c r="N318" i="1"/>
  <c r="N221" i="1"/>
  <c r="N319" i="1"/>
  <c r="N180" i="1"/>
  <c r="N193" i="1"/>
  <c r="N166" i="1"/>
  <c r="N342" i="1"/>
  <c r="N264" i="1"/>
  <c r="N287" i="1"/>
  <c r="N235" i="1"/>
  <c r="N240" i="1"/>
  <c r="N186" i="1"/>
  <c r="N151" i="1"/>
  <c r="N191" i="1"/>
  <c r="N123" i="1"/>
  <c r="N310" i="1"/>
  <c r="N148" i="1"/>
  <c r="N311" i="1"/>
  <c r="N167" i="1"/>
  <c r="N174" i="1"/>
  <c r="N244" i="1"/>
  <c r="N259" i="1"/>
  <c r="N216" i="1"/>
  <c r="N149" i="1"/>
  <c r="N195" i="1"/>
  <c r="N314" i="1"/>
  <c r="N313" i="1"/>
  <c r="N171" i="1"/>
  <c r="N200" i="1"/>
  <c r="N141" i="1"/>
  <c r="N334" i="1"/>
  <c r="N288" i="1"/>
  <c r="N289" i="1"/>
  <c r="N290" i="1"/>
  <c r="N176" i="1"/>
  <c r="N323" i="1"/>
  <c r="N131" i="1"/>
  <c r="N284" i="1"/>
  <c r="N335" i="1"/>
  <c r="N262" i="1"/>
  <c r="N215" i="1"/>
  <c r="N250" i="1"/>
  <c r="N241" i="1"/>
  <c r="N125" i="1"/>
  <c r="N209" i="1"/>
  <c r="N160" i="1"/>
  <c r="N316" i="1"/>
  <c r="N202" i="1"/>
  <c r="N252" i="1"/>
  <c r="N330" i="1"/>
  <c r="N275" i="1"/>
  <c r="N272" i="1"/>
  <c r="N181" i="1"/>
  <c r="N274" i="1"/>
  <c r="N276" i="1"/>
  <c r="N266" i="1"/>
  <c r="N198" i="1"/>
  <c r="N248" i="1"/>
  <c r="N263" i="1"/>
  <c r="N327" i="1"/>
  <c r="N328" i="1"/>
  <c r="N265" i="1"/>
  <c r="N322" i="1"/>
  <c r="N178" i="1"/>
  <c r="N245" i="1"/>
  <c r="N161" i="1"/>
  <c r="N302" i="1"/>
  <c r="N281" i="1"/>
  <c r="N279" i="1"/>
  <c r="N225" i="1"/>
  <c r="N273" i="1"/>
  <c r="N258" i="1"/>
  <c r="N234" i="1"/>
  <c r="N231" i="1"/>
  <c r="N217" i="1"/>
  <c r="N324" i="1"/>
  <c r="N325" i="1"/>
  <c r="N256" i="1"/>
  <c r="N204" i="1"/>
  <c r="N251" i="1"/>
  <c r="N201" i="1"/>
  <c r="N267" i="1"/>
  <c r="N210" i="1"/>
  <c r="N268" i="1"/>
  <c r="N227" i="1"/>
  <c r="N183" i="1"/>
  <c r="N205" i="1"/>
  <c r="N222" i="1"/>
  <c r="N304" i="1"/>
  <c r="N249" i="1"/>
  <c r="N242" i="1"/>
  <c r="N229" i="1"/>
  <c r="N233" i="1"/>
  <c r="N211" i="1"/>
  <c r="N218" i="1"/>
  <c r="N270" i="1"/>
  <c r="N271" i="1"/>
  <c r="N299" i="1"/>
  <c r="N220" i="1"/>
  <c r="N300" i="1"/>
  <c r="N301" i="1"/>
  <c r="N283" i="1"/>
  <c r="N247" i="1"/>
  <c r="N212" i="1"/>
  <c r="N261" i="1"/>
  <c r="N306" i="1"/>
  <c r="N307" i="1"/>
  <c r="N238" i="1"/>
  <c r="N294" i="1"/>
  <c r="N173" i="1"/>
  <c r="N236" i="1"/>
  <c r="N285" i="1"/>
  <c r="N280" i="1"/>
  <c r="N254" i="1"/>
  <c r="N255" i="1"/>
  <c r="N286" i="1"/>
  <c r="N243" i="1"/>
  <c r="N228" i="1"/>
  <c r="N246" i="1"/>
  <c r="N282" i="1"/>
  <c r="N239" i="1"/>
  <c r="N230" i="1"/>
  <c r="N2" i="1"/>
  <c r="K364" i="1"/>
  <c r="K4" i="1"/>
  <c r="K363" i="1"/>
  <c r="K22" i="1"/>
  <c r="K7" i="1"/>
  <c r="K8" i="1"/>
  <c r="K9" i="1"/>
  <c r="K12" i="1"/>
  <c r="K11" i="1"/>
  <c r="K6" i="1"/>
  <c r="K13" i="1"/>
  <c r="K14" i="1"/>
  <c r="K10" i="1"/>
  <c r="K360" i="1"/>
  <c r="K17" i="1"/>
  <c r="K24" i="1"/>
  <c r="K19" i="1"/>
  <c r="K20" i="1"/>
  <c r="K21" i="1"/>
  <c r="K42" i="1"/>
  <c r="K40" i="1"/>
  <c r="K15" i="1"/>
  <c r="K25" i="1"/>
  <c r="K18" i="1"/>
  <c r="K27" i="1"/>
  <c r="K28" i="1"/>
  <c r="K34" i="1"/>
  <c r="K58" i="1"/>
  <c r="K31" i="1"/>
  <c r="K365" i="1"/>
  <c r="K33" i="1"/>
  <c r="K362" i="1"/>
  <c r="K16" i="1"/>
  <c r="K45" i="1"/>
  <c r="K37" i="1"/>
  <c r="K26" i="1"/>
  <c r="K30" i="1"/>
  <c r="K69" i="1"/>
  <c r="K41" i="1"/>
  <c r="K46" i="1"/>
  <c r="K91" i="1"/>
  <c r="K50" i="1"/>
  <c r="K56" i="1"/>
  <c r="K23" i="1"/>
  <c r="K47" i="1"/>
  <c r="K48" i="1"/>
  <c r="K62" i="1"/>
  <c r="K76" i="1"/>
  <c r="K63" i="1"/>
  <c r="K39" i="1"/>
  <c r="K65" i="1"/>
  <c r="K54" i="1"/>
  <c r="K53" i="1"/>
  <c r="K361" i="1"/>
  <c r="K57" i="1"/>
  <c r="K70" i="1"/>
  <c r="K80" i="1"/>
  <c r="K60" i="1"/>
  <c r="K52" i="1"/>
  <c r="K72" i="1"/>
  <c r="K87" i="1"/>
  <c r="K64" i="1"/>
  <c r="K44" i="1"/>
  <c r="K29" i="1"/>
  <c r="K90" i="1"/>
  <c r="K55" i="1"/>
  <c r="K89" i="1"/>
  <c r="K88" i="1"/>
  <c r="K71" i="1"/>
  <c r="K97" i="1"/>
  <c r="K73" i="1"/>
  <c r="K104" i="1"/>
  <c r="K75" i="1"/>
  <c r="K94" i="1"/>
  <c r="K77" i="1"/>
  <c r="K35" i="1"/>
  <c r="K79" i="1"/>
  <c r="K99" i="1"/>
  <c r="K81" i="1"/>
  <c r="K82" i="1"/>
  <c r="K83" i="1"/>
  <c r="K84" i="1"/>
  <c r="K85" i="1"/>
  <c r="K86" i="1"/>
  <c r="K98" i="1"/>
  <c r="K66" i="1"/>
  <c r="K103" i="1"/>
  <c r="K38" i="1"/>
  <c r="K110" i="1"/>
  <c r="K51" i="1"/>
  <c r="K49" i="1"/>
  <c r="K36" i="1"/>
  <c r="K95" i="1"/>
  <c r="K96" i="1"/>
  <c r="K32" i="1"/>
  <c r="K43" i="1"/>
  <c r="K78" i="1"/>
  <c r="K355" i="1"/>
  <c r="K101" i="1"/>
  <c r="K102" i="1"/>
  <c r="K100" i="1"/>
  <c r="K59" i="1"/>
  <c r="K154" i="1"/>
  <c r="K113" i="1"/>
  <c r="K107" i="1"/>
  <c r="K108" i="1"/>
  <c r="K109" i="1"/>
  <c r="K356" i="1"/>
  <c r="K93" i="1"/>
  <c r="K112" i="1"/>
  <c r="K134" i="1"/>
  <c r="K114" i="1"/>
  <c r="K74" i="1"/>
  <c r="K359" i="1"/>
  <c r="K358" i="1"/>
  <c r="K5" i="1"/>
  <c r="K345" i="1"/>
  <c r="K144" i="1"/>
  <c r="K61" i="1"/>
  <c r="K349" i="1"/>
  <c r="K357" i="1"/>
  <c r="K117" i="1"/>
  <c r="K116" i="1"/>
  <c r="K344" i="1"/>
  <c r="K127" i="1"/>
  <c r="K291" i="1"/>
  <c r="K68" i="1"/>
  <c r="K130" i="1"/>
  <c r="K347" i="1"/>
  <c r="K132" i="1"/>
  <c r="K348" i="1"/>
  <c r="K92" i="1"/>
  <c r="K133" i="1"/>
  <c r="K136" i="1"/>
  <c r="K147" i="1"/>
  <c r="K340" i="1"/>
  <c r="K190" i="1"/>
  <c r="K329" i="1"/>
  <c r="K353" i="1"/>
  <c r="K105" i="1"/>
  <c r="K196" i="1"/>
  <c r="K119" i="1"/>
  <c r="K197" i="1"/>
  <c r="K128" i="1"/>
  <c r="K305" i="1"/>
  <c r="K296" i="1"/>
  <c r="K354" i="1"/>
  <c r="K339" i="1"/>
  <c r="K139" i="1"/>
  <c r="K67" i="1"/>
  <c r="K153" i="1"/>
  <c r="K232" i="1"/>
  <c r="K321" i="1"/>
  <c r="K226" i="1"/>
  <c r="K346" i="1"/>
  <c r="K213" i="1"/>
  <c r="K162" i="1"/>
  <c r="K199" i="1"/>
  <c r="K207" i="1"/>
  <c r="K350" i="1"/>
  <c r="K152" i="1"/>
  <c r="K106" i="1"/>
  <c r="K126" i="1"/>
  <c r="K165" i="1"/>
  <c r="K111" i="1"/>
  <c r="K214" i="1"/>
  <c r="K115" i="1"/>
  <c r="K120" i="1"/>
  <c r="K203" i="1"/>
  <c r="K135" i="1"/>
  <c r="K146" i="1"/>
  <c r="K189" i="1"/>
  <c r="K137" i="1"/>
  <c r="K352" i="1"/>
  <c r="K337" i="1"/>
  <c r="K257" i="1"/>
  <c r="K303" i="1"/>
  <c r="K295" i="1"/>
  <c r="K3" i="1"/>
  <c r="K336" i="1"/>
  <c r="K155" i="1"/>
  <c r="K179" i="1"/>
  <c r="K260" i="1"/>
  <c r="K206" i="1"/>
  <c r="K163" i="1"/>
  <c r="K351" i="1"/>
  <c r="K129" i="1"/>
  <c r="K124" i="1"/>
  <c r="K219" i="1"/>
  <c r="K142" i="1"/>
  <c r="K168" i="1"/>
  <c r="K194" i="1"/>
  <c r="K208" i="1"/>
  <c r="K169" i="1"/>
  <c r="K298" i="1"/>
  <c r="K331" i="1"/>
  <c r="K332" i="1"/>
  <c r="K140" i="1"/>
  <c r="K187" i="1"/>
  <c r="K188" i="1"/>
  <c r="K292" i="1"/>
  <c r="K224" i="1"/>
  <c r="K122" i="1"/>
  <c r="K159" i="1"/>
  <c r="K277" i="1"/>
  <c r="K278" i="1"/>
  <c r="K192" i="1"/>
  <c r="K138" i="1"/>
  <c r="K320" i="1"/>
  <c r="K184" i="1"/>
  <c r="K333" i="1"/>
  <c r="K341" i="1"/>
  <c r="K308" i="1"/>
  <c r="K312" i="1"/>
  <c r="K309" i="1"/>
  <c r="K118" i="1"/>
  <c r="K338" i="1"/>
  <c r="K185" i="1"/>
  <c r="K297" i="1"/>
  <c r="K343" i="1"/>
  <c r="K145" i="1"/>
  <c r="K223" i="1"/>
  <c r="K237" i="1"/>
  <c r="K172" i="1"/>
  <c r="K164" i="1"/>
  <c r="K143" i="1"/>
  <c r="K157" i="1"/>
  <c r="K150" i="1"/>
  <c r="K158" i="1"/>
  <c r="K182" i="1"/>
  <c r="K293" i="1"/>
  <c r="K177" i="1"/>
  <c r="K253" i="1"/>
  <c r="K121" i="1"/>
  <c r="K175" i="1"/>
  <c r="K326" i="1"/>
  <c r="K170" i="1"/>
  <c r="K156" i="1"/>
  <c r="K269" i="1"/>
  <c r="K317" i="1"/>
  <c r="K315" i="1"/>
  <c r="K318" i="1"/>
  <c r="K221" i="1"/>
  <c r="K319" i="1"/>
  <c r="K180" i="1"/>
  <c r="K193" i="1"/>
  <c r="K166" i="1"/>
  <c r="K342" i="1"/>
  <c r="K264" i="1"/>
  <c r="K287" i="1"/>
  <c r="K235" i="1"/>
  <c r="K240" i="1"/>
  <c r="K186" i="1"/>
  <c r="K151" i="1"/>
  <c r="K191" i="1"/>
  <c r="K123" i="1"/>
  <c r="K310" i="1"/>
  <c r="K148" i="1"/>
  <c r="K311" i="1"/>
  <c r="K167" i="1"/>
  <c r="K174" i="1"/>
  <c r="K244" i="1"/>
  <c r="K259" i="1"/>
  <c r="K216" i="1"/>
  <c r="K149" i="1"/>
  <c r="K195" i="1"/>
  <c r="K314" i="1"/>
  <c r="K313" i="1"/>
  <c r="K171" i="1"/>
  <c r="K200" i="1"/>
  <c r="K141" i="1"/>
  <c r="K334" i="1"/>
  <c r="K288" i="1"/>
  <c r="K289" i="1"/>
  <c r="K290" i="1"/>
  <c r="K176" i="1"/>
  <c r="K323" i="1"/>
  <c r="K131" i="1"/>
  <c r="K284" i="1"/>
  <c r="K335" i="1"/>
  <c r="K262" i="1"/>
  <c r="K215" i="1"/>
  <c r="K250" i="1"/>
  <c r="K241" i="1"/>
  <c r="K125" i="1"/>
  <c r="K209" i="1"/>
  <c r="K160" i="1"/>
  <c r="K316" i="1"/>
  <c r="K202" i="1"/>
  <c r="K252" i="1"/>
  <c r="K330" i="1"/>
  <c r="K275" i="1"/>
  <c r="K272" i="1"/>
  <c r="K181" i="1"/>
  <c r="K274" i="1"/>
  <c r="K276" i="1"/>
  <c r="K266" i="1"/>
  <c r="K198" i="1"/>
  <c r="K248" i="1"/>
  <c r="K263" i="1"/>
  <c r="K327" i="1"/>
  <c r="K328" i="1"/>
  <c r="K265" i="1"/>
  <c r="K322" i="1"/>
  <c r="K178" i="1"/>
  <c r="K245" i="1"/>
  <c r="K161" i="1"/>
  <c r="K302" i="1"/>
  <c r="K281" i="1"/>
  <c r="K279" i="1"/>
  <c r="K225" i="1"/>
  <c r="K273" i="1"/>
  <c r="K258" i="1"/>
  <c r="K234" i="1"/>
  <c r="K231" i="1"/>
  <c r="K217" i="1"/>
  <c r="K324" i="1"/>
  <c r="K325" i="1"/>
  <c r="K256" i="1"/>
  <c r="K204" i="1"/>
  <c r="K251" i="1"/>
  <c r="K201" i="1"/>
  <c r="K267" i="1"/>
  <c r="K210" i="1"/>
  <c r="K268" i="1"/>
  <c r="K227" i="1"/>
  <c r="K183" i="1"/>
  <c r="K205" i="1"/>
  <c r="K222" i="1"/>
  <c r="K304" i="1"/>
  <c r="K249" i="1"/>
  <c r="K242" i="1"/>
  <c r="K229" i="1"/>
  <c r="K233" i="1"/>
  <c r="K211" i="1"/>
  <c r="K218" i="1"/>
  <c r="K270" i="1"/>
  <c r="K271" i="1"/>
  <c r="K299" i="1"/>
  <c r="K220" i="1"/>
  <c r="K300" i="1"/>
  <c r="K301" i="1"/>
  <c r="K283" i="1"/>
  <c r="K247" i="1"/>
  <c r="K212" i="1"/>
  <c r="K261" i="1"/>
  <c r="K306" i="1"/>
  <c r="K307" i="1"/>
  <c r="K238" i="1"/>
  <c r="K294" i="1"/>
  <c r="K173" i="1"/>
  <c r="K236" i="1"/>
  <c r="K285" i="1"/>
  <c r="K280" i="1"/>
  <c r="K254" i="1"/>
  <c r="K255" i="1"/>
  <c r="K286" i="1"/>
  <c r="K243" i="1"/>
  <c r="K228" i="1"/>
  <c r="K246" i="1"/>
  <c r="K282" i="1"/>
  <c r="K239" i="1"/>
  <c r="K230" i="1"/>
  <c r="K2" i="1"/>
  <c r="I364" i="1"/>
  <c r="I4" i="1"/>
  <c r="I363" i="1"/>
  <c r="I22" i="1"/>
  <c r="I7" i="1"/>
  <c r="I8" i="1"/>
  <c r="I9" i="1"/>
  <c r="I12" i="1"/>
  <c r="I11" i="1"/>
  <c r="I6" i="1"/>
  <c r="I13" i="1"/>
  <c r="I14" i="1"/>
  <c r="I10" i="1"/>
  <c r="I360" i="1"/>
  <c r="I17" i="1"/>
  <c r="I24" i="1"/>
  <c r="I19" i="1"/>
  <c r="I20" i="1"/>
  <c r="I21" i="1"/>
  <c r="I42" i="1"/>
  <c r="I40" i="1"/>
  <c r="I15" i="1"/>
  <c r="I25" i="1"/>
  <c r="I18" i="1"/>
  <c r="I27" i="1"/>
  <c r="I28" i="1"/>
  <c r="I34" i="1"/>
  <c r="I58" i="1"/>
  <c r="I31" i="1"/>
  <c r="I365" i="1"/>
  <c r="I33" i="1"/>
  <c r="I362" i="1"/>
  <c r="I16" i="1"/>
  <c r="I45" i="1"/>
  <c r="I37" i="1"/>
  <c r="I26" i="1"/>
  <c r="I30" i="1"/>
  <c r="I69" i="1"/>
  <c r="I41" i="1"/>
  <c r="I46" i="1"/>
  <c r="I91" i="1"/>
  <c r="I50" i="1"/>
  <c r="I56" i="1"/>
  <c r="I23" i="1"/>
  <c r="I47" i="1"/>
  <c r="I48" i="1"/>
  <c r="I62" i="1"/>
  <c r="I76" i="1"/>
  <c r="I63" i="1"/>
  <c r="I39" i="1"/>
  <c r="I65" i="1"/>
  <c r="I54" i="1"/>
  <c r="I53" i="1"/>
  <c r="I361" i="1"/>
  <c r="I57" i="1"/>
  <c r="I70" i="1"/>
  <c r="I80" i="1"/>
  <c r="I60" i="1"/>
  <c r="I52" i="1"/>
  <c r="I72" i="1"/>
  <c r="I87" i="1"/>
  <c r="I64" i="1"/>
  <c r="I44" i="1"/>
  <c r="I29" i="1"/>
  <c r="I90" i="1"/>
  <c r="I55" i="1"/>
  <c r="I89" i="1"/>
  <c r="I88" i="1"/>
  <c r="I71" i="1"/>
  <c r="I97" i="1"/>
  <c r="I73" i="1"/>
  <c r="I104" i="1"/>
  <c r="I75" i="1"/>
  <c r="I94" i="1"/>
  <c r="I77" i="1"/>
  <c r="I35" i="1"/>
  <c r="I79" i="1"/>
  <c r="I99" i="1"/>
  <c r="I81" i="1"/>
  <c r="I82" i="1"/>
  <c r="I83" i="1"/>
  <c r="I84" i="1"/>
  <c r="I85" i="1"/>
  <c r="I86" i="1"/>
  <c r="I98" i="1"/>
  <c r="I66" i="1"/>
  <c r="I103" i="1"/>
  <c r="I38" i="1"/>
  <c r="I110" i="1"/>
  <c r="I51" i="1"/>
  <c r="I49" i="1"/>
  <c r="I36" i="1"/>
  <c r="I95" i="1"/>
  <c r="I96" i="1"/>
  <c r="I32" i="1"/>
  <c r="I43" i="1"/>
  <c r="I78" i="1"/>
  <c r="I355" i="1"/>
  <c r="I101" i="1"/>
  <c r="I102" i="1"/>
  <c r="I100" i="1"/>
  <c r="I59" i="1"/>
  <c r="I154" i="1"/>
  <c r="I113" i="1"/>
  <c r="I107" i="1"/>
  <c r="I108" i="1"/>
  <c r="I109" i="1"/>
  <c r="I356" i="1"/>
  <c r="I93" i="1"/>
  <c r="I112" i="1"/>
  <c r="I134" i="1"/>
  <c r="I114" i="1"/>
  <c r="I74" i="1"/>
  <c r="I359" i="1"/>
  <c r="I358" i="1"/>
  <c r="I5" i="1"/>
  <c r="I345" i="1"/>
  <c r="I144" i="1"/>
  <c r="I61" i="1"/>
  <c r="I349" i="1"/>
  <c r="I357" i="1"/>
  <c r="I117" i="1"/>
  <c r="I116" i="1"/>
  <c r="I344" i="1"/>
  <c r="I127" i="1"/>
  <c r="I291" i="1"/>
  <c r="I68" i="1"/>
  <c r="I130" i="1"/>
  <c r="I347" i="1"/>
  <c r="I132" i="1"/>
  <c r="I348" i="1"/>
  <c r="I92" i="1"/>
  <c r="I133" i="1"/>
  <c r="I136" i="1"/>
  <c r="I147" i="1"/>
  <c r="I340" i="1"/>
  <c r="I190" i="1"/>
  <c r="I329" i="1"/>
  <c r="I353" i="1"/>
  <c r="I105" i="1"/>
  <c r="I196" i="1"/>
  <c r="I119" i="1"/>
  <c r="I197" i="1"/>
  <c r="I128" i="1"/>
  <c r="I305" i="1"/>
  <c r="I296" i="1"/>
  <c r="I354" i="1"/>
  <c r="I339" i="1"/>
  <c r="I139" i="1"/>
  <c r="I67" i="1"/>
  <c r="I153" i="1"/>
  <c r="I232" i="1"/>
  <c r="I321" i="1"/>
  <c r="I226" i="1"/>
  <c r="I346" i="1"/>
  <c r="I213" i="1"/>
  <c r="I162" i="1"/>
  <c r="I199" i="1"/>
  <c r="I207" i="1"/>
  <c r="I350" i="1"/>
  <c r="I152" i="1"/>
  <c r="I106" i="1"/>
  <c r="I126" i="1"/>
  <c r="I165" i="1"/>
  <c r="I111" i="1"/>
  <c r="I214" i="1"/>
  <c r="I115" i="1"/>
  <c r="I120" i="1"/>
  <c r="I203" i="1"/>
  <c r="I135" i="1"/>
  <c r="I146" i="1"/>
  <c r="I189" i="1"/>
  <c r="I137" i="1"/>
  <c r="I352" i="1"/>
  <c r="I337" i="1"/>
  <c r="I257" i="1"/>
  <c r="I303" i="1"/>
  <c r="I295" i="1"/>
  <c r="I3" i="1"/>
  <c r="I336" i="1"/>
  <c r="I155" i="1"/>
  <c r="I179" i="1"/>
  <c r="I260" i="1"/>
  <c r="I206" i="1"/>
  <c r="I163" i="1"/>
  <c r="I351" i="1"/>
  <c r="I129" i="1"/>
  <c r="I124" i="1"/>
  <c r="I219" i="1"/>
  <c r="I142" i="1"/>
  <c r="I168" i="1"/>
  <c r="I194" i="1"/>
  <c r="I208" i="1"/>
  <c r="I169" i="1"/>
  <c r="I298" i="1"/>
  <c r="I331" i="1"/>
  <c r="I332" i="1"/>
  <c r="I140" i="1"/>
  <c r="I187" i="1"/>
  <c r="I188" i="1"/>
  <c r="I292" i="1"/>
  <c r="I224" i="1"/>
  <c r="I122" i="1"/>
  <c r="I159" i="1"/>
  <c r="I277" i="1"/>
  <c r="I278" i="1"/>
  <c r="I192" i="1"/>
  <c r="I138" i="1"/>
  <c r="I320" i="1"/>
  <c r="I184" i="1"/>
  <c r="I333" i="1"/>
  <c r="I341" i="1"/>
  <c r="I308" i="1"/>
  <c r="I312" i="1"/>
  <c r="I309" i="1"/>
  <c r="I118" i="1"/>
  <c r="I338" i="1"/>
  <c r="I185" i="1"/>
  <c r="I297" i="1"/>
  <c r="I343" i="1"/>
  <c r="I145" i="1"/>
  <c r="I223" i="1"/>
  <c r="I237" i="1"/>
  <c r="I172" i="1"/>
  <c r="I164" i="1"/>
  <c r="I143" i="1"/>
  <c r="I157" i="1"/>
  <c r="I150" i="1"/>
  <c r="I158" i="1"/>
  <c r="I182" i="1"/>
  <c r="I293" i="1"/>
  <c r="I177" i="1"/>
  <c r="I253" i="1"/>
  <c r="I121" i="1"/>
  <c r="I175" i="1"/>
  <c r="I326" i="1"/>
  <c r="I170" i="1"/>
  <c r="I156" i="1"/>
  <c r="I269" i="1"/>
  <c r="I317" i="1"/>
  <c r="I315" i="1"/>
  <c r="I318" i="1"/>
  <c r="I221" i="1"/>
  <c r="I319" i="1"/>
  <c r="I180" i="1"/>
  <c r="I193" i="1"/>
  <c r="I166" i="1"/>
  <c r="I342" i="1"/>
  <c r="I264" i="1"/>
  <c r="I287" i="1"/>
  <c r="I235" i="1"/>
  <c r="I240" i="1"/>
  <c r="I186" i="1"/>
  <c r="I151" i="1"/>
  <c r="I191" i="1"/>
  <c r="I123" i="1"/>
  <c r="I310" i="1"/>
  <c r="I148" i="1"/>
  <c r="I311" i="1"/>
  <c r="I167" i="1"/>
  <c r="O167" i="1" s="1"/>
  <c r="I174" i="1"/>
  <c r="I244" i="1"/>
  <c r="I259" i="1"/>
  <c r="I216" i="1"/>
  <c r="I149" i="1"/>
  <c r="I195" i="1"/>
  <c r="I314" i="1"/>
  <c r="I313" i="1"/>
  <c r="I171" i="1"/>
  <c r="I200" i="1"/>
  <c r="I141" i="1"/>
  <c r="I334" i="1"/>
  <c r="I288" i="1"/>
  <c r="I289" i="1"/>
  <c r="I290" i="1"/>
  <c r="I176" i="1"/>
  <c r="I323" i="1"/>
  <c r="I131" i="1"/>
  <c r="I284" i="1"/>
  <c r="I335" i="1"/>
  <c r="I262" i="1"/>
  <c r="I215" i="1"/>
  <c r="I250" i="1"/>
  <c r="I241" i="1"/>
  <c r="I125" i="1"/>
  <c r="I209" i="1"/>
  <c r="I160" i="1"/>
  <c r="I316" i="1"/>
  <c r="I202" i="1"/>
  <c r="I252" i="1"/>
  <c r="I330" i="1"/>
  <c r="I275" i="1"/>
  <c r="I272" i="1"/>
  <c r="I181" i="1"/>
  <c r="I274" i="1"/>
  <c r="I276" i="1"/>
  <c r="I266" i="1"/>
  <c r="I198" i="1"/>
  <c r="I248" i="1"/>
  <c r="I263" i="1"/>
  <c r="I327" i="1"/>
  <c r="I328" i="1"/>
  <c r="I265" i="1"/>
  <c r="I322" i="1"/>
  <c r="I178" i="1"/>
  <c r="I245" i="1"/>
  <c r="I161" i="1"/>
  <c r="I302" i="1"/>
  <c r="I281" i="1"/>
  <c r="I279" i="1"/>
  <c r="I225" i="1"/>
  <c r="I273" i="1"/>
  <c r="I258" i="1"/>
  <c r="I234" i="1"/>
  <c r="I231" i="1"/>
  <c r="I217" i="1"/>
  <c r="I324" i="1"/>
  <c r="I325" i="1"/>
  <c r="I256" i="1"/>
  <c r="I204" i="1"/>
  <c r="I251" i="1"/>
  <c r="I201" i="1"/>
  <c r="I267" i="1"/>
  <c r="I210" i="1"/>
  <c r="I268" i="1"/>
  <c r="I227" i="1"/>
  <c r="I183" i="1"/>
  <c r="I205" i="1"/>
  <c r="I222" i="1"/>
  <c r="I304" i="1"/>
  <c r="I249" i="1"/>
  <c r="I242" i="1"/>
  <c r="I229" i="1"/>
  <c r="I233" i="1"/>
  <c r="I211" i="1"/>
  <c r="I218" i="1"/>
  <c r="I270" i="1"/>
  <c r="I271" i="1"/>
  <c r="I299" i="1"/>
  <c r="I220" i="1"/>
  <c r="I300" i="1"/>
  <c r="I301" i="1"/>
  <c r="I283" i="1"/>
  <c r="I247" i="1"/>
  <c r="I212" i="1"/>
  <c r="I261" i="1"/>
  <c r="I306" i="1"/>
  <c r="I307" i="1"/>
  <c r="I238" i="1"/>
  <c r="I294" i="1"/>
  <c r="I173" i="1"/>
  <c r="I236" i="1"/>
  <c r="I285" i="1"/>
  <c r="I280" i="1"/>
  <c r="I254" i="1"/>
  <c r="I255" i="1"/>
  <c r="I286" i="1"/>
  <c r="I243" i="1"/>
  <c r="I228" i="1"/>
  <c r="I246" i="1"/>
  <c r="I282" i="1"/>
  <c r="I239" i="1"/>
  <c r="I230" i="1"/>
  <c r="I2" i="1"/>
  <c r="O117" i="1" l="1"/>
  <c r="O201" i="1"/>
  <c r="L115" i="1"/>
  <c r="L33" i="1"/>
  <c r="O225" i="1"/>
  <c r="O269" i="1"/>
  <c r="O260" i="1"/>
  <c r="O62" i="1"/>
  <c r="O33" i="1"/>
  <c r="O173" i="1"/>
  <c r="O265" i="1"/>
  <c r="O166" i="1"/>
  <c r="O293" i="1"/>
  <c r="O154" i="1"/>
  <c r="L319" i="1"/>
  <c r="L341" i="1"/>
  <c r="L189" i="1"/>
  <c r="L35" i="1"/>
  <c r="L268" i="1"/>
  <c r="L230" i="1"/>
  <c r="L254" i="1"/>
  <c r="L306" i="1"/>
  <c r="L249" i="1"/>
  <c r="L161" i="1"/>
  <c r="L248" i="1"/>
  <c r="L330" i="1"/>
  <c r="L250" i="1"/>
  <c r="L290" i="1"/>
  <c r="L314" i="1"/>
  <c r="L311" i="1"/>
  <c r="L221" i="1"/>
  <c r="L175" i="1"/>
  <c r="L297" i="1"/>
  <c r="L333" i="1"/>
  <c r="L122" i="1"/>
  <c r="L3" i="1"/>
  <c r="L146" i="1"/>
  <c r="L126" i="1"/>
  <c r="L346" i="1"/>
  <c r="L354" i="1"/>
  <c r="L353" i="1"/>
  <c r="L348" i="1"/>
  <c r="L109" i="1"/>
  <c r="L101" i="1"/>
  <c r="L85" i="1"/>
  <c r="L77" i="1"/>
  <c r="L89" i="1"/>
  <c r="L65" i="1"/>
  <c r="L56" i="1"/>
  <c r="L37" i="1"/>
  <c r="L21" i="1"/>
  <c r="L13" i="1"/>
  <c r="L363" i="1"/>
  <c r="L259" i="1"/>
  <c r="L197" i="1"/>
  <c r="L147" i="1"/>
  <c r="L358" i="1"/>
  <c r="L263" i="1"/>
  <c r="L184" i="1"/>
  <c r="O58" i="1"/>
  <c r="L217" i="1"/>
  <c r="L313" i="1"/>
  <c r="L339" i="1"/>
  <c r="L105" i="1"/>
  <c r="L23" i="1"/>
  <c r="L26" i="1"/>
  <c r="L282" i="1"/>
  <c r="L285" i="1"/>
  <c r="L212" i="1"/>
  <c r="L270" i="1"/>
  <c r="L222" i="1"/>
  <c r="L251" i="1"/>
  <c r="L258" i="1"/>
  <c r="L178" i="1"/>
  <c r="L266" i="1"/>
  <c r="L202" i="1"/>
  <c r="L262" i="1"/>
  <c r="L288" i="1"/>
  <c r="L149" i="1"/>
  <c r="L310" i="1"/>
  <c r="L264" i="1"/>
  <c r="L315" i="1"/>
  <c r="L253" i="1"/>
  <c r="L164" i="1"/>
  <c r="L338" i="1"/>
  <c r="L320" i="1"/>
  <c r="L292" i="1"/>
  <c r="L208" i="1"/>
  <c r="L163" i="1"/>
  <c r="L303" i="1"/>
  <c r="L203" i="1"/>
  <c r="L152" i="1"/>
  <c r="L321" i="1"/>
  <c r="L305" i="1"/>
  <c r="L190" i="1"/>
  <c r="L347" i="1"/>
  <c r="L357" i="1"/>
  <c r="L74" i="1"/>
  <c r="L107" i="1"/>
  <c r="L78" i="1"/>
  <c r="L110" i="1"/>
  <c r="L83" i="1"/>
  <c r="L75" i="1"/>
  <c r="L90" i="1"/>
  <c r="L80" i="1"/>
  <c r="L63" i="1"/>
  <c r="L91" i="1"/>
  <c r="L16" i="1"/>
  <c r="L27" i="1"/>
  <c r="L19" i="1"/>
  <c r="L11" i="1"/>
  <c r="L364" i="1"/>
  <c r="O231" i="1"/>
  <c r="O122" i="1"/>
  <c r="O129" i="1"/>
  <c r="L267" i="1"/>
  <c r="L134" i="1"/>
  <c r="O271" i="1"/>
  <c r="O234" i="1"/>
  <c r="O215" i="1"/>
  <c r="O195" i="1"/>
  <c r="O287" i="1"/>
  <c r="O143" i="1"/>
  <c r="O185" i="1"/>
  <c r="O351" i="1"/>
  <c r="O295" i="1"/>
  <c r="O296" i="1"/>
  <c r="O329" i="1"/>
  <c r="O132" i="1"/>
  <c r="O359" i="1"/>
  <c r="O108" i="1"/>
  <c r="O51" i="1"/>
  <c r="O84" i="1"/>
  <c r="O94" i="1"/>
  <c r="O60" i="1"/>
  <c r="O6" i="1"/>
  <c r="L234" i="1"/>
  <c r="L108" i="1"/>
  <c r="O75" i="1"/>
  <c r="O90" i="1"/>
  <c r="O80" i="1"/>
  <c r="L236" i="1"/>
  <c r="O334" i="1"/>
  <c r="O342" i="1"/>
  <c r="O317" i="1"/>
  <c r="O177" i="1"/>
  <c r="L120" i="1"/>
  <c r="L113" i="1"/>
  <c r="L29" i="1"/>
  <c r="O274" i="1"/>
  <c r="O284" i="1"/>
  <c r="O237" i="1"/>
  <c r="O337" i="1"/>
  <c r="O115" i="1"/>
  <c r="O207" i="1"/>
  <c r="O153" i="1"/>
  <c r="L283" i="1"/>
  <c r="L211" i="1"/>
  <c r="L141" i="1"/>
  <c r="L269" i="1"/>
  <c r="L187" i="1"/>
  <c r="L68" i="1"/>
  <c r="L32" i="1"/>
  <c r="L9" i="1"/>
  <c r="L34" i="1"/>
  <c r="L325" i="1"/>
  <c r="L279" i="1"/>
  <c r="L209" i="1"/>
  <c r="L151" i="1"/>
  <c r="L193" i="1"/>
  <c r="L182" i="1"/>
  <c r="L312" i="1"/>
  <c r="L278" i="1"/>
  <c r="L140" i="1"/>
  <c r="L119" i="1"/>
  <c r="L136" i="1"/>
  <c r="L66" i="1"/>
  <c r="L99" i="1"/>
  <c r="L365" i="1"/>
  <c r="L360" i="1"/>
  <c r="L143" i="1"/>
  <c r="L351" i="1"/>
  <c r="L40" i="1"/>
  <c r="O31" i="1"/>
  <c r="O40" i="1"/>
  <c r="O10" i="1"/>
  <c r="O7" i="1"/>
  <c r="L238" i="1"/>
  <c r="L229" i="1"/>
  <c r="L281" i="1"/>
  <c r="L127" i="1"/>
  <c r="O14" i="1"/>
  <c r="L233" i="1"/>
  <c r="L287" i="1"/>
  <c r="L111" i="1"/>
  <c r="O228" i="1"/>
  <c r="O283" i="1"/>
  <c r="L219" i="1"/>
  <c r="L162" i="1"/>
  <c r="L30" i="1"/>
  <c r="L228" i="1"/>
  <c r="L158" i="1"/>
  <c r="L94" i="1"/>
  <c r="O286" i="1"/>
  <c r="O238" i="1"/>
  <c r="O300" i="1"/>
  <c r="O229" i="1"/>
  <c r="O268" i="1"/>
  <c r="O324" i="1"/>
  <c r="O281" i="1"/>
  <c r="O327" i="1"/>
  <c r="O272" i="1"/>
  <c r="O125" i="1"/>
  <c r="O323" i="1"/>
  <c r="O171" i="1"/>
  <c r="O174" i="1"/>
  <c r="O186" i="1"/>
  <c r="O180" i="1"/>
  <c r="O170" i="1"/>
  <c r="O158" i="1"/>
  <c r="O145" i="1"/>
  <c r="O308" i="1"/>
  <c r="O277" i="1"/>
  <c r="O332" i="1"/>
  <c r="O219" i="1"/>
  <c r="O155" i="1"/>
  <c r="O137" i="1"/>
  <c r="O111" i="1"/>
  <c r="O162" i="1"/>
  <c r="O139" i="1"/>
  <c r="O196" i="1"/>
  <c r="O133" i="1"/>
  <c r="O127" i="1"/>
  <c r="O345" i="1"/>
  <c r="O93" i="1"/>
  <c r="O100" i="1"/>
  <c r="O95" i="1"/>
  <c r="O98" i="1"/>
  <c r="O79" i="1"/>
  <c r="O71" i="1"/>
  <c r="O87" i="1"/>
  <c r="O53" i="1"/>
  <c r="O47" i="1"/>
  <c r="O30" i="1"/>
  <c r="L272" i="1"/>
  <c r="L44" i="1"/>
  <c r="O2" i="1"/>
  <c r="O255" i="1"/>
  <c r="O307" i="1"/>
  <c r="O220" i="1"/>
  <c r="O242" i="1"/>
  <c r="O210" i="1"/>
  <c r="O217" i="1"/>
  <c r="O302" i="1"/>
  <c r="O263" i="1"/>
  <c r="O275" i="1"/>
  <c r="O241" i="1"/>
  <c r="O176" i="1"/>
  <c r="O313" i="1"/>
  <c r="O240" i="1"/>
  <c r="O319" i="1"/>
  <c r="O326" i="1"/>
  <c r="O150" i="1"/>
  <c r="O343" i="1"/>
  <c r="O341" i="1"/>
  <c r="O159" i="1"/>
  <c r="O331" i="1"/>
  <c r="O124" i="1"/>
  <c r="O336" i="1"/>
  <c r="O189" i="1"/>
  <c r="O165" i="1"/>
  <c r="O213" i="1"/>
  <c r="O339" i="1"/>
  <c r="O105" i="1"/>
  <c r="O92" i="1"/>
  <c r="O344" i="1"/>
  <c r="O5" i="1"/>
  <c r="O356" i="1"/>
  <c r="O102" i="1"/>
  <c r="O36" i="1"/>
  <c r="O86" i="1"/>
  <c r="O35" i="1"/>
  <c r="O88" i="1"/>
  <c r="O72" i="1"/>
  <c r="O54" i="1"/>
  <c r="O23" i="1"/>
  <c r="O26" i="1"/>
  <c r="O42" i="1"/>
  <c r="O22" i="1"/>
  <c r="L201" i="1"/>
  <c r="L169" i="1"/>
  <c r="L296" i="1"/>
  <c r="O50" i="1"/>
  <c r="L50" i="1"/>
  <c r="L173" i="1"/>
  <c r="L87" i="1"/>
  <c r="O230" i="1"/>
  <c r="O254" i="1"/>
  <c r="O306" i="1"/>
  <c r="O299" i="1"/>
  <c r="O249" i="1"/>
  <c r="O267" i="1"/>
  <c r="O161" i="1"/>
  <c r="O248" i="1"/>
  <c r="O330" i="1"/>
  <c r="O250" i="1"/>
  <c r="O290" i="1"/>
  <c r="O314" i="1"/>
  <c r="O311" i="1"/>
  <c r="O235" i="1"/>
  <c r="O221" i="1"/>
  <c r="O175" i="1"/>
  <c r="O157" i="1"/>
  <c r="O297" i="1"/>
  <c r="O333" i="1"/>
  <c r="O298" i="1"/>
  <c r="O3" i="1"/>
  <c r="O146" i="1"/>
  <c r="O126" i="1"/>
  <c r="O346" i="1"/>
  <c r="O354" i="1"/>
  <c r="O353" i="1"/>
  <c r="O348" i="1"/>
  <c r="O116" i="1"/>
  <c r="O358" i="1"/>
  <c r="O109" i="1"/>
  <c r="O101" i="1"/>
  <c r="O49" i="1"/>
  <c r="O85" i="1"/>
  <c r="O77" i="1"/>
  <c r="O89" i="1"/>
  <c r="O52" i="1"/>
  <c r="O65" i="1"/>
  <c r="O56" i="1"/>
  <c r="O37" i="1"/>
  <c r="O34" i="1"/>
  <c r="O21" i="1"/>
  <c r="O13" i="1"/>
  <c r="O363" i="1"/>
  <c r="L300" i="1"/>
  <c r="L327" i="1"/>
  <c r="L323" i="1"/>
  <c r="L174" i="1"/>
  <c r="L170" i="1"/>
  <c r="L332" i="1"/>
  <c r="L137" i="1"/>
  <c r="L133" i="1"/>
  <c r="L100" i="1"/>
  <c r="L95" i="1"/>
  <c r="L71" i="1"/>
  <c r="L53" i="1"/>
  <c r="O184" i="1"/>
  <c r="O4" i="1"/>
  <c r="O236" i="1"/>
  <c r="L322" i="1"/>
  <c r="O322" i="1"/>
  <c r="L188" i="1"/>
  <c r="L150" i="1"/>
  <c r="L343" i="1"/>
  <c r="L124" i="1"/>
  <c r="L344" i="1"/>
  <c r="L86" i="1"/>
  <c r="L58" i="1"/>
  <c r="L42" i="1"/>
  <c r="L5" i="1"/>
  <c r="O266" i="1"/>
  <c r="L183" i="1"/>
  <c r="L256" i="1"/>
  <c r="L225" i="1"/>
  <c r="L274" i="1"/>
  <c r="L160" i="1"/>
  <c r="L284" i="1"/>
  <c r="L191" i="1"/>
  <c r="L237" i="1"/>
  <c r="L309" i="1"/>
  <c r="L192" i="1"/>
  <c r="L168" i="1"/>
  <c r="L260" i="1"/>
  <c r="L337" i="1"/>
  <c r="L207" i="1"/>
  <c r="L153" i="1"/>
  <c r="L61" i="1"/>
  <c r="L103" i="1"/>
  <c r="L81" i="1"/>
  <c r="L73" i="1"/>
  <c r="L57" i="1"/>
  <c r="L62" i="1"/>
  <c r="L41" i="1"/>
  <c r="L25" i="1"/>
  <c r="L17" i="1"/>
  <c r="L299" i="1"/>
  <c r="L157" i="1"/>
  <c r="L298" i="1"/>
  <c r="L49" i="1"/>
  <c r="L166" i="1"/>
  <c r="O282" i="1"/>
  <c r="O285" i="1"/>
  <c r="O212" i="1"/>
  <c r="O270" i="1"/>
  <c r="O222" i="1"/>
  <c r="O251" i="1"/>
  <c r="O258" i="1"/>
  <c r="O178" i="1"/>
  <c r="O202" i="1"/>
  <c r="O262" i="1"/>
  <c r="O288" i="1"/>
  <c r="O149" i="1"/>
  <c r="O310" i="1"/>
  <c r="O264" i="1"/>
  <c r="O315" i="1"/>
  <c r="O253" i="1"/>
  <c r="O164" i="1"/>
  <c r="O338" i="1"/>
  <c r="O320" i="1"/>
  <c r="O292" i="1"/>
  <c r="O208" i="1"/>
  <c r="O163" i="1"/>
  <c r="O303" i="1"/>
  <c r="O203" i="1"/>
  <c r="O152" i="1"/>
  <c r="O321" i="1"/>
  <c r="O305" i="1"/>
  <c r="O190" i="1"/>
  <c r="O347" i="1"/>
  <c r="O357" i="1"/>
  <c r="O74" i="1"/>
  <c r="O107" i="1"/>
  <c r="O78" i="1"/>
  <c r="O110" i="1"/>
  <c r="O83" i="1"/>
  <c r="O63" i="1"/>
  <c r="O91" i="1"/>
  <c r="O16" i="1"/>
  <c r="O27" i="1"/>
  <c r="O19" i="1"/>
  <c r="O11" i="1"/>
  <c r="L60" i="1"/>
  <c r="L154" i="1"/>
  <c r="O160" i="1"/>
  <c r="O134" i="1"/>
  <c r="O32" i="1"/>
  <c r="O57" i="1"/>
  <c r="O41" i="1"/>
  <c r="O25" i="1"/>
  <c r="L265" i="1"/>
  <c r="L293" i="1"/>
  <c r="L334" i="1"/>
  <c r="L275" i="1"/>
  <c r="O246" i="1"/>
  <c r="L246" i="1"/>
  <c r="O247" i="1"/>
  <c r="L247" i="1"/>
  <c r="O218" i="1"/>
  <c r="L218" i="1"/>
  <c r="L205" i="1"/>
  <c r="L204" i="1"/>
  <c r="O204" i="1"/>
  <c r="O273" i="1"/>
  <c r="L273" i="1"/>
  <c r="L276" i="1"/>
  <c r="O276" i="1"/>
  <c r="L316" i="1"/>
  <c r="O316" i="1"/>
  <c r="O335" i="1"/>
  <c r="L335" i="1"/>
  <c r="L216" i="1"/>
  <c r="L123" i="1"/>
  <c r="O123" i="1"/>
  <c r="L342" i="1"/>
  <c r="L317" i="1"/>
  <c r="L177" i="1"/>
  <c r="L172" i="1"/>
  <c r="O172" i="1"/>
  <c r="O118" i="1"/>
  <c r="L118" i="1"/>
  <c r="O138" i="1"/>
  <c r="L138" i="1"/>
  <c r="L194" i="1"/>
  <c r="O194" i="1"/>
  <c r="O206" i="1"/>
  <c r="L206" i="1"/>
  <c r="O257" i="1"/>
  <c r="L257" i="1"/>
  <c r="O120" i="1"/>
  <c r="L350" i="1"/>
  <c r="O350" i="1"/>
  <c r="O232" i="1"/>
  <c r="L232" i="1"/>
  <c r="O128" i="1"/>
  <c r="L128" i="1"/>
  <c r="L340" i="1"/>
  <c r="L130" i="1"/>
  <c r="O130" i="1"/>
  <c r="L349" i="1"/>
  <c r="O349" i="1"/>
  <c r="O114" i="1"/>
  <c r="L114" i="1"/>
  <c r="O113" i="1"/>
  <c r="L43" i="1"/>
  <c r="O43" i="1"/>
  <c r="O38" i="1"/>
  <c r="L38" i="1"/>
  <c r="O82" i="1"/>
  <c r="L82" i="1"/>
  <c r="L104" i="1"/>
  <c r="O29" i="1"/>
  <c r="L70" i="1"/>
  <c r="O70" i="1"/>
  <c r="L76" i="1"/>
  <c r="O76" i="1"/>
  <c r="O46" i="1"/>
  <c r="L46" i="1"/>
  <c r="L362" i="1"/>
  <c r="O362" i="1"/>
  <c r="O18" i="1"/>
  <c r="L18" i="1"/>
  <c r="O24" i="1"/>
  <c r="L24" i="1"/>
  <c r="L12" i="1"/>
  <c r="L326" i="1"/>
  <c r="L159" i="1"/>
  <c r="L165" i="1"/>
  <c r="L213" i="1"/>
  <c r="L102" i="1"/>
  <c r="L36" i="1"/>
  <c r="L72" i="1"/>
  <c r="L54" i="1"/>
  <c r="L240" i="1"/>
  <c r="L243" i="1"/>
  <c r="L227" i="1"/>
  <c r="L328" i="1"/>
  <c r="L181" i="1"/>
  <c r="L131" i="1"/>
  <c r="L200" i="1"/>
  <c r="L244" i="1"/>
  <c r="L156" i="1"/>
  <c r="L223" i="1"/>
  <c r="L142" i="1"/>
  <c r="L179" i="1"/>
  <c r="L352" i="1"/>
  <c r="L214" i="1"/>
  <c r="L199" i="1"/>
  <c r="L67" i="1"/>
  <c r="L291" i="1"/>
  <c r="L144" i="1"/>
  <c r="L112" i="1"/>
  <c r="L59" i="1"/>
  <c r="L96" i="1"/>
  <c r="L97" i="1"/>
  <c r="L64" i="1"/>
  <c r="L361" i="1"/>
  <c r="L48" i="1"/>
  <c r="L69" i="1"/>
  <c r="L15" i="1"/>
  <c r="L8" i="1"/>
  <c r="L294" i="1"/>
  <c r="L84" i="1"/>
  <c r="L301" i="1"/>
  <c r="L215" i="1"/>
  <c r="L6" i="1"/>
  <c r="O239" i="1"/>
  <c r="L239" i="1"/>
  <c r="L280" i="1"/>
  <c r="O280" i="1"/>
  <c r="O261" i="1"/>
  <c r="L261" i="1"/>
  <c r="O304" i="1"/>
  <c r="L304" i="1"/>
  <c r="L245" i="1"/>
  <c r="O198" i="1"/>
  <c r="L198" i="1"/>
  <c r="O252" i="1"/>
  <c r="L252" i="1"/>
  <c r="L289" i="1"/>
  <c r="O289" i="1"/>
  <c r="L195" i="1"/>
  <c r="O148" i="1"/>
  <c r="L148" i="1"/>
  <c r="L318" i="1"/>
  <c r="O318" i="1"/>
  <c r="O121" i="1"/>
  <c r="L121" i="1"/>
  <c r="L224" i="1"/>
  <c r="O224" i="1"/>
  <c r="L295" i="1"/>
  <c r="O135" i="1"/>
  <c r="L135" i="1"/>
  <c r="O106" i="1"/>
  <c r="L106" i="1"/>
  <c r="O226" i="1"/>
  <c r="L226" i="1"/>
  <c r="L329" i="1"/>
  <c r="L132" i="1"/>
  <c r="L117" i="1"/>
  <c r="L359" i="1"/>
  <c r="O355" i="1"/>
  <c r="L355" i="1"/>
  <c r="O55" i="1"/>
  <c r="L55" i="1"/>
  <c r="L39" i="1"/>
  <c r="O39" i="1"/>
  <c r="O45" i="1"/>
  <c r="L45" i="1"/>
  <c r="O28" i="1"/>
  <c r="L28" i="1"/>
  <c r="L20" i="1"/>
  <c r="L4" i="1"/>
  <c r="L185" i="1"/>
  <c r="L31" i="1"/>
  <c r="O169" i="1"/>
  <c r="L286" i="1"/>
  <c r="L271" i="1"/>
  <c r="L51" i="1"/>
  <c r="O245" i="1"/>
  <c r="O20" i="1"/>
  <c r="O61" i="1"/>
  <c r="O103" i="1"/>
  <c r="L171" i="1"/>
  <c r="L277" i="1"/>
  <c r="L196" i="1"/>
  <c r="L79" i="1"/>
  <c r="L10" i="1"/>
  <c r="L302" i="1"/>
  <c r="L176" i="1"/>
  <c r="L180" i="1"/>
  <c r="L308" i="1"/>
  <c r="L93" i="1"/>
  <c r="L7" i="1"/>
  <c r="O205" i="1"/>
  <c r="O216" i="1"/>
  <c r="O188" i="1"/>
  <c r="O340" i="1"/>
  <c r="O104" i="1"/>
  <c r="O12" i="1"/>
  <c r="O183" i="1"/>
  <c r="O309" i="1"/>
  <c r="L2" i="1"/>
  <c r="L255" i="1"/>
  <c r="L307" i="1"/>
  <c r="L220" i="1"/>
  <c r="L242" i="1"/>
  <c r="L210" i="1"/>
  <c r="L167" i="1"/>
  <c r="L331" i="1"/>
  <c r="L92" i="1"/>
  <c r="L88" i="1"/>
  <c r="L22" i="1"/>
  <c r="L324" i="1"/>
  <c r="L125" i="1"/>
  <c r="L155" i="1"/>
  <c r="L139" i="1"/>
  <c r="L356" i="1"/>
  <c r="L47" i="1"/>
  <c r="O211" i="1"/>
  <c r="O256" i="1"/>
  <c r="O141" i="1"/>
  <c r="O259" i="1"/>
  <c r="O191" i="1"/>
  <c r="O192" i="1"/>
  <c r="O187" i="1"/>
  <c r="O168" i="1"/>
  <c r="O197" i="1"/>
  <c r="O147" i="1"/>
  <c r="O68" i="1"/>
  <c r="O81" i="1"/>
  <c r="O73" i="1"/>
  <c r="O44" i="1"/>
  <c r="O17" i="1"/>
  <c r="O9" i="1"/>
  <c r="L231" i="1"/>
  <c r="L235" i="1"/>
  <c r="L129" i="1"/>
  <c r="L116" i="1"/>
  <c r="L52" i="1"/>
  <c r="L241" i="1"/>
  <c r="L186" i="1"/>
  <c r="L145" i="1"/>
  <c r="L336" i="1"/>
  <c r="L345" i="1"/>
  <c r="L98" i="1"/>
  <c r="L14" i="1"/>
  <c r="O243" i="1"/>
  <c r="O294" i="1"/>
  <c r="O301" i="1"/>
  <c r="O233" i="1"/>
  <c r="O227" i="1"/>
  <c r="O325" i="1"/>
  <c r="O279" i="1"/>
  <c r="O328" i="1"/>
  <c r="O181" i="1"/>
  <c r="O209" i="1"/>
  <c r="O131" i="1"/>
  <c r="O200" i="1"/>
  <c r="O244" i="1"/>
  <c r="O151" i="1"/>
  <c r="O193" i="1"/>
  <c r="O156" i="1"/>
  <c r="O182" i="1"/>
  <c r="O223" i="1"/>
  <c r="O312" i="1"/>
  <c r="O278" i="1"/>
  <c r="O140" i="1"/>
  <c r="O142" i="1"/>
  <c r="O179" i="1"/>
  <c r="O352" i="1"/>
  <c r="O214" i="1"/>
  <c r="O199" i="1"/>
  <c r="O67" i="1"/>
  <c r="O119" i="1"/>
  <c r="O136" i="1"/>
  <c r="O291" i="1"/>
  <c r="O144" i="1"/>
  <c r="O112" i="1"/>
  <c r="O59" i="1"/>
  <c r="O96" i="1"/>
  <c r="O66" i="1"/>
  <c r="O99" i="1"/>
  <c r="O97" i="1"/>
  <c r="O64" i="1"/>
  <c r="O361" i="1"/>
  <c r="O48" i="1"/>
  <c r="O69" i="1"/>
  <c r="O15" i="1"/>
  <c r="O360" i="1"/>
  <c r="O8" i="1"/>
</calcChain>
</file>

<file path=xl/sharedStrings.xml><?xml version="1.0" encoding="utf-8"?>
<sst xmlns="http://schemas.openxmlformats.org/spreadsheetml/2006/main" count="1605" uniqueCount="488">
  <si>
    <t>Auction name</t>
  </si>
  <si>
    <t>LotNumber</t>
  </si>
  <si>
    <t>Quantity</t>
  </si>
  <si>
    <t>Title</t>
  </si>
  <si>
    <t>Vendor Code</t>
  </si>
  <si>
    <t>Retail Price</t>
  </si>
  <si>
    <t>cost</t>
  </si>
  <si>
    <t>cost price</t>
  </si>
  <si>
    <t>Retail price</t>
  </si>
  <si>
    <t>% min pr (+10%)</t>
  </si>
  <si>
    <t>min price</t>
  </si>
  <si>
    <t>Sugarland20_AS_01_21</t>
  </si>
  <si>
    <t>271m</t>
  </si>
  <si>
    <t>Jenn-Air JJW3430DP 30" Wall Oven, 5 cu ft (W3)</t>
  </si>
  <si>
    <t>ATXSUGAR</t>
  </si>
  <si>
    <t>Best Buy</t>
  </si>
  <si>
    <t>Sugarland20_RG_01_21</t>
  </si>
  <si>
    <t>366m</t>
  </si>
  <si>
    <t>800 Series 36 in. Induction Cooktop Black-(W3)</t>
  </si>
  <si>
    <t>Sugarland20_GP_01_21</t>
  </si>
  <si>
    <t>17m</t>
  </si>
  <si>
    <t>3-Panel Black Clear Glass Room Dividers</t>
  </si>
  <si>
    <t>mech</t>
  </si>
  <si>
    <t>3m</t>
  </si>
  <si>
    <t>Mystery Pallet</t>
  </si>
  <si>
    <t>PDX7</t>
  </si>
  <si>
    <t>Sugarland20_CR_01_21</t>
  </si>
  <si>
    <t>500m</t>
  </si>
  <si>
    <t>GE Profile 27 in. Electric Wall Oven - (W3)</t>
  </si>
  <si>
    <t>480m</t>
  </si>
  <si>
    <t>GE 27 in. Smart Double Wall Oven</t>
  </si>
  <si>
    <t>27m</t>
  </si>
  <si>
    <t>Thermador Dishwasher</t>
  </si>
  <si>
    <t>8m</t>
  </si>
  <si>
    <t>Legends Furniture 84" Joshua Creek Console (AE)</t>
  </si>
  <si>
    <t>Wayfair</t>
  </si>
  <si>
    <t>387m</t>
  </si>
  <si>
    <t>Thermador Masterpiece 36 in. Radiant Cooktop Black</t>
  </si>
  <si>
    <t>171m</t>
  </si>
  <si>
    <t>Bosch 500 24-in Self-Cleaning Wall Oven SS (W3)</t>
  </si>
  <si>
    <t>701m</t>
  </si>
  <si>
    <t>Samsung NA36N9755TM/AA 36" Chef Gas Cooktop - (W3)</t>
  </si>
  <si>
    <t>367m</t>
  </si>
  <si>
    <t>Zephr Siena Pro 48 in Wall Mount Range Hood (W3)</t>
  </si>
  <si>
    <t>76m</t>
  </si>
  <si>
    <t>Bosch 800 Series 30" Downdraft, Stainless-(W3)</t>
  </si>
  <si>
    <t>296m</t>
  </si>
  <si>
    <t>LG 5.2 cu ft Front Load Washer, ENERGY STAR-(W3)</t>
  </si>
  <si>
    <t>20m</t>
  </si>
  <si>
    <t>Pavanjit 67"x32" Freestanding Bathtub (AE)</t>
  </si>
  <si>
    <t>276m</t>
  </si>
  <si>
    <t>GE 30 in. Electric Wall Oven, Self-Cleaning, Slate</t>
  </si>
  <si>
    <t>111m</t>
  </si>
  <si>
    <t>GE 27 in. Electric Wall Oven, Steam Self-Cleaning</t>
  </si>
  <si>
    <t>2m</t>
  </si>
  <si>
    <t>Segway E-kickscooter G2 (A)</t>
  </si>
  <si>
    <t>best buy</t>
  </si>
  <si>
    <t>316m</t>
  </si>
  <si>
    <t>Whirlpool 36" Stainless 5-Burner Gas Cooktop-(W3)</t>
  </si>
  <si>
    <t>136m</t>
  </si>
  <si>
    <t>Venezia 36" Convertible Wall Hood with LEDs-(W3)</t>
  </si>
  <si>
    <t>384m</t>
  </si>
  <si>
    <t>GE 5.0 cu. ft. Smart Front-Load Steam Washer</t>
  </si>
  <si>
    <t>186m</t>
  </si>
  <si>
    <t>Whirlpool 30 in. Single Electric Wall Oven   Black</t>
  </si>
  <si>
    <t>161m</t>
  </si>
  <si>
    <t>LG Top Control Dishwasher Black Stainless TrueStea</t>
  </si>
  <si>
    <t>141m</t>
  </si>
  <si>
    <t>Studio 36 in. Smart Wall Mount Hood 600 CFM-(W3)</t>
  </si>
  <si>
    <t>551m</t>
  </si>
  <si>
    <t>Samsung DW80M9960US Premium Plus Dishwasher - (W3)</t>
  </si>
  <si>
    <t>206m</t>
  </si>
  <si>
    <t>Whynter BWR-1662SD 166 Wine Refrigerator - (W3)</t>
  </si>
  <si>
    <t>691m</t>
  </si>
  <si>
    <t>Whirlpool 7.4 cu ft 240V Stackable uChrome Dryer</t>
  </si>
  <si>
    <t>666m</t>
  </si>
  <si>
    <t>LG 7.4 cu. ft. Gas Dryer with Sensor Dry - (W3)</t>
  </si>
  <si>
    <t>460m</t>
  </si>
  <si>
    <t>Frigidaire 30" 5.3 cu. ft Self-Cleaning Convection</t>
  </si>
  <si>
    <t>11m</t>
  </si>
  <si>
    <t>36 in. Telescopic Downdraft System in Stainless St</t>
  </si>
  <si>
    <t>452m</t>
  </si>
  <si>
    <t>30 in. Smart Wall Oven, Self-Cleaning</t>
  </si>
  <si>
    <t>322m</t>
  </si>
  <si>
    <t>Caf  1.7 cu. ft. Over-the-Range Microwave (Black S</t>
  </si>
  <si>
    <t>21m</t>
  </si>
  <si>
    <t>Mixed Pallet Blinds and Misc Items - W3</t>
  </si>
  <si>
    <t>181m</t>
  </si>
  <si>
    <t>GE 1.7 cu. ft. Over-the-Range Convection Microwave</t>
  </si>
  <si>
    <t>281m</t>
  </si>
  <si>
    <t>GE 1.7 cu ft Over-the-Range Microwave (W3)</t>
  </si>
  <si>
    <t>286m</t>
  </si>
  <si>
    <t>321m</t>
  </si>
  <si>
    <t>LG 7.4-cu ft Stackable Gas Dryer</t>
  </si>
  <si>
    <t>432m</t>
  </si>
  <si>
    <t>LG 30 in Smart Wall Mount Hood with LED (W3)</t>
  </si>
  <si>
    <t>437m</t>
  </si>
  <si>
    <t>447m</t>
  </si>
  <si>
    <t>Kohler 60x42 in. Soaking Tub, Right Drain (W3)</t>
  </si>
  <si>
    <t>196m</t>
  </si>
  <si>
    <t>GE 7.4 cu ft 120V White Gas Vented Dryer ENERGY ST</t>
  </si>
  <si>
    <t>800m</t>
  </si>
  <si>
    <t>Whirlpool 7.4-cu ft Stackable Electric Dryer (Whit</t>
  </si>
  <si>
    <t>306m</t>
  </si>
  <si>
    <t>30 in. Electric Cooktop, Black, 5 Elements-(W3)</t>
  </si>
  <si>
    <t>266m</t>
  </si>
  <si>
    <t>7.5 cu.ft. Vented Front Load Dryer, White (W3)</t>
  </si>
  <si>
    <t>71m</t>
  </si>
  <si>
    <t>Samsung StormWash 24-in Dishwasher - W3</t>
  </si>
  <si>
    <t>116m</t>
  </si>
  <si>
    <t>Maytag 24 in Top-Control Tall Tub Dishwasher Black</t>
  </si>
  <si>
    <t>32m</t>
  </si>
  <si>
    <t>LG SideKick 1.0Cu ft Pedestal Washer 3-Motion (B)</t>
  </si>
  <si>
    <t>121m</t>
  </si>
  <si>
    <t>36 in. Smart Range Hood with Light, Stainless (W3)</t>
  </si>
  <si>
    <t>131m</t>
  </si>
  <si>
    <t>Architect Series II Dishwasher, White-(W3)</t>
  </si>
  <si>
    <t>55m</t>
  </si>
  <si>
    <t>Samsung 7.5 cubic Ft gas dryer</t>
  </si>
  <si>
    <t>900m</t>
  </si>
  <si>
    <t>LG DLEX3370W 7.4 cu ft SteamDryer NFC White - (W3)</t>
  </si>
  <si>
    <t>383m</t>
  </si>
  <si>
    <t>Whirlpool WRT311FZDW06 20.5 Cubic Fridge - (MD)</t>
  </si>
  <si>
    <t>191m</t>
  </si>
  <si>
    <t>Electrolux 30" Over-the-Range Convection Microwave</t>
  </si>
  <si>
    <t>357m</t>
  </si>
  <si>
    <t>Bosch 500 30-in 4-Burner Gas Cooktop (W3)</t>
  </si>
  <si>
    <t>332m</t>
  </si>
  <si>
    <t>LG Sidekick 1-cu ft 29-in Pedestal Washer (W3)</t>
  </si>
  <si>
    <t>156m</t>
  </si>
  <si>
    <t>Whirlpool 30" 4-Burner Gas Cooktop (W3)</t>
  </si>
  <si>
    <t>46m</t>
  </si>
  <si>
    <t>30 in. 4-Burner Recessed Gas Cooktop White-(W3)</t>
  </si>
  <si>
    <t>91m</t>
  </si>
  <si>
    <t>146m</t>
  </si>
  <si>
    <t>81m</t>
  </si>
  <si>
    <t>Whirlpool 30 in. 4-Burner Recessed Gas Cooktop (W3</t>
  </si>
  <si>
    <t>221m</t>
  </si>
  <si>
    <t>Whirlpool 30 in. 4-Burner Gas Cooktop Black SpeedH</t>
  </si>
  <si>
    <t>96m</t>
  </si>
  <si>
    <t>327m</t>
  </si>
  <si>
    <t>Bosch 500 24-in Convertible Hood with Filter (W3)</t>
  </si>
  <si>
    <t>24m</t>
  </si>
  <si>
    <t>24 in. Front-Control Dishwasher, White, 50 dBA</t>
  </si>
  <si>
    <t>166m</t>
  </si>
  <si>
    <t>Frigidaire 24 in. Top Control Tall Tub Dishwasher</t>
  </si>
  <si>
    <t>231m</t>
  </si>
  <si>
    <t>Fisher Paykel DD24SCTX9 24" Tall DishDrawer Dishwa</t>
  </si>
  <si>
    <t>377m</t>
  </si>
  <si>
    <t>Whirlpool 36" Gas Cooktop, Stainless (W3)</t>
  </si>
  <si>
    <t>246m</t>
  </si>
  <si>
    <t>Avanti Beverage Cooler - SS &amp; Glass-(W3)</t>
  </si>
  <si>
    <t>261m</t>
  </si>
  <si>
    <t>600 CFM Integral Blower-(W3)</t>
  </si>
  <si>
    <t>490m</t>
  </si>
  <si>
    <t>Samsung 6.3 cu.ft. 5-Burner Electric Range</t>
  </si>
  <si>
    <t>15m</t>
  </si>
  <si>
    <t>Windster 30-in Ducted 503-CFM Hood</t>
  </si>
  <si>
    <t>201m</t>
  </si>
  <si>
    <t>GE Front Control Tall Tub Dishwasher in White - (W</t>
  </si>
  <si>
    <t>333m</t>
  </si>
  <si>
    <t>Crowe Hand Loomed Wool Sage Area Rug - Rug Size: R</t>
  </si>
  <si>
    <t>317m</t>
  </si>
  <si>
    <t>Midnight Chase Lounge-(DE)</t>
  </si>
  <si>
    <t>Devontaye 3-Light Square / Rectangle Chandelier Ki</t>
  </si>
  <si>
    <t>397m</t>
  </si>
  <si>
    <t>Tuscany Ivory 6 ft. x 9 ft. Indoor Rug (W2)</t>
  </si>
  <si>
    <t>211m</t>
  </si>
  <si>
    <t>Bosch SHS5AV56UC 24" Dishwasher - (W3)</t>
  </si>
  <si>
    <t>392m</t>
  </si>
  <si>
    <t>Pivot Frameless Shower Door, Matte Black 60x71 (D)</t>
  </si>
  <si>
    <t>502m</t>
  </si>
  <si>
    <t>Mirage Hand Loomed Viscose Solid Color Rug - Rug S</t>
  </si>
  <si>
    <t>347m</t>
  </si>
  <si>
    <t>Bosch Recirc Module for Downdraft Systems (W3)</t>
  </si>
  <si>
    <t>159m</t>
  </si>
  <si>
    <t>Wood Table Top</t>
  </si>
  <si>
    <t>301m</t>
  </si>
  <si>
    <t>Samsung 30" Over-the-Range Microwave, 1.9 cu ft, B</t>
  </si>
  <si>
    <t>36m</t>
  </si>
  <si>
    <t>GE Profile Spacemaker 1.9 cu ft OTR Microwave Whit</t>
  </si>
  <si>
    <t>422m</t>
  </si>
  <si>
    <t>GE Profile 2.2 cu ft 1100W Smart Microwave, Gray (</t>
  </si>
  <si>
    <t>427m</t>
  </si>
  <si>
    <t>380m</t>
  </si>
  <si>
    <t>Profile 24 2.2 cu ft Built-In Microwave Oven</t>
  </si>
  <si>
    <t>226m</t>
  </si>
  <si>
    <t>GE 36 in. Coil Electric Cooktop with 4 Elements -(</t>
  </si>
  <si>
    <t>311m</t>
  </si>
  <si>
    <t>Samsung Bespoke 1.9 cu ft Over-the-Range Microwave</t>
  </si>
  <si>
    <t>337m</t>
  </si>
  <si>
    <t>Frigidaire Gallery 2.2-cu ft Microwave with Sensor</t>
  </si>
  <si>
    <t>442m</t>
  </si>
  <si>
    <t>GE Profile 2.2 cu ft 1100W Smart Microwave, Black</t>
  </si>
  <si>
    <t>651m</t>
  </si>
  <si>
    <t>Maytag MEDC215EW-WW 7.0 CuFt Electric Dryer - (W3)</t>
  </si>
  <si>
    <t>331m</t>
  </si>
  <si>
    <t>SPT 10,000 BTU Portable AC with Heater-(W3)</t>
  </si>
  <si>
    <t>12m</t>
  </si>
  <si>
    <t>14000 BTU AC for Rooms up to 700 Sq. Ft-(W3)</t>
  </si>
  <si>
    <t>Vero Gold 8" Widespread Faucet Bronze</t>
  </si>
  <si>
    <t>372m</t>
  </si>
  <si>
    <t>Windster Hood 36" Convertible Hood - Steel (W3)</t>
  </si>
  <si>
    <t>176m</t>
  </si>
  <si>
    <t>Samsung DW80F600UTS/AA Built-in Dishwasher-(W3)</t>
  </si>
  <si>
    <t>Folding Dough Rolling Machine, Manual Sheeter</t>
  </si>
  <si>
    <t>Amazon Bstock</t>
  </si>
  <si>
    <t>66m</t>
  </si>
  <si>
    <t>Samsung Over-the-Range Microwave with Sensor Cook-</t>
  </si>
  <si>
    <t>601m</t>
  </si>
  <si>
    <t>Safavieh Natura Reba Rug 6x9ft - (W2)</t>
  </si>
  <si>
    <t>218m</t>
  </si>
  <si>
    <t>Samsung 30 in Wall Mount Range Hood with LED Light</t>
  </si>
  <si>
    <t>250m</t>
  </si>
  <si>
    <t>SAMSUNG HW-S60D 5.0ch Soundbar w/Dolby Atmos (B)</t>
  </si>
  <si>
    <t>106m</t>
  </si>
  <si>
    <t>Frigidaire 1.6 cu. ft. Over the Range Microwave in</t>
  </si>
  <si>
    <t>7-in-1 Slushie Machine 88oz Auto-Clean</t>
  </si>
  <si>
    <t>600m</t>
  </si>
  <si>
    <t>Swonder 3-Person Towable Tube for Boats - (W3)</t>
  </si>
  <si>
    <t>4m</t>
  </si>
  <si>
    <t>TINA2 Plus V2 3D Printer, Auto Leveling, WiFi - (A</t>
  </si>
  <si>
    <t>14m</t>
  </si>
  <si>
    <t>Vero In-Pool Patio Tall Lounger Chair (A)</t>
  </si>
  <si>
    <t>26m</t>
  </si>
  <si>
    <t>Double Tilt Out Trash Cabinet, Wood Tabletop (B)</t>
  </si>
  <si>
    <t>407m</t>
  </si>
  <si>
    <t>Chris Loves Julia x Loloi Francis Wool Beige / Cha</t>
  </si>
  <si>
    <t>31m</t>
  </si>
  <si>
    <t>13 in. Diamond Gray Laundry Pedestal with Drawer-(</t>
  </si>
  <si>
    <t>5m</t>
  </si>
  <si>
    <t>CREWORKS 30L Ultrasonic Cleaner, 600W - (A)</t>
  </si>
  <si>
    <t>550m</t>
  </si>
  <si>
    <t>Safavieh Natural Fiber Rug 6' x 9' - (W2)</t>
  </si>
  <si>
    <t>188m</t>
  </si>
  <si>
    <t>Tiny Land Outdoor Mud Kitchen for Kids</t>
  </si>
  <si>
    <t>6m</t>
  </si>
  <si>
    <t>SMIROR Black Arched Vintage Mirror 48x32 - (D)</t>
  </si>
  <si>
    <t>NM-B 6/2 Wire with Ground, 75 ft</t>
  </si>
  <si>
    <t>ZLINE MWHZ-24-G Handle</t>
  </si>
  <si>
    <t>Mwdz1hcb</t>
  </si>
  <si>
    <t>227m</t>
  </si>
  <si>
    <t>Zephyr Essential Breeze I 36" 250 CFM Hood White -</t>
  </si>
  <si>
    <t>Chafing Dish Buffet Server Set (A-01)</t>
  </si>
  <si>
    <t>Kitchen Induction Cookware &amp; Bakeware Set</t>
  </si>
  <si>
    <t>Sam Edelman Women s Leigh Size 5 Boots</t>
  </si>
  <si>
    <t>352m</t>
  </si>
  <si>
    <t>Thermador LINER36 Liner for 36" Range Hood (W3)</t>
  </si>
  <si>
    <t>200A Generator Transfer Switch, 24k/48kW</t>
  </si>
  <si>
    <t>417m</t>
  </si>
  <si>
    <t>Samsung 1.6-cu ft 1000W OTR Microwave, SS (W3)</t>
  </si>
  <si>
    <t>Delta Roman Tub Rough Faucet R2707</t>
  </si>
  <si>
    <t>402m</t>
  </si>
  <si>
    <t>Faustina Performance Abstract Rug Round 5 3  (W2)</t>
  </si>
  <si>
    <t>Male Mannequin Torso with Head, 76"</t>
  </si>
  <si>
    <t>501m</t>
  </si>
  <si>
    <t>Petmate Indigo Large Dog House Black/Taupe - (W3)</t>
  </si>
  <si>
    <t>86m</t>
  </si>
  <si>
    <t>Insignia Laundry Pedestal for Washer &amp; Dryer-(W3)</t>
  </si>
  <si>
    <t>241m</t>
  </si>
  <si>
    <t>56m</t>
  </si>
  <si>
    <t>256m</t>
  </si>
  <si>
    <t>7777m</t>
  </si>
  <si>
    <t>Tina2 Basic V11 3D Printer, Auto Leveling - (A)</t>
  </si>
  <si>
    <t>XINYAO Electric Ceiling TV Mount with Remote</t>
  </si>
  <si>
    <t>412m</t>
  </si>
  <si>
    <t>Insignia 14-Bottle Wine Cooler</t>
  </si>
  <si>
    <t>Electric Chafing Dish Buffet Server A-02</t>
  </si>
  <si>
    <t>362m</t>
  </si>
  <si>
    <t>Frigidaire 36 in. Under-Cabinet Convertible Range</t>
  </si>
  <si>
    <t>Food Dehydrator for Jerky, 12 Trays, 1200W</t>
  </si>
  <si>
    <t>222m</t>
  </si>
  <si>
    <t>Chris Loves Julia x Loloi Polly Rug 5  x7 6  - (W2</t>
  </si>
  <si>
    <t>61m</t>
  </si>
  <si>
    <t>Frigidaire 30-in Under-Cabinet Range Hood White -</t>
  </si>
  <si>
    <t>Heavy Duty Upright Rollator Walker (45)</t>
  </si>
  <si>
    <t>medium mixed</t>
  </si>
  <si>
    <t>Vintage Amber 11oz Embossed Wine Glasses (24)</t>
  </si>
  <si>
    <t>Black Dimmable Chandelier with Remote</t>
  </si>
  <si>
    <t>Feihe 17" Small Android Smart TV for Kitchen</t>
  </si>
  <si>
    <t>VIVOHOME 6-in-1 Stand Mixer, 8.5 Qt Red</t>
  </si>
  <si>
    <t>Razor Crazy Cart Shuffle   Kid Go-Kart</t>
  </si>
  <si>
    <t>KMINA Toilet Safety Rails for Elderly</t>
  </si>
  <si>
    <t>612m</t>
  </si>
  <si>
    <t>PADOOR 8x10 Area Rug, Soft Beige - B</t>
  </si>
  <si>
    <t>CAROTE 26-Pcs Pots &amp; Pans Set, Nonstick</t>
  </si>
  <si>
    <t>Commercial Deep Fryer Filter AF45, 304 SS</t>
  </si>
  <si>
    <t>37m</t>
  </si>
  <si>
    <t>AmorArc Ceramic Dinnerware Set, Service for 8- (C)</t>
  </si>
  <si>
    <t>Airthereal RO Countertop Water Filter System</t>
  </si>
  <si>
    <t>Gold Drum Chandelier: Linen Shade, 4-Light</t>
  </si>
  <si>
    <t>41m</t>
  </si>
  <si>
    <t>30 in. Microwave Trim Kit - SS-(W3)</t>
  </si>
  <si>
    <t>Famiware Venus Ceramic Dinnerware Set, 24pc</t>
  </si>
  <si>
    <t>4 Pack Black Dusk to Dawn Outdoor Wall Lantern Sco</t>
  </si>
  <si>
    <t>Fisoew Womens Ski Suit Waterproof Snowsuit - Size</t>
  </si>
  <si>
    <t>Allgala 3-Piece Wedding Cake Stands Gold</t>
  </si>
  <si>
    <t>Electric Water Pan</t>
  </si>
  <si>
    <t>8" Heavy Duty Casters, 4-pack, 7000lb</t>
  </si>
  <si>
    <t>Cobalt Blue 7-Pc Enameled Cast Iron Set</t>
  </si>
  <si>
    <t>Aucma Stand Mixer 1400W 6.2L with Hooks (Red)</t>
  </si>
  <si>
    <t>2026 4-Channel Car Amplifier, 6800W</t>
  </si>
  <si>
    <t>CAROTE 21Pcs Pots &amp; Pans Set, Nonstick - (D)</t>
  </si>
  <si>
    <t>13L Hot Beverage Dispenser Chafer Urn</t>
  </si>
  <si>
    <t>Chafing Dishes Buffet Set 4-Pack 9QT</t>
  </si>
  <si>
    <t>Snailax Memory Foam Massage Mat with Heat</t>
  </si>
  <si>
    <t>342m</t>
  </si>
  <si>
    <t>Broan 36-in Ductless 50-CFM Range Hood (W3)</t>
  </si>
  <si>
    <t>Lamosi 12 oz Disposable Cups with Lids (500)</t>
  </si>
  <si>
    <t>Reverse Osmosis Countertop Water Filter 75GPD</t>
  </si>
  <si>
    <t>MALACASA Flora 26-Piece Dinnerware Set</t>
  </si>
  <si>
    <t>NORTHING 17.2" Portable TV for Camping</t>
  </si>
  <si>
    <t>5 in. Plastic Icemaker Installation Kit</t>
  </si>
  <si>
    <t>Omzer Toddler Bed Rail (3 Sides) Queen</t>
  </si>
  <si>
    <t>Redford Cold Snap 20" Tank Cover Insulation</t>
  </si>
  <si>
    <t>Wesiti 6 Pcs Stanchion Post Set with Rope</t>
  </si>
  <si>
    <t>Nadene Washable Oriental Indoor Rug - Rug Size: Ru</t>
  </si>
  <si>
    <t>126m</t>
  </si>
  <si>
    <t>Samsung NQ70R5511D 30" Oven w/Microwave (W3)</t>
  </si>
  <si>
    <t>Oneluck Extra Large Cat Litter Box, 27.5in</t>
  </si>
  <si>
    <t>EGGKITPO Hotel Pans 6-Pack 4" Stainless Trays</t>
  </si>
  <si>
    <t>13 in Titanium Wok with Lid, Nonstick</t>
  </si>
  <si>
    <t>Steve Madden Women's Laila Dress - Light Lilac SIZ</t>
  </si>
  <si>
    <t>Bedsure 301gsm Blanket For Couch - Super Soft Cozy</t>
  </si>
  <si>
    <t>Clear Charger Plates, 13" Acrylic (50 pc)</t>
  </si>
  <si>
    <t>Deep Seat Cushions for Outdoor Patio Beige</t>
  </si>
  <si>
    <t>30ft 50A RV Cord NEMA 14-50P/R, STW, UL/ETL</t>
  </si>
  <si>
    <t>113m</t>
  </si>
  <si>
    <t>Magnolia Home by Joanna Gaines x Loloi Gigi Grey /</t>
  </si>
  <si>
    <t>Universal TV Stand with Power Outlet, White</t>
  </si>
  <si>
    <t>Cheflee Stand Mixer 660W 6.5Qt Bowl (Blue)</t>
  </si>
  <si>
    <t>Pawfly Aquarium Canister Filter 160 GPH External</t>
  </si>
  <si>
    <t>Navy Steel Bottom Panel for 4-Door Fridge</t>
  </si>
  <si>
    <t>Extra Large Cutting Board, Stainless Steel</t>
  </si>
  <si>
    <t>Dolce Vita Womens Geo Size 10</t>
  </si>
  <si>
    <t>444m</t>
  </si>
  <si>
    <t>Sabrina Soto Prism Indoor/Outdoor Rug - Rug Size:</t>
  </si>
  <si>
    <t>Nantucket Sinks Over Sink Soap Dish Holder</t>
  </si>
  <si>
    <t>TheTerra Ceramic Dinnerware Set for 6, 18pc</t>
  </si>
  <si>
    <t>WELKINLAND 90-Pocket Electrician Backpack</t>
  </si>
  <si>
    <t>monTEK Slim Heavy Duty TV Wall Mount 37-90"</t>
  </si>
  <si>
    <t>Roof Extractor Fan 171 CFM, ETL bearings</t>
  </si>
  <si>
    <t>361m</t>
  </si>
  <si>
    <t>Simpli-Magic 50L Soft-Close Trash Can - B</t>
  </si>
  <si>
    <t>1200TC Premium Cotton-Blend Ultra-Soft Sateen King</t>
  </si>
  <si>
    <t>Stria Machine Woven Throw Blanket</t>
  </si>
  <si>
    <t>4.75 in. 1-Light Brushed Nickel Sconce</t>
  </si>
  <si>
    <t>FOHERE 200W Meat Slicer, 7.5" Dual Blade</t>
  </si>
  <si>
    <t>25ft 50A RV Extension Cord NEMA 14-50P-14-50R</t>
  </si>
  <si>
    <t>2 - Light Dimmable Vanity Light - Finish: Black</t>
  </si>
  <si>
    <t>Zen Botanical Double Roll - Color: Navy/Copper 33L</t>
  </si>
  <si>
    <t>Gaahing 14" x 21" Aluminum Shed Window Kit</t>
  </si>
  <si>
    <t>17.7" Black Drum Ceiling Light Fixture</t>
  </si>
  <si>
    <t>382m</t>
  </si>
  <si>
    <t>Insignia HV Capacitor for Microwave AC (W3)</t>
  </si>
  <si>
    <t>JXGRIDL230 Griddle Parts for GE Stove</t>
  </si>
  <si>
    <t>Ganote Animal Print Faux Cowhide Brown Area Rug -</t>
  </si>
  <si>
    <t>Stadiometer 8-85 in / 20-217 cm</t>
  </si>
  <si>
    <t>Utoplike 30x20in Bamboo Cutting Board</t>
  </si>
  <si>
    <t>Projector Screen with Stand 70" 4K HD</t>
  </si>
  <si>
    <t>GE Microwave Mounting Kit (White)</t>
  </si>
  <si>
    <t>Acoustic Audio by Goldwood 2.1 System (AA2172)</t>
  </si>
  <si>
    <t>1-1/4" 25FT Electrical Conduit Kit</t>
  </si>
  <si>
    <t>Non-slip Stair Treads Carpet Stair Runners - Color</t>
  </si>
  <si>
    <t>GATHER 700PCS Gold Plastic Plates Set</t>
  </si>
  <si>
    <t>Royal Blue 12 Pcs Metal Buckets with Handles</t>
  </si>
  <si>
    <t>Handheld Immersion Blender 1000W Orange</t>
  </si>
  <si>
    <t>4-Quart Slow Cooker with Warm Setting</t>
  </si>
  <si>
    <t>Automatic Egg Incubator 36-Tray with Auto Flip</t>
  </si>
  <si>
    <t>Kohree 7500lb RV Stabilizer Jacks Set (2)</t>
  </si>
  <si>
    <t>611m</t>
  </si>
  <si>
    <t>SATECH Adhesive Mat 26"x45" Gray (4 mats) - D</t>
  </si>
  <si>
    <t>Stove Top Cover 30x22  3 in 1 Tray</t>
  </si>
  <si>
    <t>Downluxe Chair Cushions 16x16x2 Brown 6 Pack</t>
  </si>
  <si>
    <t>IMACONE Chafing Dish Buffet Set, 2x8QT</t>
  </si>
  <si>
    <t>Radio Flyer Busy Buggy 3-in-1 Walker Red</t>
  </si>
  <si>
    <t>22" Foldable Reptile Terrarium (Blue)</t>
  </si>
  <si>
    <t>Black 4-Quart Slow Cooker, Manual Warm</t>
  </si>
  <si>
    <t>Hughlek Aluminum Decorative Bowl in Gold</t>
  </si>
  <si>
    <t>Aircast AirSelect Walker Brace/Boot (Elite) Medium</t>
  </si>
  <si>
    <t>34 Inch Canoe Seats Nylon Webbed Replacement</t>
  </si>
  <si>
    <t>AX Waber Mobile TV Stand for 27 65" TVs</t>
  </si>
  <si>
    <t>GBHOME Ceramic Dinnerware Set 4, 12p, Blue</t>
  </si>
  <si>
    <t>Livestock Sorting Panel, 38x30x1.34 in (Red)</t>
  </si>
  <si>
    <t>Outdoor Projector Screen with Stand 120"</t>
  </si>
  <si>
    <t>Castration Banding Tool with 24 Bands</t>
  </si>
  <si>
    <t>Gas Pilot Assembly OE 10002265/64 for Majestic</t>
  </si>
  <si>
    <t>Shower Chair with Suction Cup Feet</t>
  </si>
  <si>
    <t>Weysat 24 Pcs 24 Oz Plastic Fish Bowl + Straws</t>
  </si>
  <si>
    <t>Sancua Christmas Red 120" Round Tablecloth, 8p</t>
  </si>
  <si>
    <t>YOSUKATA 14" Carbon Steel Wok, Pre-Seasoned</t>
  </si>
  <si>
    <t>DEXI Cushioned Anti Fatigue Kitchen Mats</t>
  </si>
  <si>
    <t>Newhai Warming Tray   6 Modes, Timer, 32x18</t>
  </si>
  <si>
    <t>Stainless Steel Grill Grates 19.25" x 7.5"</t>
  </si>
  <si>
    <t>Upgrade Pellet Grill Shelf for Traeger</t>
  </si>
  <si>
    <t>Tipsy Elves Pink Skeleton Jumpsuit - Kids Lg</t>
  </si>
  <si>
    <t>Esthetician Storage Trolley Cart - 3-Tier</t>
  </si>
  <si>
    <t>Mobile TV Cart, 10-46", Tilt/Rotate, White</t>
  </si>
  <si>
    <t>Creative Co-Op Woven Cotton Velvet Pillow</t>
  </si>
  <si>
    <t>VooBang Black Oval Mirror, 26x38, Wall-Mounted</t>
  </si>
  <si>
    <t>Rubber Threshold Ramp with Handle (2pcs)</t>
  </si>
  <si>
    <t>Chafing Dishes Buffet Set 9QT Gold/Silver</t>
  </si>
  <si>
    <t>Rfiver Swivel Floor TV Stand, 32-60", 88 lb</t>
  </si>
  <si>
    <t>Traeger Pellet Grill Storage Shelf Pro 22/575</t>
  </si>
  <si>
    <t>DIY Crew 18" Paper Roll Dispenser &amp; Cutter</t>
  </si>
  <si>
    <t>Mumufy 4 Pcs 3.5 gal Square Food Bucket</t>
  </si>
  <si>
    <t>Thrush Muffler Deep Race Tone Inlet 2.25</t>
  </si>
  <si>
    <t>4-Step Wooden Dog Stairs for High Beds</t>
  </si>
  <si>
    <t>Delta Trinsic 24-in Champagne Bronze Towel Bar</t>
  </si>
  <si>
    <t>Kichgather Sushi Rice Bowl with Lid Hangiri</t>
  </si>
  <si>
    <t>Bavni 6x9 Machine Washable Rug, Gray Beige</t>
  </si>
  <si>
    <t>24in Modern Bathroom Vanity Light, Gold</t>
  </si>
  <si>
    <t>Kanu Surf Infinite Mens Swim Trunks 9" Inseam Size</t>
  </si>
  <si>
    <t>Anne Klein Sandals Size 8.5M Women s</t>
  </si>
  <si>
    <t>Titanium Cutting Boards</t>
  </si>
  <si>
    <t>Dawain Linen Solid Textured 100% Blackout Window D</t>
  </si>
  <si>
    <t>MyGift 33" Wide Spice Shelf, Shabby White/Black Ra</t>
  </si>
  <si>
    <t>Haileyville 64' Arched Floor Lamp with Remote Cont</t>
  </si>
  <si>
    <t>BINO Stackable Storage Drawers, Large - 2 Pack</t>
  </si>
  <si>
    <t>100A Generator Transfer Switch, 120/240V</t>
  </si>
  <si>
    <t>Demissle Fireplace Hearth Rug, 27x48 Inch</t>
  </si>
  <si>
    <t>Harbor/Marcal 1-ply Hard Roll Towels 6 pk</t>
  </si>
  <si>
    <t>Buchanan 66-120 in. Nickel Curtain Rod</t>
  </si>
  <si>
    <t>uxcell Air Vents Cover, 2Pcs 650x100mm (White)</t>
  </si>
  <si>
    <t>Greenstell TV Stand with Power Outlet, 27-65"</t>
  </si>
  <si>
    <t>Cast Iron Camp Pie Cooker (2)</t>
  </si>
  <si>
    <t>30" Bamboo Cutting Board with Juice Groove</t>
  </si>
  <si>
    <t>Art3d PVC Wave Board Panels, White (12)</t>
  </si>
  <si>
    <t>LED Camping Table Set with Stools, 300lb</t>
  </si>
  <si>
    <t>Fire Bricks WoodStove 2400F 12 pcs White</t>
  </si>
  <si>
    <t>Black Marble Dish Drying Mat - Fast Dry 17x13</t>
  </si>
  <si>
    <t>Brown Gingham Check Tasseled Cotton Blend Square T</t>
  </si>
  <si>
    <t>Melamine Serving Tray with Handles (2) White</t>
  </si>
  <si>
    <t>GHV Cordless Zebra Blinds 29x64 Gray</t>
  </si>
  <si>
    <t>22-Inch Magnetic Privacy Screen</t>
  </si>
  <si>
    <t>TapeManBlue Carpet Protection Film 24"x200'</t>
  </si>
  <si>
    <t>GHV Cordless Zebra Blinds   Flaxen (28x64)</t>
  </si>
  <si>
    <t>Solid Wood Checkered Cutting Board 16x12</t>
  </si>
  <si>
    <t>Viski Gold 17 oz Stainless Shaker with Strainer</t>
  </si>
  <si>
    <t>Weesire Kitchen Mats Set 2, Grey Stripe</t>
  </si>
  <si>
    <t>36 x3/4  Universal Jumper Hose, 700 PSI</t>
  </si>
  <si>
    <t>2 Pcs 48" x 24" x 1/30' Flexible Translucent PE Pl</t>
  </si>
  <si>
    <t>365-Gallon 103" Pink Pool Organizer</t>
  </si>
  <si>
    <t>Stone Bath Mat, Quick Drying, 24" x 16" Lotus</t>
  </si>
  <si>
    <t>Crystal Coupe Glasses, 6, 7oz, Short Stem</t>
  </si>
  <si>
    <t>Ike Solid 70%-85% Blackout Rod Pocket Back Curtain</t>
  </si>
  <si>
    <t>Tool Bag 16 Pockets, Polyester, 15x8.6x10.6</t>
  </si>
  <si>
    <t>White Cordless Vinyl Blind 30x36 (2 pack)</t>
  </si>
  <si>
    <t>Convex Corner Mirror - 12" Security Mirror</t>
  </si>
  <si>
    <t>Stone Dish Drying Mats, 21.5x15.5, Non-Slip</t>
  </si>
  <si>
    <t>CYMAY Bathmat Bath Rug 24" x 43" Buff Orange</t>
  </si>
  <si>
    <t>Evergreen Black Fleur Floor Mat 18x30 Black</t>
  </si>
  <si>
    <t>Bounty Quick Size Paper Towels, 8 rolls</t>
  </si>
  <si>
    <t>Farberware  Radiant 12.25-Inch Frying Pan</t>
  </si>
  <si>
    <t>Dog Car Seat Cover with Mesh Window</t>
  </si>
  <si>
    <t>Bosch Dishwasher Power Cord w/JBox SMZPCJB1UC</t>
  </si>
  <si>
    <t>Kasepie 3mm Clear Table Cover 20 40in</t>
  </si>
  <si>
    <t>AWQ 200LED 66ft C6 Christmas Lights, 8 Modes</t>
  </si>
  <si>
    <t>70L Large Laundry Hamper, Cotton Collapsible</t>
  </si>
  <si>
    <t>UNCLE WU Potty Trainer + Liners 18M+</t>
  </si>
  <si>
    <t>Compact Dumbbell Rack Stand for Home Gym</t>
  </si>
  <si>
    <t>WRAPAHOLIC 30" Peacock Wrapping Paper Roll (3)</t>
  </si>
  <si>
    <t>Basicwise Kids Lap Desk Tray Green</t>
  </si>
  <si>
    <t>The Children's Place Girls Ponte Knit Skort - Size</t>
  </si>
  <si>
    <t>Extra Large Blanket Basket 22" x 14"</t>
  </si>
  <si>
    <t>The Children's Place Girls Skort XXL</t>
  </si>
  <si>
    <t>RUBIES II Harley Quinn Birds of Prey Prop</t>
  </si>
  <si>
    <t>Salford Brown Plaid Faux Leather Curtain 50x84 (1</t>
  </si>
  <si>
    <t>LaRibbons Wrapping Paper Set, 4 Rolls</t>
  </si>
  <si>
    <t>AWQ 200LED 66FT C6 Christmas Lights</t>
  </si>
  <si>
    <t>XIAOAIKA USA National Parks Poster - 20x30</t>
  </si>
  <si>
    <t>Stainless Steel Cutting Board, Non Toxic 16x11</t>
  </si>
  <si>
    <t>Kenney 3-Shelf Shower Caddy, Chrome</t>
  </si>
  <si>
    <t>InSinkErator EZ Connect Power Cord</t>
  </si>
  <si>
    <t>Kenney Fast Fit No Tools 7/16" Spring Rod Set</t>
  </si>
  <si>
    <t>Basicwise Kids Lap Desk Tray, Pink</t>
  </si>
  <si>
    <t>Arcadia Garden Lime Crinkle Filler RPC01LM</t>
  </si>
  <si>
    <t>Coghlan's Green Trash Can 24 in. H X 19 in. W</t>
  </si>
  <si>
    <t>120Pcs Christmas Cups 12oz Disposable Bowls</t>
  </si>
  <si>
    <t>Club Car Precedent Front Seat Covers</t>
  </si>
  <si>
    <t>ProHeal Specimen Pan, Toilet Hat, 40oz (2-Pack)</t>
  </si>
  <si>
    <t>Hanaive 20Pcs Artificial Anthurium, 23.6" Black</t>
  </si>
  <si>
    <t>Drain Clog Remover Kit - 25" Drain Snake (3pc)</t>
  </si>
  <si>
    <t>Truckload</t>
  </si>
  <si>
    <t>High Bid</t>
  </si>
  <si>
    <t>Selling price</t>
  </si>
  <si>
    <t>profit/loss</t>
  </si>
  <si>
    <t>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</si>
</sst>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3" fontId="0" fillId="0" borderId="0" xfId="0" applyNumberFormat="1"/>
    <xf numFmtId="9" fontId="0" fillId="0" borderId="0" xfId="0" applyNumberFormat="1"/>
    <xf numFmtId="0" fontId="0" fillId="33" borderId="0" xfId="0" applyFill="1"/>
    <xf numFmtId="1" fontId="0" fillId="0" borderId="0" xfId="0" applyNumberFormat="1"/>
    <xf numFmtId="1" fontId="0" fillId="33" borderId="0" xfId="0" applyNumberFormat="1" applyFill="1"/>
    <xf numFmtId="3" fontId="0" fillId="34" borderId="0" xfId="0" applyNumberFormat="1" applyFill="1"/>
    <xf numFmtId="0" fontId="0" fillId="34" borderId="0" xfId="0" applyFill="1"/>
    <xf numFmtId="0" fontId="0" fillId="35" borderId="0" xfId="0" applyFill="1"/>
    <xf numFmtId="0" fontId="0" fillId="34" borderId="0" xfId="0" applyFill="1" applyAlignment="1">
      <alignment horizontal="center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azo/Downloads/Overstock%20Product%20Liquidation%20Sugar%20Land%20114%20-%20121%20(1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stock Product Liquidation S"/>
      <sheetName val="Sheet1"/>
    </sheetNames>
    <sheetDataSet>
      <sheetData sheetId="0"/>
      <sheetData sheetId="1">
        <row r="1">
          <cell r="A1" t="str">
            <v>Lot</v>
          </cell>
          <cell r="B1" t="str">
            <v>Title</v>
          </cell>
          <cell r="C1" t="str">
            <v>Time Left</v>
          </cell>
          <cell r="D1" t="str">
            <v>Reserve</v>
          </cell>
          <cell r="E1" t="str">
            <v>Winning Bidder</v>
          </cell>
          <cell r="F1" t="str">
            <v>Name</v>
          </cell>
        </row>
        <row r="2">
          <cell r="A2">
            <v>2</v>
          </cell>
          <cell r="B2" t="str">
            <v>34 Inch Canoe Seats Nylon Webbed Replacement</v>
          </cell>
          <cell r="E2">
            <v>5141</v>
          </cell>
          <cell r="F2" t="str">
            <v>Ineabel Del toro</v>
          </cell>
        </row>
        <row r="3">
          <cell r="A3" t="str">
            <v>2m</v>
          </cell>
          <cell r="B3" t="str">
            <v>Segway E-kickscooter G2 (A)</v>
          </cell>
          <cell r="E3">
            <v>5046</v>
          </cell>
          <cell r="F3" t="str">
            <v>ron larson</v>
          </cell>
        </row>
        <row r="4">
          <cell r="A4">
            <v>3</v>
          </cell>
          <cell r="B4" t="str">
            <v>Tool Bag 16 Pockets Polyester 15x8.6x10.6</v>
          </cell>
          <cell r="E4">
            <v>5211</v>
          </cell>
          <cell r="F4" t="str">
            <v>Julie Phillips</v>
          </cell>
        </row>
        <row r="5">
          <cell r="A5" t="str">
            <v>3m</v>
          </cell>
          <cell r="B5" t="str">
            <v>Mystery Pallet</v>
          </cell>
          <cell r="E5">
            <v>5065</v>
          </cell>
          <cell r="F5" t="str">
            <v>Thanh Tan Ngo</v>
          </cell>
        </row>
        <row r="6">
          <cell r="A6">
            <v>4</v>
          </cell>
          <cell r="B6" t="str">
            <v>uxcell Air Vents Cover 2Pcs 650x100mm (White)</v>
          </cell>
          <cell r="F6" t="str">
            <v>Floor</v>
          </cell>
        </row>
        <row r="7">
          <cell r="A7" t="str">
            <v>4m</v>
          </cell>
          <cell r="B7" t="str">
            <v>TINA2 Plus V2 3D Printer Auto Leveling WiFi - (A</v>
          </cell>
          <cell r="E7">
            <v>5208</v>
          </cell>
          <cell r="F7" t="str">
            <v>Anna Brooks</v>
          </cell>
        </row>
        <row r="8">
          <cell r="A8">
            <v>5</v>
          </cell>
          <cell r="B8" t="str">
            <v>Hanaive 20Pcs Artificial Anthurium 23.6" Black</v>
          </cell>
          <cell r="E8">
            <v>5115</v>
          </cell>
          <cell r="F8" t="str">
            <v>Holly Whitaker</v>
          </cell>
        </row>
        <row r="9">
          <cell r="A9" t="str">
            <v>5m</v>
          </cell>
          <cell r="B9" t="str">
            <v>CREWORKS 30L Ultrasonic Cleaner 600W - (A)</v>
          </cell>
          <cell r="E9">
            <v>5086</v>
          </cell>
          <cell r="F9" t="str">
            <v>Bobbie - Shannon Howard</v>
          </cell>
        </row>
        <row r="10">
          <cell r="A10">
            <v>6</v>
          </cell>
          <cell r="B10" t="str">
            <v>Stainless Steel Grill Grates 19.25" x 7.5"</v>
          </cell>
          <cell r="E10">
            <v>5017</v>
          </cell>
          <cell r="F10" t="str">
            <v>robert dorland</v>
          </cell>
        </row>
        <row r="11">
          <cell r="A11" t="str">
            <v>6m</v>
          </cell>
          <cell r="B11" t="str">
            <v>SMIROR Black Arched Vintage Mirror 48x32 - (D)</v>
          </cell>
          <cell r="E11">
            <v>5046</v>
          </cell>
          <cell r="F11" t="str">
            <v>ron larson</v>
          </cell>
        </row>
        <row r="12">
          <cell r="A12">
            <v>7</v>
          </cell>
          <cell r="B12" t="str">
            <v>Redford Cold Snap 20" Tank Cover Insulation</v>
          </cell>
          <cell r="E12">
            <v>5217</v>
          </cell>
          <cell r="F12" t="str">
            <v>Lynne Nobles</v>
          </cell>
        </row>
        <row r="13">
          <cell r="A13">
            <v>8</v>
          </cell>
          <cell r="B13" t="str">
            <v>Upgrade Pellet Grill Shelf for Traeger</v>
          </cell>
          <cell r="E13">
            <v>5117</v>
          </cell>
          <cell r="F13" t="str">
            <v>Bill Owen</v>
          </cell>
        </row>
        <row r="14">
          <cell r="A14" t="str">
            <v>8m</v>
          </cell>
          <cell r="B14" t="str">
            <v>Legends Furniture 84" Joshua Creek Console (AE)</v>
          </cell>
          <cell r="E14">
            <v>5046</v>
          </cell>
          <cell r="F14" t="str">
            <v>ron larson</v>
          </cell>
        </row>
        <row r="15">
          <cell r="A15">
            <v>9</v>
          </cell>
          <cell r="B15" t="str">
            <v>VooBang Black Oval Mirror 26x38 Wall-Mounted</v>
          </cell>
          <cell r="E15">
            <v>5091</v>
          </cell>
          <cell r="F15" t="str">
            <v>Mary Newton</v>
          </cell>
        </row>
        <row r="16">
          <cell r="A16">
            <v>10</v>
          </cell>
          <cell r="B16" t="str">
            <v>Pawfly Aquarium Canister Filter 160 GPH External</v>
          </cell>
          <cell r="E16">
            <v>5233</v>
          </cell>
          <cell r="F16" t="str">
            <v>SHAUN BROWNE</v>
          </cell>
        </row>
        <row r="17">
          <cell r="A17">
            <v>11</v>
          </cell>
          <cell r="B17" t="str">
            <v>WELKINLAND 90-Pocket Electrician Backpack</v>
          </cell>
          <cell r="E17">
            <v>5108</v>
          </cell>
          <cell r="F17" t="str">
            <v>Christopher Hensley</v>
          </cell>
        </row>
        <row r="18">
          <cell r="A18" t="str">
            <v>11m</v>
          </cell>
          <cell r="B18" t="str">
            <v>36 in. Telescopic Downdraft System in Stainless St</v>
          </cell>
          <cell r="E18">
            <v>5046</v>
          </cell>
          <cell r="F18" t="str">
            <v>ron larson</v>
          </cell>
        </row>
        <row r="19">
          <cell r="A19">
            <v>12</v>
          </cell>
          <cell r="B19" t="str">
            <v>Extra Large Blanket Basket 22" x 14"</v>
          </cell>
          <cell r="E19">
            <v>5076</v>
          </cell>
          <cell r="F19" t="str">
            <v>JAVIER IGNACIO FERNANDEZ GONZALO</v>
          </cell>
        </row>
        <row r="20">
          <cell r="A20" t="str">
            <v>12m</v>
          </cell>
          <cell r="B20" t="str">
            <v>14000 BTU AC for Rooms up to 700 Sq. Ft-(W3)</v>
          </cell>
          <cell r="E20">
            <v>5219</v>
          </cell>
          <cell r="F20" t="str">
            <v>Colleen Culpepper</v>
          </cell>
        </row>
        <row r="21">
          <cell r="A21">
            <v>13</v>
          </cell>
          <cell r="B21" t="str">
            <v>Tool Bag 16 Pockets Polyester 15x8.6x10.6</v>
          </cell>
          <cell r="E21">
            <v>5063</v>
          </cell>
          <cell r="F21" t="str">
            <v>Linh Nguyen</v>
          </cell>
        </row>
        <row r="22">
          <cell r="A22">
            <v>14</v>
          </cell>
          <cell r="B22" t="str">
            <v>Tipsy Elves Pink Skeleton Jumpsuit - Kids Lg</v>
          </cell>
          <cell r="E22">
            <v>5076</v>
          </cell>
          <cell r="F22" t="str">
            <v>JAVIER IGNACIO FERNANDEZ GONZALO</v>
          </cell>
        </row>
        <row r="23">
          <cell r="A23" t="str">
            <v>14m</v>
          </cell>
          <cell r="B23" t="str">
            <v>Vero In-Pool Patio Tall Lounger Chair (A)</v>
          </cell>
          <cell r="E23">
            <v>5046</v>
          </cell>
          <cell r="F23" t="str">
            <v>ron larson</v>
          </cell>
        </row>
        <row r="24">
          <cell r="A24">
            <v>15</v>
          </cell>
          <cell r="B24" t="str">
            <v>LED Camping Table Set with Stools 300lb</v>
          </cell>
          <cell r="E24">
            <v>5227</v>
          </cell>
          <cell r="F24" t="str">
            <v>Mohsin Mirza</v>
          </cell>
        </row>
        <row r="25">
          <cell r="A25" t="str">
            <v>15m</v>
          </cell>
          <cell r="B25" t="str">
            <v>Windster 30-in Ducted 503-CFM Hood</v>
          </cell>
          <cell r="E25">
            <v>5065</v>
          </cell>
          <cell r="F25" t="str">
            <v>Thanh Tan Ngo</v>
          </cell>
        </row>
        <row r="26">
          <cell r="A26">
            <v>16</v>
          </cell>
          <cell r="B26" t="str">
            <v>Arcadia Garden Lime Crinkle Filler RPC01LM</v>
          </cell>
          <cell r="F26" t="str">
            <v>Floor</v>
          </cell>
        </row>
        <row r="27">
          <cell r="A27">
            <v>17</v>
          </cell>
          <cell r="B27" t="str">
            <v>WELKINLAND 90-Pocket Electrician Backpack</v>
          </cell>
          <cell r="E27">
            <v>5063</v>
          </cell>
          <cell r="F27" t="str">
            <v>Linh Nguyen</v>
          </cell>
        </row>
        <row r="28">
          <cell r="A28" t="str">
            <v>17m</v>
          </cell>
          <cell r="B28" t="str">
            <v>3-Panel Black Clear Glass Room Dividers</v>
          </cell>
          <cell r="E28">
            <v>5046</v>
          </cell>
          <cell r="F28" t="str">
            <v>ron larson</v>
          </cell>
        </row>
        <row r="29">
          <cell r="A29">
            <v>18</v>
          </cell>
          <cell r="B29" t="str">
            <v>Radio Flyer Busy Buggy 3-in-1 Walker Red</v>
          </cell>
          <cell r="E29">
            <v>5154</v>
          </cell>
          <cell r="F29" t="str">
            <v>Sandra Escobar</v>
          </cell>
        </row>
        <row r="30">
          <cell r="A30">
            <v>19</v>
          </cell>
          <cell r="B30" t="str">
            <v>Airthereal RO Countertop Water Filter System</v>
          </cell>
          <cell r="E30">
            <v>5063</v>
          </cell>
          <cell r="F30" t="str">
            <v>Linh Nguyen</v>
          </cell>
        </row>
        <row r="31">
          <cell r="A31">
            <v>20</v>
          </cell>
          <cell r="B31" t="str">
            <v>Electric Water Pan</v>
          </cell>
          <cell r="E31">
            <v>5088</v>
          </cell>
          <cell r="F31" t="str">
            <v>Michael Araiza</v>
          </cell>
        </row>
        <row r="32">
          <cell r="A32" t="str">
            <v>20m</v>
          </cell>
          <cell r="B32" t="str">
            <v>Pavanjit 67"x32" Freestanding Bathtub (AE)</v>
          </cell>
          <cell r="E32">
            <v>5068</v>
          </cell>
          <cell r="F32" t="str">
            <v>nelson guandique</v>
          </cell>
        </row>
        <row r="33">
          <cell r="A33">
            <v>21</v>
          </cell>
          <cell r="B33" t="str">
            <v>Art3d PVC Wave Board Panels White (12)</v>
          </cell>
          <cell r="E33">
            <v>5176</v>
          </cell>
          <cell r="F33" t="str">
            <v>Demejah Haley</v>
          </cell>
        </row>
        <row r="34">
          <cell r="A34" t="str">
            <v>21m</v>
          </cell>
          <cell r="B34" t="str">
            <v>Mixed Pallet Blinds and Misc Items - W3</v>
          </cell>
          <cell r="E34">
            <v>5065</v>
          </cell>
          <cell r="F34" t="str">
            <v>Thanh Tan Ngo</v>
          </cell>
        </row>
        <row r="35">
          <cell r="A35">
            <v>22</v>
          </cell>
          <cell r="B35" t="str">
            <v>Aircast AirSelect Walker Brace/Boot (Elite) Medium</v>
          </cell>
          <cell r="E35">
            <v>5173</v>
          </cell>
          <cell r="F35" t="str">
            <v>Jessica Williams</v>
          </cell>
        </row>
        <row r="36">
          <cell r="A36">
            <v>23</v>
          </cell>
          <cell r="B36" t="str">
            <v>ProHeal Specimen Pan Toilet Hat 40oz (2-Pack)</v>
          </cell>
          <cell r="F36" t="str">
            <v>Floor</v>
          </cell>
        </row>
        <row r="37">
          <cell r="A37">
            <v>24</v>
          </cell>
          <cell r="B37" t="str">
            <v>Heavy Duty Upright Rollator Walker (45)</v>
          </cell>
          <cell r="E37">
            <v>5079</v>
          </cell>
          <cell r="F37" t="str">
            <v>Robert Bierstedt</v>
          </cell>
        </row>
        <row r="38">
          <cell r="A38" t="str">
            <v>24m</v>
          </cell>
          <cell r="B38" t="str">
            <v>24 in. Front-Control Dishwasher White 50 dBA</v>
          </cell>
          <cell r="E38">
            <v>5134</v>
          </cell>
          <cell r="F38" t="str">
            <v>Chester Baldwin</v>
          </cell>
        </row>
        <row r="39">
          <cell r="A39">
            <v>26</v>
          </cell>
          <cell r="B39" t="str">
            <v>22" Foldable Reptile Terrarium (Blue)</v>
          </cell>
          <cell r="E39">
            <v>5194</v>
          </cell>
          <cell r="F39" t="str">
            <v>Jeremy Lemmons</v>
          </cell>
        </row>
        <row r="40">
          <cell r="A40" t="str">
            <v>26m</v>
          </cell>
          <cell r="B40" t="str">
            <v>Double Tilt Out Trash Cabinet Wood Tabletop (B)</v>
          </cell>
          <cell r="E40">
            <v>5046</v>
          </cell>
          <cell r="F40" t="str">
            <v>ron larson</v>
          </cell>
        </row>
        <row r="41">
          <cell r="A41">
            <v>27</v>
          </cell>
          <cell r="B41" t="str">
            <v>Oneluck Extra Large Cat Litter Box 27.5in</v>
          </cell>
          <cell r="E41">
            <v>5141</v>
          </cell>
          <cell r="F41" t="str">
            <v>Ineabel Del toro</v>
          </cell>
        </row>
        <row r="42">
          <cell r="A42" t="str">
            <v>27m</v>
          </cell>
          <cell r="B42" t="str">
            <v>Thermador Dishwasher</v>
          </cell>
          <cell r="E42">
            <v>5046</v>
          </cell>
          <cell r="F42" t="str">
            <v>ron larson</v>
          </cell>
        </row>
        <row r="43">
          <cell r="A43">
            <v>28</v>
          </cell>
          <cell r="B43" t="str">
            <v>GHV Cordless Zebra Blinds   Flaxen (28x64)</v>
          </cell>
          <cell r="F43" t="str">
            <v>Floor</v>
          </cell>
        </row>
        <row r="44">
          <cell r="A44">
            <v>29</v>
          </cell>
          <cell r="B44" t="str">
            <v>Bosch Dishwasher Power Cord w/JBox SMZPCJB1UC</v>
          </cell>
          <cell r="F44" t="str">
            <v>Floor</v>
          </cell>
        </row>
        <row r="45">
          <cell r="A45">
            <v>30</v>
          </cell>
          <cell r="B45" t="str">
            <v>Compact Dumbbell Rack Stand for Home Gym</v>
          </cell>
          <cell r="E45">
            <v>5153</v>
          </cell>
          <cell r="F45" t="str">
            <v>Luis Meza</v>
          </cell>
        </row>
        <row r="46">
          <cell r="A46">
            <v>31</v>
          </cell>
          <cell r="B46" t="str">
            <v>34 Inch Canoe Seats Nylon Webbed Replacement</v>
          </cell>
          <cell r="E46">
            <v>5141</v>
          </cell>
          <cell r="F46" t="str">
            <v>Ineabel Del toro</v>
          </cell>
        </row>
        <row r="47">
          <cell r="A47" t="str">
            <v>31m</v>
          </cell>
          <cell r="B47" t="str">
            <v>13 in. Diamond Gray Laundry Pedestal with Drawer-(</v>
          </cell>
          <cell r="E47">
            <v>5159</v>
          </cell>
          <cell r="F47" t="str">
            <v>Robert Miranda</v>
          </cell>
        </row>
        <row r="48">
          <cell r="A48">
            <v>32</v>
          </cell>
          <cell r="B48" t="str">
            <v>Livestock Sorting Panel 38x30x1.34 in (Red)</v>
          </cell>
          <cell r="E48">
            <v>5232</v>
          </cell>
          <cell r="F48" t="str">
            <v>Ashley Fertak</v>
          </cell>
        </row>
        <row r="49">
          <cell r="A49" t="str">
            <v>32m</v>
          </cell>
          <cell r="B49" t="str">
            <v>LG SideKick 1.0Cu ft Pedestal Washer 3-Motion (B)</v>
          </cell>
          <cell r="E49">
            <v>5046</v>
          </cell>
          <cell r="F49" t="str">
            <v>ron larson</v>
          </cell>
        </row>
        <row r="50">
          <cell r="A50">
            <v>33</v>
          </cell>
          <cell r="B50" t="str">
            <v>CYMAY Bathmat Bath Rug 24" x 43" Buff Orange</v>
          </cell>
          <cell r="E50">
            <v>5212</v>
          </cell>
          <cell r="F50" t="str">
            <v>freddie hejjo</v>
          </cell>
        </row>
        <row r="51">
          <cell r="A51">
            <v>34</v>
          </cell>
          <cell r="B51" t="str">
            <v>Castration Banding Tool with 24 Bands</v>
          </cell>
          <cell r="F51" t="str">
            <v>Floor</v>
          </cell>
        </row>
        <row r="52">
          <cell r="A52">
            <v>35</v>
          </cell>
          <cell r="B52" t="str">
            <v>Tool Bag 16 Pockets Polyester 15x8.6x10.6</v>
          </cell>
          <cell r="E52">
            <v>5101</v>
          </cell>
          <cell r="F52" t="str">
            <v>Jaime Hernandez</v>
          </cell>
        </row>
        <row r="53">
          <cell r="A53">
            <v>36</v>
          </cell>
          <cell r="B53" t="str">
            <v>Dog Car Seat Cover with Mesh Window</v>
          </cell>
          <cell r="E53">
            <v>5165</v>
          </cell>
          <cell r="F53" t="str">
            <v>Jay Raman</v>
          </cell>
        </row>
        <row r="54">
          <cell r="A54" t="str">
            <v>36m</v>
          </cell>
          <cell r="B54" t="str">
            <v>GE Profile Spacemaker 1.9 cu ft OTR Microwave Whit</v>
          </cell>
          <cell r="E54">
            <v>5046</v>
          </cell>
          <cell r="F54" t="str">
            <v>ron larson</v>
          </cell>
        </row>
        <row r="55">
          <cell r="A55">
            <v>37</v>
          </cell>
          <cell r="B55" t="str">
            <v>Stone Bath Mat Quick Drying 24" x 16" Lotus</v>
          </cell>
          <cell r="E55">
            <v>5159</v>
          </cell>
          <cell r="F55" t="str">
            <v>Robert Miranda</v>
          </cell>
        </row>
        <row r="56">
          <cell r="A56" t="str">
            <v>37m</v>
          </cell>
          <cell r="B56" t="str">
            <v>AmorArc Ceramic Dinnerware Set Service for 8- (C)</v>
          </cell>
          <cell r="E56">
            <v>5141</v>
          </cell>
          <cell r="F56" t="str">
            <v>Ineabel Del toro</v>
          </cell>
        </row>
        <row r="57">
          <cell r="A57">
            <v>38</v>
          </cell>
          <cell r="B57" t="str">
            <v>Evergreen Black Fleur Floor Mat 18x30 Black</v>
          </cell>
          <cell r="E57">
            <v>5154</v>
          </cell>
          <cell r="F57" t="str">
            <v>Sandra Escobar</v>
          </cell>
        </row>
        <row r="58">
          <cell r="A58">
            <v>39</v>
          </cell>
          <cell r="B58" t="str">
            <v>Tool Bag 16 Pockets Polyester 15x8.6x10.6</v>
          </cell>
          <cell r="E58">
            <v>5063</v>
          </cell>
          <cell r="F58" t="str">
            <v>Linh Nguyen</v>
          </cell>
        </row>
        <row r="59">
          <cell r="A59">
            <v>40</v>
          </cell>
          <cell r="B59" t="str">
            <v>The Children's Place Girls Skort XXL</v>
          </cell>
          <cell r="F59" t="str">
            <v>Floor</v>
          </cell>
        </row>
        <row r="60">
          <cell r="A60">
            <v>41</v>
          </cell>
          <cell r="B60" t="str">
            <v>24in Modern Bathroom Vanity Light Gold</v>
          </cell>
          <cell r="E60">
            <v>5254</v>
          </cell>
          <cell r="F60" t="str">
            <v>Jessica Fleming</v>
          </cell>
        </row>
        <row r="61">
          <cell r="A61" t="str">
            <v>41m</v>
          </cell>
          <cell r="B61" t="str">
            <v>30 in. Microwave Trim Kit - SS-(W3)</v>
          </cell>
          <cell r="E61">
            <v>5210</v>
          </cell>
          <cell r="F61" t="str">
            <v>Brianna Belcher</v>
          </cell>
        </row>
        <row r="62">
          <cell r="A62">
            <v>42</v>
          </cell>
          <cell r="B62" t="str">
            <v>Kanu Surf Infinite Mens Swim Trunks 9" Inseam Size</v>
          </cell>
          <cell r="F62" t="str">
            <v>Floor</v>
          </cell>
        </row>
        <row r="63">
          <cell r="A63">
            <v>43</v>
          </cell>
          <cell r="B63" t="str">
            <v>Evergreen Black Fleur Floor Mat 18x30 Black</v>
          </cell>
          <cell r="E63">
            <v>5154</v>
          </cell>
          <cell r="F63" t="str">
            <v>Sandra Escobar</v>
          </cell>
        </row>
        <row r="64">
          <cell r="A64">
            <v>44</v>
          </cell>
          <cell r="B64" t="str">
            <v>Black Dimmable Chandelier with Remote</v>
          </cell>
          <cell r="E64">
            <v>5076</v>
          </cell>
          <cell r="F64" t="str">
            <v>JAVIER IGNACIO FERNANDEZ GONZALO</v>
          </cell>
        </row>
        <row r="65">
          <cell r="A65">
            <v>45</v>
          </cell>
          <cell r="B65" t="str">
            <v>Acoustic Audio by Goldwood 2.1 System (AA2172)</v>
          </cell>
          <cell r="E65">
            <v>5239</v>
          </cell>
          <cell r="F65" t="str">
            <v>Victor Cardenas</v>
          </cell>
        </row>
        <row r="66">
          <cell r="A66">
            <v>46</v>
          </cell>
          <cell r="B66" t="str">
            <v>GHV Cordless Zebra Blinds 29x64 Gray</v>
          </cell>
          <cell r="F66" t="str">
            <v>Floor</v>
          </cell>
        </row>
        <row r="67">
          <cell r="A67" t="str">
            <v>46m</v>
          </cell>
          <cell r="B67" t="str">
            <v>30 in. 4-Burner Recessed Gas Cooktop White-(W3)</v>
          </cell>
          <cell r="E67">
            <v>5219</v>
          </cell>
          <cell r="F67" t="str">
            <v>Colleen Culpepper</v>
          </cell>
        </row>
        <row r="68">
          <cell r="A68">
            <v>47</v>
          </cell>
          <cell r="B68" t="str">
            <v>34 Inch Canoe Seats Nylon Webbed Replacement</v>
          </cell>
          <cell r="E68">
            <v>5141</v>
          </cell>
          <cell r="F68" t="str">
            <v>Ineabel Del toro</v>
          </cell>
        </row>
        <row r="69">
          <cell r="A69">
            <v>48</v>
          </cell>
          <cell r="B69" t="str">
            <v>XIAOAIKA USA National Parks Poster - 20x30</v>
          </cell>
          <cell r="F69" t="str">
            <v>Floor</v>
          </cell>
        </row>
        <row r="70">
          <cell r="A70">
            <v>49</v>
          </cell>
          <cell r="B70" t="str">
            <v>The Children's Place Girls Ponte Knit Skort - Size</v>
          </cell>
          <cell r="F70" t="str">
            <v>Floor</v>
          </cell>
        </row>
        <row r="71">
          <cell r="A71">
            <v>50</v>
          </cell>
          <cell r="B71" t="str">
            <v>22-Inch Magnetic Privacy Screen</v>
          </cell>
          <cell r="F71" t="str">
            <v>Floor</v>
          </cell>
        </row>
        <row r="72">
          <cell r="A72">
            <v>51</v>
          </cell>
          <cell r="B72" t="str">
            <v>2 Pcs 48" x 24" x 1/30' Flexible Translucent PE Pl</v>
          </cell>
          <cell r="E72">
            <v>5115</v>
          </cell>
          <cell r="F72" t="str">
            <v>Holly Whitaker</v>
          </cell>
        </row>
        <row r="73">
          <cell r="A73">
            <v>52</v>
          </cell>
          <cell r="B73" t="str">
            <v>Dog Car Seat Cover with Mesh Window</v>
          </cell>
          <cell r="F73" t="str">
            <v>Floor</v>
          </cell>
        </row>
        <row r="74">
          <cell r="A74">
            <v>53</v>
          </cell>
          <cell r="B74" t="str">
            <v>Club Car Precedent Front Seat Covers</v>
          </cell>
          <cell r="E74">
            <v>5060</v>
          </cell>
          <cell r="F74" t="str">
            <v>Ademola Lawal</v>
          </cell>
        </row>
        <row r="75">
          <cell r="A75">
            <v>54</v>
          </cell>
          <cell r="B75" t="str">
            <v>Tool Bag 16 Pockets Polyester 15x8.6x10.6</v>
          </cell>
          <cell r="E75">
            <v>5211</v>
          </cell>
          <cell r="F75" t="str">
            <v>Julie Phillips</v>
          </cell>
        </row>
        <row r="76">
          <cell r="A76">
            <v>55</v>
          </cell>
          <cell r="B76" t="str">
            <v>Bounty Quick Size Paper Towels 8 rolls</v>
          </cell>
          <cell r="E76">
            <v>5076</v>
          </cell>
          <cell r="F76" t="str">
            <v>JAVIER IGNACIO FERNANDEZ GONZALO</v>
          </cell>
        </row>
        <row r="77">
          <cell r="A77" t="str">
            <v>55m</v>
          </cell>
          <cell r="B77" t="str">
            <v>Samsung 7.5 cubic Ft gas dryer</v>
          </cell>
          <cell r="E77">
            <v>5186</v>
          </cell>
          <cell r="F77" t="str">
            <v>Yusuf Alarayedh</v>
          </cell>
        </row>
        <row r="78">
          <cell r="A78">
            <v>56</v>
          </cell>
          <cell r="B78" t="str">
            <v>Harbor/Marcal 1-ply Hard Roll Towels 6 pk</v>
          </cell>
          <cell r="E78">
            <v>5222</v>
          </cell>
          <cell r="F78" t="str">
            <v>Karen Gaines</v>
          </cell>
        </row>
        <row r="79">
          <cell r="A79" t="str">
            <v>56m</v>
          </cell>
          <cell r="B79" t="str">
            <v>Insignia Laundry Pedestal for Washer &amp; Dryer-(W3)</v>
          </cell>
          <cell r="E79">
            <v>5046</v>
          </cell>
          <cell r="F79" t="str">
            <v>ron larson</v>
          </cell>
        </row>
        <row r="80">
          <cell r="A80">
            <v>57</v>
          </cell>
          <cell r="B80" t="str">
            <v>Kohree 7500lb RV Stabilizer Jacks Set (2)</v>
          </cell>
          <cell r="E80">
            <v>5237</v>
          </cell>
          <cell r="F80" t="str">
            <v>Adalberto Jasso</v>
          </cell>
        </row>
        <row r="81">
          <cell r="A81">
            <v>58</v>
          </cell>
          <cell r="B81" t="str">
            <v>1-1/4" 25FT Electrical Conduit Kit</v>
          </cell>
          <cell r="E81">
            <v>5063</v>
          </cell>
          <cell r="F81" t="str">
            <v>Linh Nguyen</v>
          </cell>
        </row>
        <row r="82">
          <cell r="A82">
            <v>59</v>
          </cell>
          <cell r="B82" t="str">
            <v>Stone Bath Mat Quick Drying 24" x 16" Lotus</v>
          </cell>
          <cell r="E82">
            <v>5216</v>
          </cell>
          <cell r="F82" t="str">
            <v>Jacob Steinman</v>
          </cell>
        </row>
        <row r="83">
          <cell r="A83">
            <v>60</v>
          </cell>
          <cell r="B83" t="str">
            <v>Esthetician Storage Trolley Cart - 3-Tier</v>
          </cell>
          <cell r="E83">
            <v>5260</v>
          </cell>
          <cell r="F83" t="str">
            <v>danny cano</v>
          </cell>
        </row>
        <row r="84">
          <cell r="A84">
            <v>61</v>
          </cell>
          <cell r="B84" t="str">
            <v>Mobile TV Cart 10-46" Tilt/Rotate White</v>
          </cell>
          <cell r="E84">
            <v>5254</v>
          </cell>
          <cell r="F84" t="str">
            <v>Jessica Fleming</v>
          </cell>
        </row>
        <row r="85">
          <cell r="A85" t="str">
            <v>61m</v>
          </cell>
          <cell r="B85" t="str">
            <v>Frigidaire 30-in Under-Cabinet Range Hood White -</v>
          </cell>
          <cell r="E85">
            <v>5141</v>
          </cell>
          <cell r="F85" t="str">
            <v>Ineabel Del toro</v>
          </cell>
        </row>
        <row r="86">
          <cell r="A86">
            <v>62</v>
          </cell>
          <cell r="B86" t="str">
            <v>Stria Machine Woven Throw Blanket</v>
          </cell>
          <cell r="E86">
            <v>5154</v>
          </cell>
          <cell r="F86" t="str">
            <v>Sandra Escobar</v>
          </cell>
        </row>
        <row r="87">
          <cell r="A87">
            <v>63</v>
          </cell>
          <cell r="B87" t="str">
            <v>Salford Brown Plaid Faux Leather Curtain 50x84 (1</v>
          </cell>
          <cell r="F87" t="str">
            <v>Floor</v>
          </cell>
        </row>
        <row r="88">
          <cell r="A88">
            <v>64</v>
          </cell>
          <cell r="B88" t="str">
            <v>Brown Gingham Check Tasseled Cotton Blend Square T</v>
          </cell>
          <cell r="E88">
            <v>5154</v>
          </cell>
          <cell r="F88" t="str">
            <v>Sandra Escobar</v>
          </cell>
        </row>
        <row r="89">
          <cell r="A89">
            <v>65</v>
          </cell>
          <cell r="B89" t="str">
            <v>Farberware  Radiant 12.25-Inch Frying Pan</v>
          </cell>
          <cell r="E89">
            <v>5065</v>
          </cell>
          <cell r="F89" t="str">
            <v>Thanh Tan Ngo</v>
          </cell>
        </row>
        <row r="90">
          <cell r="A90">
            <v>66</v>
          </cell>
          <cell r="B90" t="str">
            <v>Fisoew Womens Ski Suit Waterproof Snowsuit - Size</v>
          </cell>
          <cell r="E90">
            <v>5212</v>
          </cell>
          <cell r="F90" t="str">
            <v>freddie hejjo</v>
          </cell>
        </row>
        <row r="91">
          <cell r="A91" t="str">
            <v>66m</v>
          </cell>
          <cell r="B91" t="str">
            <v>Samsung Over-the-Range Microwave with Sensor Cook-</v>
          </cell>
          <cell r="E91">
            <v>5211</v>
          </cell>
          <cell r="F91" t="str">
            <v>Julie Phillips</v>
          </cell>
        </row>
        <row r="92">
          <cell r="A92">
            <v>67</v>
          </cell>
          <cell r="B92" t="str">
            <v>13 in Titanium Wok with Lid Nonstick</v>
          </cell>
          <cell r="E92">
            <v>5265</v>
          </cell>
          <cell r="F92" t="str">
            <v>ahsan quddus</v>
          </cell>
        </row>
        <row r="93">
          <cell r="A93">
            <v>68</v>
          </cell>
          <cell r="B93" t="str">
            <v>GATHER 700PCS Gold Plastic Plates Set</v>
          </cell>
          <cell r="E93">
            <v>5212</v>
          </cell>
          <cell r="F93" t="str">
            <v>freddie hejjo</v>
          </cell>
        </row>
        <row r="94">
          <cell r="A94">
            <v>69</v>
          </cell>
          <cell r="B94" t="str">
            <v>4.75 in. 1-Light Brushed Nickel Sconce</v>
          </cell>
          <cell r="E94">
            <v>5032</v>
          </cell>
          <cell r="F94" t="str">
            <v>Martha Kontos</v>
          </cell>
        </row>
        <row r="95">
          <cell r="A95">
            <v>70</v>
          </cell>
          <cell r="B95" t="str">
            <v>Cast Iron Camp Pie Cooker (2)</v>
          </cell>
          <cell r="E95">
            <v>5141</v>
          </cell>
          <cell r="F95" t="str">
            <v>Ineabel Del toro</v>
          </cell>
        </row>
        <row r="96">
          <cell r="A96">
            <v>71</v>
          </cell>
          <cell r="B96" t="str">
            <v>Thrush Muffler Deep Race Tone Inlet 2.25</v>
          </cell>
          <cell r="E96">
            <v>5086</v>
          </cell>
          <cell r="F96" t="str">
            <v>Bobbie - Shannon Howard</v>
          </cell>
        </row>
        <row r="97">
          <cell r="A97" t="str">
            <v>71m</v>
          </cell>
          <cell r="B97" t="str">
            <v>Samsung StormWash 24-in Dishwasher - W3</v>
          </cell>
          <cell r="E97">
            <v>5217</v>
          </cell>
          <cell r="F97" t="str">
            <v>Lynne Nobles</v>
          </cell>
        </row>
        <row r="98">
          <cell r="A98">
            <v>72</v>
          </cell>
          <cell r="B98" t="str">
            <v>Demissle Fireplace Hearth Rug 27x48 Inch</v>
          </cell>
          <cell r="F98" t="str">
            <v>Floor</v>
          </cell>
        </row>
        <row r="99">
          <cell r="A99">
            <v>73</v>
          </cell>
          <cell r="B99" t="str">
            <v>Anne Klein Sandals Size 8.5M Women s</v>
          </cell>
          <cell r="E99">
            <v>5264</v>
          </cell>
          <cell r="F99" t="str">
            <v>Deepa Dubey</v>
          </cell>
        </row>
        <row r="100">
          <cell r="A100">
            <v>74</v>
          </cell>
          <cell r="B100" t="str">
            <v>Viski Gold 17 oz Stainless Shaker with Strainer</v>
          </cell>
          <cell r="E100">
            <v>5279</v>
          </cell>
          <cell r="F100" t="str">
            <v>Katie Nguyen</v>
          </cell>
        </row>
        <row r="101">
          <cell r="A101">
            <v>75</v>
          </cell>
          <cell r="B101" t="str">
            <v>Ganote Animal Print Faux Cowhide Brown Area Rug -</v>
          </cell>
          <cell r="E101">
            <v>5068</v>
          </cell>
          <cell r="F101" t="str">
            <v>nelson guandique</v>
          </cell>
        </row>
        <row r="102">
          <cell r="A102">
            <v>76</v>
          </cell>
          <cell r="B102" t="str">
            <v>365-Gallon 103" Pink Pool Organizer</v>
          </cell>
          <cell r="E102">
            <v>5246</v>
          </cell>
          <cell r="F102" t="str">
            <v>Rebecca Alvarado</v>
          </cell>
        </row>
        <row r="103">
          <cell r="A103" t="str">
            <v>76m</v>
          </cell>
          <cell r="B103" t="str">
            <v>Bosch 800 Series 30" Downdraft Stainless-(W3)</v>
          </cell>
          <cell r="E103">
            <v>5046</v>
          </cell>
          <cell r="F103" t="str">
            <v>ron larson</v>
          </cell>
        </row>
        <row r="104">
          <cell r="A104">
            <v>77</v>
          </cell>
          <cell r="B104" t="str">
            <v>Dog Car Seat Cover with Mesh Window</v>
          </cell>
          <cell r="F104" t="str">
            <v>Floor</v>
          </cell>
        </row>
        <row r="105">
          <cell r="A105">
            <v>78</v>
          </cell>
          <cell r="B105" t="str">
            <v>Basicwise Kids Lap Desk Tray Pink</v>
          </cell>
          <cell r="E105">
            <v>5070</v>
          </cell>
          <cell r="F105" t="str">
            <v>Laurie Lavoie</v>
          </cell>
        </row>
        <row r="106">
          <cell r="A106">
            <v>79</v>
          </cell>
          <cell r="B106" t="str">
            <v>Basicwise Kids Lap Desk Tray Pink</v>
          </cell>
          <cell r="E106">
            <v>5279</v>
          </cell>
          <cell r="F106" t="str">
            <v>Katie Nguyen</v>
          </cell>
        </row>
        <row r="107">
          <cell r="A107">
            <v>80</v>
          </cell>
          <cell r="B107" t="str">
            <v>Traeger Pellet Grill Storage Shelf Pro 22/575</v>
          </cell>
          <cell r="E107">
            <v>5141</v>
          </cell>
          <cell r="F107" t="str">
            <v>Ineabel Del toro</v>
          </cell>
        </row>
        <row r="108">
          <cell r="A108">
            <v>81</v>
          </cell>
          <cell r="B108" t="str">
            <v>Traeger Pellet Grill Storage Shelf Pro 22/575</v>
          </cell>
          <cell r="E108">
            <v>5141</v>
          </cell>
          <cell r="F108" t="str">
            <v>Ineabel Del toro</v>
          </cell>
        </row>
        <row r="109">
          <cell r="A109" t="str">
            <v>81m</v>
          </cell>
          <cell r="B109" t="str">
            <v>Whirlpool 30 in. 4-Burner Recessed Gas Cooktop (W3</v>
          </cell>
          <cell r="E109">
            <v>5155</v>
          </cell>
          <cell r="F109" t="str">
            <v>Harold Clemons</v>
          </cell>
        </row>
        <row r="110">
          <cell r="A110">
            <v>82</v>
          </cell>
          <cell r="B110" t="str">
            <v>TapeManBlue Carpet Protection Film 24"x200'</v>
          </cell>
          <cell r="E110">
            <v>5006</v>
          </cell>
          <cell r="F110" t="str">
            <v>Joseph Haddad</v>
          </cell>
        </row>
        <row r="111">
          <cell r="A111">
            <v>83</v>
          </cell>
          <cell r="B111" t="str">
            <v>White Cordless Vinyl Blind 30x36 (2 pack)</v>
          </cell>
          <cell r="F111" t="str">
            <v>Floor</v>
          </cell>
        </row>
        <row r="112">
          <cell r="A112">
            <v>84</v>
          </cell>
          <cell r="B112" t="str">
            <v>White Cordless Vinyl Blind 30x36 (2 pack)</v>
          </cell>
          <cell r="F112" t="str">
            <v>Floor</v>
          </cell>
        </row>
        <row r="113">
          <cell r="A113">
            <v>85</v>
          </cell>
          <cell r="B113" t="str">
            <v>Gaahing 14" x 21" Aluminum Shed Window Kit</v>
          </cell>
          <cell r="E113">
            <v>5141</v>
          </cell>
          <cell r="F113" t="str">
            <v>Ineabel Del toro</v>
          </cell>
        </row>
        <row r="114">
          <cell r="A114">
            <v>86</v>
          </cell>
          <cell r="B114" t="str">
            <v>LaRibbons Wrapping Paper Set 4 Rolls</v>
          </cell>
          <cell r="E114">
            <v>5216</v>
          </cell>
          <cell r="F114" t="str">
            <v>Jacob Steinman</v>
          </cell>
        </row>
        <row r="115">
          <cell r="A115" t="str">
            <v>86m</v>
          </cell>
          <cell r="B115" t="str">
            <v>Insignia Laundry Pedestal for Washer &amp; Dryer-(W3)</v>
          </cell>
          <cell r="E115">
            <v>5046</v>
          </cell>
          <cell r="F115" t="str">
            <v>ron larson</v>
          </cell>
        </row>
        <row r="116">
          <cell r="A116">
            <v>87</v>
          </cell>
          <cell r="B116" t="str">
            <v>Gold Drum Chandelier: Linen Shade 4-Light</v>
          </cell>
          <cell r="E116">
            <v>5070</v>
          </cell>
          <cell r="F116" t="str">
            <v>Laurie Lavoie</v>
          </cell>
        </row>
        <row r="117">
          <cell r="A117">
            <v>88</v>
          </cell>
          <cell r="B117" t="str">
            <v>4-Step Wooden Dog Stairs for High Beds</v>
          </cell>
          <cell r="F117" t="str">
            <v>Floor</v>
          </cell>
        </row>
        <row r="118">
          <cell r="A118">
            <v>89</v>
          </cell>
          <cell r="B118" t="str">
            <v>ZLINE MWHZ-24-G Handle</v>
          </cell>
          <cell r="F118" t="str">
            <v>Floor</v>
          </cell>
        </row>
        <row r="119">
          <cell r="A119">
            <v>90</v>
          </cell>
          <cell r="B119" t="str">
            <v>4-Step Wooden Dog Stairs for High Beds</v>
          </cell>
          <cell r="E119">
            <v>5223</v>
          </cell>
          <cell r="F119" t="str">
            <v>Michael Fuselier</v>
          </cell>
        </row>
        <row r="120">
          <cell r="A120">
            <v>91</v>
          </cell>
          <cell r="B120" t="str">
            <v>ZLINE MWHZ-24-G Handle</v>
          </cell>
          <cell r="F120" t="str">
            <v>Floor</v>
          </cell>
        </row>
        <row r="121">
          <cell r="A121" t="str">
            <v>91m</v>
          </cell>
          <cell r="B121" t="str">
            <v>Whirlpool 30" 4-Burner Gas Cooktop (W3)</v>
          </cell>
          <cell r="E121">
            <v>5038</v>
          </cell>
          <cell r="F121" t="str">
            <v>kenia sosa</v>
          </cell>
        </row>
        <row r="122">
          <cell r="A122">
            <v>92</v>
          </cell>
          <cell r="B122" t="str">
            <v>Mwdz1hcb</v>
          </cell>
          <cell r="E122">
            <v>5276</v>
          </cell>
          <cell r="F122" t="str">
            <v>James McLean</v>
          </cell>
        </row>
        <row r="123">
          <cell r="A123">
            <v>93</v>
          </cell>
          <cell r="B123" t="str">
            <v>GE Microwave Mounting Kit (White)</v>
          </cell>
          <cell r="F123" t="str">
            <v>Floor</v>
          </cell>
        </row>
        <row r="124">
          <cell r="A124">
            <v>94</v>
          </cell>
          <cell r="B124" t="str">
            <v>4-Step Wooden Dog Stairs for High Beds</v>
          </cell>
          <cell r="E124">
            <v>5223</v>
          </cell>
          <cell r="F124" t="str">
            <v>Michael Fuselier</v>
          </cell>
        </row>
        <row r="125">
          <cell r="A125">
            <v>95</v>
          </cell>
          <cell r="B125" t="str">
            <v>Navy Steel Bottom Panel for 4-Door Fridge</v>
          </cell>
          <cell r="E125">
            <v>5046</v>
          </cell>
          <cell r="F125" t="str">
            <v>ron larson</v>
          </cell>
        </row>
        <row r="126">
          <cell r="A126">
            <v>96</v>
          </cell>
          <cell r="B126" t="str">
            <v>DIY Crew 18" Paper Roll Dispenser &amp; Cutter</v>
          </cell>
          <cell r="E126">
            <v>5194</v>
          </cell>
          <cell r="F126" t="str">
            <v>Jeremy Lemmons</v>
          </cell>
        </row>
        <row r="127">
          <cell r="A127" t="str">
            <v>96m</v>
          </cell>
          <cell r="B127" t="str">
            <v>Whirlpool 30 in. 4-Burner Recessed Gas Cooktop (W3</v>
          </cell>
          <cell r="E127">
            <v>5276</v>
          </cell>
          <cell r="F127" t="str">
            <v>James McLean</v>
          </cell>
        </row>
        <row r="128">
          <cell r="A128">
            <v>97</v>
          </cell>
          <cell r="B128" t="str">
            <v>Folding Dough Rolling Machine Manual Sheeter</v>
          </cell>
          <cell r="E128">
            <v>5133</v>
          </cell>
          <cell r="F128" t="str">
            <v>Cynthia Echols</v>
          </cell>
        </row>
        <row r="129">
          <cell r="A129">
            <v>98</v>
          </cell>
          <cell r="B129" t="str">
            <v>4-Step Wooden Dog Stairs for High Beds</v>
          </cell>
          <cell r="E129">
            <v>5223</v>
          </cell>
          <cell r="F129" t="str">
            <v>Michael Fuselier</v>
          </cell>
        </row>
        <row r="130">
          <cell r="A130">
            <v>99</v>
          </cell>
          <cell r="B130" t="str">
            <v>EGGKITPO Hotel Pans 6-Pack 4" Stainless Trays</v>
          </cell>
          <cell r="E130">
            <v>5122</v>
          </cell>
          <cell r="F130" t="str">
            <v>Clifton Self</v>
          </cell>
        </row>
        <row r="131">
          <cell r="A131">
            <v>100</v>
          </cell>
          <cell r="B131" t="str">
            <v>Roof Extractor Fan 171 CFM ETL bearings</v>
          </cell>
          <cell r="E131">
            <v>5184</v>
          </cell>
          <cell r="F131" t="str">
            <v>Victor South</v>
          </cell>
        </row>
        <row r="132">
          <cell r="A132">
            <v>101</v>
          </cell>
          <cell r="B132" t="str">
            <v>Deep Seat Cushions for Outdoor Patio Beige</v>
          </cell>
          <cell r="E132">
            <v>5060</v>
          </cell>
          <cell r="F132" t="str">
            <v>Ademola Lawal</v>
          </cell>
        </row>
        <row r="133">
          <cell r="A133">
            <v>102</v>
          </cell>
          <cell r="B133" t="str">
            <v>DEXI Cushioned Anti Fatigue Kitchen Mats</v>
          </cell>
          <cell r="E133">
            <v>5065</v>
          </cell>
          <cell r="F133" t="str">
            <v>Thanh Tan Ngo</v>
          </cell>
        </row>
        <row r="134">
          <cell r="A134">
            <v>103</v>
          </cell>
          <cell r="B134" t="str">
            <v>Dog Car Seat Cover with Mesh Window</v>
          </cell>
          <cell r="E134">
            <v>5113</v>
          </cell>
          <cell r="F134" t="str">
            <v>Gerardo Medina</v>
          </cell>
        </row>
        <row r="135">
          <cell r="A135">
            <v>104</v>
          </cell>
          <cell r="B135" t="str">
            <v>Basicwise Kids Lap Desk Tray Green</v>
          </cell>
          <cell r="E135">
            <v>5085</v>
          </cell>
          <cell r="F135" t="str">
            <v>Staci Miller</v>
          </cell>
        </row>
        <row r="136">
          <cell r="A136">
            <v>105</v>
          </cell>
          <cell r="B136" t="str">
            <v>Basicwise Kids Lap Desk Tray Green</v>
          </cell>
          <cell r="E136">
            <v>5279</v>
          </cell>
          <cell r="F136" t="str">
            <v>Katie Nguyen</v>
          </cell>
        </row>
        <row r="137">
          <cell r="A137">
            <v>106</v>
          </cell>
          <cell r="B137" t="str">
            <v>Gaahing 14" x 21" Aluminum Shed Window Kit</v>
          </cell>
          <cell r="E137">
            <v>5211</v>
          </cell>
          <cell r="F137" t="str">
            <v>Julie Phillips</v>
          </cell>
        </row>
        <row r="138">
          <cell r="A138" t="str">
            <v>106m</v>
          </cell>
          <cell r="B138" t="str">
            <v>Frigidaire 1.6 cu. ft. Over the Range Microwave in</v>
          </cell>
          <cell r="E138">
            <v>5098</v>
          </cell>
          <cell r="F138" t="str">
            <v>Ha Nguyen</v>
          </cell>
        </row>
        <row r="139">
          <cell r="A139">
            <v>107</v>
          </cell>
          <cell r="B139" t="str">
            <v>UNCLE WU Potty Trainer + Liners 18M+</v>
          </cell>
          <cell r="E139">
            <v>5279</v>
          </cell>
          <cell r="F139" t="str">
            <v>Katie Nguyen</v>
          </cell>
        </row>
        <row r="140">
          <cell r="A140">
            <v>108</v>
          </cell>
          <cell r="B140" t="str">
            <v>Newhai Warming Tray   6 Modes Timer 32x18</v>
          </cell>
          <cell r="E140">
            <v>5085</v>
          </cell>
          <cell r="F140" t="str">
            <v>Staci Miller</v>
          </cell>
        </row>
        <row r="141">
          <cell r="A141">
            <v>109</v>
          </cell>
          <cell r="B141" t="str">
            <v>Drain Clog Remover Kit - 25" Drain Snake (3pc)</v>
          </cell>
          <cell r="E141">
            <v>5260</v>
          </cell>
          <cell r="F141" t="str">
            <v>danny cano</v>
          </cell>
        </row>
        <row r="142">
          <cell r="A142">
            <v>110</v>
          </cell>
          <cell r="B142" t="str">
            <v>8" Heavy Duty Casters 4-pack 7000lb</v>
          </cell>
          <cell r="E142">
            <v>5208</v>
          </cell>
          <cell r="F142" t="str">
            <v>Anna Brooks</v>
          </cell>
        </row>
        <row r="143">
          <cell r="A143">
            <v>111</v>
          </cell>
          <cell r="B143" t="str">
            <v>Commercial Deep Fryer Filter AF45 304 SS</v>
          </cell>
          <cell r="E143">
            <v>5046</v>
          </cell>
          <cell r="F143" t="str">
            <v>ron larson</v>
          </cell>
        </row>
        <row r="144">
          <cell r="A144" t="str">
            <v>111m</v>
          </cell>
          <cell r="B144" t="str">
            <v>GE 27 in. Electric Wall Oven Steam Self-Cleaning</v>
          </cell>
          <cell r="E144">
            <v>5278</v>
          </cell>
          <cell r="F144" t="str">
            <v>Mark Templin</v>
          </cell>
        </row>
        <row r="145">
          <cell r="A145">
            <v>112</v>
          </cell>
          <cell r="B145" t="str">
            <v>Shower Chair with Suction Cup Feet</v>
          </cell>
          <cell r="E145">
            <v>5091</v>
          </cell>
          <cell r="F145" t="str">
            <v>Mary Newton</v>
          </cell>
        </row>
        <row r="146">
          <cell r="A146">
            <v>113</v>
          </cell>
          <cell r="B146" t="str">
            <v>Snailax Memory Foam Massage Mat with Heat</v>
          </cell>
          <cell r="E146">
            <v>5245</v>
          </cell>
          <cell r="F146" t="str">
            <v>Chris Billips</v>
          </cell>
        </row>
        <row r="147">
          <cell r="A147" t="str">
            <v>113m</v>
          </cell>
          <cell r="B147" t="str">
            <v>Magnolia Home by Joanna Gaines x Loloi Gigi Grey /</v>
          </cell>
          <cell r="E147">
            <v>5060</v>
          </cell>
          <cell r="F147" t="str">
            <v>Ademola Lawal</v>
          </cell>
        </row>
        <row r="148">
          <cell r="A148">
            <v>114</v>
          </cell>
          <cell r="B148" t="str">
            <v>Kenney 3-Shelf Shower Caddy Chrome</v>
          </cell>
          <cell r="E148">
            <v>5246</v>
          </cell>
          <cell r="F148" t="str">
            <v>Rebecca Alvarado</v>
          </cell>
        </row>
        <row r="149">
          <cell r="A149">
            <v>115</v>
          </cell>
          <cell r="B149" t="str">
            <v>Handheld Immersion Blender 1000W Orange</v>
          </cell>
          <cell r="E149">
            <v>5065</v>
          </cell>
          <cell r="F149" t="str">
            <v>Thanh Tan Ngo</v>
          </cell>
        </row>
        <row r="150">
          <cell r="A150">
            <v>116</v>
          </cell>
          <cell r="B150" t="str">
            <v>Reverse Osmosis Countertop Water Filter 75GPD</v>
          </cell>
          <cell r="E150">
            <v>5060</v>
          </cell>
          <cell r="F150" t="str">
            <v>Ademola Lawal</v>
          </cell>
        </row>
        <row r="151">
          <cell r="A151" t="str">
            <v>116m</v>
          </cell>
          <cell r="B151" t="str">
            <v>Maytag 24 in Top-Control Tall Tub Dishwasher Black</v>
          </cell>
          <cell r="E151">
            <v>5186</v>
          </cell>
          <cell r="F151" t="str">
            <v>Yusuf Alarayedh</v>
          </cell>
        </row>
        <row r="152">
          <cell r="A152">
            <v>117</v>
          </cell>
          <cell r="B152" t="str">
            <v>Electric Chafing Dish Buffet Server A-02</v>
          </cell>
          <cell r="E152">
            <v>5088</v>
          </cell>
          <cell r="F152" t="str">
            <v>Michael Araiza</v>
          </cell>
        </row>
        <row r="153">
          <cell r="A153">
            <v>118</v>
          </cell>
          <cell r="B153" t="str">
            <v>Universal TV Stand with Power Outlet White</v>
          </cell>
          <cell r="E153">
            <v>5060</v>
          </cell>
          <cell r="F153" t="str">
            <v>Ademola Lawal</v>
          </cell>
        </row>
        <row r="154">
          <cell r="A154">
            <v>119</v>
          </cell>
          <cell r="B154" t="str">
            <v>4-Quart Slow Cooker with Warm Setting</v>
          </cell>
          <cell r="E154">
            <v>5154</v>
          </cell>
          <cell r="F154" t="str">
            <v>Sandra Escobar</v>
          </cell>
        </row>
        <row r="155">
          <cell r="A155">
            <v>120</v>
          </cell>
          <cell r="B155" t="str">
            <v>Cheflee Stand Mixer 660W 6.5Qt Bowl (Blue)</v>
          </cell>
          <cell r="E155">
            <v>5070</v>
          </cell>
          <cell r="F155" t="str">
            <v>Laurie Lavoie</v>
          </cell>
        </row>
        <row r="156">
          <cell r="A156">
            <v>121</v>
          </cell>
          <cell r="B156" t="str">
            <v>GBHOME Ceramic Dinnerware Set 4 12p Blue</v>
          </cell>
          <cell r="E156">
            <v>5078</v>
          </cell>
          <cell r="F156" t="str">
            <v>Tommy Do</v>
          </cell>
        </row>
        <row r="157">
          <cell r="A157" t="str">
            <v>121m</v>
          </cell>
          <cell r="B157" t="str">
            <v>36 in. Smart Range Hood with Light Stainless (W3)</v>
          </cell>
          <cell r="E157">
            <v>5005</v>
          </cell>
          <cell r="F157" t="str">
            <v>BEST OZUMBA</v>
          </cell>
        </row>
        <row r="158">
          <cell r="A158">
            <v>122</v>
          </cell>
          <cell r="B158" t="str">
            <v>Kasepie 3mm Clear Table Cover 20 40in</v>
          </cell>
          <cell r="E158">
            <v>5270</v>
          </cell>
          <cell r="F158" t="str">
            <v>Vansa Hanson</v>
          </cell>
        </row>
        <row r="159">
          <cell r="A159">
            <v>123</v>
          </cell>
          <cell r="B159" t="str">
            <v>FOHERE 200W Meat Slicer 7.5" Dual Blade</v>
          </cell>
          <cell r="E159">
            <v>5229</v>
          </cell>
          <cell r="F159" t="str">
            <v>Patricia Gottberg</v>
          </cell>
        </row>
        <row r="160">
          <cell r="A160">
            <v>124</v>
          </cell>
          <cell r="B160" t="str">
            <v>Solid Wood Checkered Cutting Board 16x12</v>
          </cell>
          <cell r="E160">
            <v>5164</v>
          </cell>
          <cell r="F160" t="str">
            <v>Noble Sifat</v>
          </cell>
        </row>
        <row r="161">
          <cell r="A161">
            <v>126</v>
          </cell>
          <cell r="B161" t="str">
            <v>Razor Crazy Cart Shuffle   Kid Go-Kart</v>
          </cell>
          <cell r="E161">
            <v>5204</v>
          </cell>
          <cell r="F161" t="str">
            <v>Stephanie Perez</v>
          </cell>
        </row>
        <row r="162">
          <cell r="A162" t="str">
            <v>126m</v>
          </cell>
          <cell r="B162" t="str">
            <v>Samsung NQ70R5511D 30" Oven w/Microwave (W3)</v>
          </cell>
          <cell r="E162">
            <v>5296</v>
          </cell>
          <cell r="F162" t="str">
            <v>Shawn Pekley</v>
          </cell>
        </row>
        <row r="163">
          <cell r="A163">
            <v>127</v>
          </cell>
          <cell r="B163" t="str">
            <v>Razor Crazy Cart Shuffle   Kid Go-Kart</v>
          </cell>
          <cell r="E163">
            <v>5070</v>
          </cell>
          <cell r="F163" t="str">
            <v>Laurie Lavoie</v>
          </cell>
        </row>
        <row r="164">
          <cell r="A164">
            <v>128</v>
          </cell>
          <cell r="B164" t="str">
            <v>RUBIES II Harley Quinn Birds of Prey Prop</v>
          </cell>
          <cell r="F164" t="str">
            <v>Floor</v>
          </cell>
        </row>
        <row r="165">
          <cell r="A165">
            <v>129</v>
          </cell>
          <cell r="B165" t="str">
            <v>5 in. Plastic Icemaker Installation Kit</v>
          </cell>
          <cell r="F165" t="str">
            <v>Floor</v>
          </cell>
        </row>
        <row r="166">
          <cell r="A166">
            <v>130</v>
          </cell>
          <cell r="B166" t="str">
            <v>70L Large Laundry Hamper Cotton Collapsible</v>
          </cell>
          <cell r="E166">
            <v>5237</v>
          </cell>
          <cell r="F166" t="str">
            <v>Adalberto Jasso</v>
          </cell>
        </row>
        <row r="167">
          <cell r="A167">
            <v>131</v>
          </cell>
          <cell r="B167" t="str">
            <v>Wesiti 6 Pcs Stanchion Post Set with Rope</v>
          </cell>
          <cell r="E167">
            <v>5147</v>
          </cell>
          <cell r="F167" t="str">
            <v>Brittany Steadman</v>
          </cell>
        </row>
        <row r="168">
          <cell r="A168" t="str">
            <v>131m</v>
          </cell>
          <cell r="B168" t="str">
            <v>Architect Series II Dishwasher White-(W3)</v>
          </cell>
          <cell r="E168">
            <v>5015</v>
          </cell>
          <cell r="F168" t="str">
            <v>Sangho Yi</v>
          </cell>
        </row>
        <row r="169">
          <cell r="A169">
            <v>132</v>
          </cell>
          <cell r="B169" t="str">
            <v>Titanium Cutting Boards</v>
          </cell>
          <cell r="E169">
            <v>5285</v>
          </cell>
          <cell r="F169" t="str">
            <v>Devonda Davis</v>
          </cell>
        </row>
        <row r="170">
          <cell r="A170">
            <v>133</v>
          </cell>
          <cell r="B170" t="str">
            <v>Chafing Dishes Buffet Set 9QT Gold/Silver</v>
          </cell>
          <cell r="E170">
            <v>5237</v>
          </cell>
          <cell r="F170" t="str">
            <v>Adalberto Jasso</v>
          </cell>
        </row>
        <row r="171">
          <cell r="A171">
            <v>134</v>
          </cell>
          <cell r="B171" t="str">
            <v>Lamosi 12 oz Disposable Cups with Lids (500)</v>
          </cell>
          <cell r="E171">
            <v>5212</v>
          </cell>
          <cell r="F171" t="str">
            <v>freddie hejjo</v>
          </cell>
        </row>
        <row r="172">
          <cell r="A172">
            <v>135</v>
          </cell>
          <cell r="B172" t="str">
            <v>Omzer Toddler Bed Rail (3 Sides) Queen</v>
          </cell>
          <cell r="E172">
            <v>5141</v>
          </cell>
          <cell r="F172" t="str">
            <v>Ineabel Del toro</v>
          </cell>
        </row>
        <row r="173">
          <cell r="A173">
            <v>136</v>
          </cell>
          <cell r="B173" t="str">
            <v>Mumufy 4 Pcs 3.5 gal Square Food Bucket</v>
          </cell>
          <cell r="E173">
            <v>5217</v>
          </cell>
          <cell r="F173" t="str">
            <v>Lynne Nobles</v>
          </cell>
        </row>
        <row r="174">
          <cell r="A174" t="str">
            <v>136m</v>
          </cell>
          <cell r="B174" t="str">
            <v>Venezia 36" Convertible Wall Hood with LEDs-(W3)</v>
          </cell>
          <cell r="E174">
            <v>5046</v>
          </cell>
          <cell r="F174" t="str">
            <v>ron larson</v>
          </cell>
        </row>
        <row r="175">
          <cell r="A175">
            <v>137</v>
          </cell>
          <cell r="B175" t="str">
            <v>4 Pack Black Dusk to Dawn Outdoor Wall Lantern Sco</v>
          </cell>
          <cell r="E175">
            <v>5066</v>
          </cell>
          <cell r="F175" t="str">
            <v>Cheryl Markham</v>
          </cell>
        </row>
        <row r="176">
          <cell r="A176">
            <v>138</v>
          </cell>
          <cell r="B176" t="str">
            <v>Devontaye 3-Light Square / Rectangle Chandelier Ki</v>
          </cell>
          <cell r="E176">
            <v>5079</v>
          </cell>
          <cell r="F176" t="str">
            <v>Robert Bierstedt</v>
          </cell>
        </row>
        <row r="177">
          <cell r="A177">
            <v>139</v>
          </cell>
          <cell r="B177" t="str">
            <v>Haileyville 64' Arched Floor Lamp with Remote Cont</v>
          </cell>
          <cell r="E177">
            <v>5024</v>
          </cell>
          <cell r="F177" t="str">
            <v>Matt Montes</v>
          </cell>
        </row>
        <row r="178">
          <cell r="A178">
            <v>140</v>
          </cell>
          <cell r="B178" t="str">
            <v>Gas Pilot Assembly OE 10002265/64 for Majestic</v>
          </cell>
          <cell r="E178">
            <v>5166</v>
          </cell>
          <cell r="F178" t="str">
            <v>William Garrett</v>
          </cell>
        </row>
        <row r="179">
          <cell r="A179">
            <v>141</v>
          </cell>
          <cell r="B179" t="str">
            <v>Delta Roman Tub Rough Faucet R2707</v>
          </cell>
          <cell r="F179" t="str">
            <v>Floor</v>
          </cell>
        </row>
        <row r="180">
          <cell r="A180" t="str">
            <v>141m</v>
          </cell>
          <cell r="B180" t="str">
            <v>Studio 36 in. Smart Wall Mount Hood 600 CFM-(W3)</v>
          </cell>
          <cell r="E180">
            <v>5046</v>
          </cell>
          <cell r="F180" t="str">
            <v>ron larson</v>
          </cell>
        </row>
        <row r="181">
          <cell r="A181">
            <v>142</v>
          </cell>
          <cell r="B181" t="str">
            <v>Creative Co-Op Woven Cotton Velvet Pillow</v>
          </cell>
          <cell r="E181">
            <v>5024</v>
          </cell>
          <cell r="F181" t="str">
            <v>Matt Montes</v>
          </cell>
        </row>
        <row r="182">
          <cell r="A182">
            <v>143</v>
          </cell>
          <cell r="B182" t="str">
            <v>Non-slip Stair Treads Carpet Stair Runners - Color</v>
          </cell>
          <cell r="E182">
            <v>5060</v>
          </cell>
          <cell r="F182" t="str">
            <v>Ademola Lawal</v>
          </cell>
        </row>
        <row r="183">
          <cell r="A183">
            <v>144</v>
          </cell>
          <cell r="B183" t="str">
            <v>Bedsure 301gsm Blanket For Couch - Super Soft Cozy</v>
          </cell>
          <cell r="E183">
            <v>5212</v>
          </cell>
          <cell r="F183" t="str">
            <v>freddie hejjo</v>
          </cell>
        </row>
        <row r="184">
          <cell r="A184">
            <v>145</v>
          </cell>
          <cell r="B184" t="str">
            <v>Stadiometer 8-85 in / 20-217 cm</v>
          </cell>
          <cell r="F184" t="str">
            <v>Floor</v>
          </cell>
        </row>
        <row r="185">
          <cell r="A185">
            <v>146</v>
          </cell>
          <cell r="B185" t="str">
            <v>Sancua Christmas Red 120" Round Tablecloth 8p</v>
          </cell>
          <cell r="E185">
            <v>5289</v>
          </cell>
          <cell r="F185" t="str">
            <v>Pamela Lockett</v>
          </cell>
        </row>
        <row r="186">
          <cell r="A186" t="str">
            <v>146m</v>
          </cell>
          <cell r="B186" t="str">
            <v>Whirlpool 30" 4-Burner Gas Cooktop (W3)</v>
          </cell>
          <cell r="E186">
            <v>5046</v>
          </cell>
          <cell r="F186" t="str">
            <v>ron larson</v>
          </cell>
        </row>
        <row r="187">
          <cell r="A187">
            <v>147</v>
          </cell>
          <cell r="B187" t="str">
            <v>30ft 50A RV Cord NEMA 14-50P/R STW UL/ETL</v>
          </cell>
          <cell r="E187">
            <v>5017</v>
          </cell>
          <cell r="F187" t="str">
            <v>robert dorland</v>
          </cell>
        </row>
        <row r="188">
          <cell r="A188">
            <v>148</v>
          </cell>
          <cell r="B188" t="str">
            <v>Royal Blue 12 Pcs Metal Buckets with Handles</v>
          </cell>
          <cell r="E188">
            <v>5233</v>
          </cell>
          <cell r="F188" t="str">
            <v>SHAUN BROWNE</v>
          </cell>
        </row>
        <row r="189">
          <cell r="A189">
            <v>149</v>
          </cell>
          <cell r="B189" t="str">
            <v>200A Generator Transfer Switch 24k/48kW</v>
          </cell>
          <cell r="E189">
            <v>5303</v>
          </cell>
          <cell r="F189" t="str">
            <v>Doug Clabough</v>
          </cell>
        </row>
        <row r="190">
          <cell r="A190">
            <v>150</v>
          </cell>
          <cell r="B190" t="str">
            <v>monTEK Slim Heavy Duty TV Wall Mount 37-90"</v>
          </cell>
          <cell r="E190">
            <v>5193</v>
          </cell>
          <cell r="F190" t="str">
            <v>Jonathan Huynh</v>
          </cell>
        </row>
        <row r="191">
          <cell r="A191">
            <v>151</v>
          </cell>
          <cell r="B191" t="str">
            <v>AWQ 200LED 66FT C6 Christmas Lights</v>
          </cell>
          <cell r="E191">
            <v>5227</v>
          </cell>
          <cell r="F191" t="str">
            <v>Mohsin Mirza</v>
          </cell>
        </row>
        <row r="192">
          <cell r="A192">
            <v>152</v>
          </cell>
          <cell r="B192" t="str">
            <v>KMINA Toilet Safety Rails for Elderly</v>
          </cell>
          <cell r="E192">
            <v>5154</v>
          </cell>
          <cell r="F192" t="str">
            <v>Sandra Escobar</v>
          </cell>
        </row>
        <row r="193">
          <cell r="A193">
            <v>153</v>
          </cell>
          <cell r="B193" t="str">
            <v>MALACASA Flora 26-Piece Dinnerware Set</v>
          </cell>
          <cell r="E193">
            <v>5233</v>
          </cell>
          <cell r="F193" t="str">
            <v>SHAUN BROWNE</v>
          </cell>
        </row>
        <row r="194">
          <cell r="A194">
            <v>154</v>
          </cell>
          <cell r="B194" t="str">
            <v>Cobalt Blue 7-Pc Enameled Cast Iron Set</v>
          </cell>
          <cell r="E194">
            <v>5222</v>
          </cell>
          <cell r="F194" t="str">
            <v>Karen Gaines</v>
          </cell>
        </row>
        <row r="195">
          <cell r="A195">
            <v>155</v>
          </cell>
          <cell r="B195" t="str">
            <v>Coghlan's Green Trash Can 24 in. H X 19 in. W</v>
          </cell>
          <cell r="E195">
            <v>5091</v>
          </cell>
          <cell r="F195" t="str">
            <v>Mary Newton</v>
          </cell>
        </row>
        <row r="196">
          <cell r="A196">
            <v>156</v>
          </cell>
          <cell r="B196" t="str">
            <v>KMINA Toilet Safety Rails for Elderly</v>
          </cell>
          <cell r="E196">
            <v>5304</v>
          </cell>
          <cell r="F196" t="str">
            <v>Shawnette Garcia</v>
          </cell>
        </row>
        <row r="197">
          <cell r="A197" t="str">
            <v>156m</v>
          </cell>
          <cell r="B197" t="str">
            <v>Whirlpool 30" 4-Burner Gas Cooktop (W3)</v>
          </cell>
          <cell r="E197">
            <v>5046</v>
          </cell>
          <cell r="F197" t="str">
            <v>ron larson</v>
          </cell>
        </row>
        <row r="198">
          <cell r="A198">
            <v>157</v>
          </cell>
          <cell r="B198" t="str">
            <v>Aucma Stand Mixer 1400W 6.2L with Hooks (Red)</v>
          </cell>
          <cell r="E198">
            <v>5307</v>
          </cell>
          <cell r="F198" t="str">
            <v>Margaret Lynch-Barone</v>
          </cell>
        </row>
        <row r="199">
          <cell r="A199">
            <v>158</v>
          </cell>
          <cell r="B199" t="str">
            <v>AWQ 200LED 66ft C6 Christmas Lights 8 Modes</v>
          </cell>
          <cell r="E199">
            <v>5227</v>
          </cell>
          <cell r="F199" t="str">
            <v>Mohsin Mirza</v>
          </cell>
        </row>
        <row r="200">
          <cell r="A200">
            <v>159</v>
          </cell>
          <cell r="B200" t="str">
            <v>InSinkErator EZ Connect Power Cord</v>
          </cell>
          <cell r="F200" t="str">
            <v>Floor</v>
          </cell>
        </row>
        <row r="201">
          <cell r="A201" t="str">
            <v>159m</v>
          </cell>
          <cell r="B201" t="str">
            <v>Wood Table Top</v>
          </cell>
          <cell r="E201">
            <v>5046</v>
          </cell>
          <cell r="F201" t="str">
            <v>ron larson</v>
          </cell>
        </row>
        <row r="202">
          <cell r="A202">
            <v>160</v>
          </cell>
          <cell r="B202" t="str">
            <v>Delta Trinsic 24-in Champagne Bronze Towel Bar</v>
          </cell>
          <cell r="E202">
            <v>5133</v>
          </cell>
          <cell r="F202" t="str">
            <v>Cynthia Echols</v>
          </cell>
        </row>
        <row r="203">
          <cell r="A203" t="str">
            <v>161m</v>
          </cell>
          <cell r="B203" t="str">
            <v>LG Top Control Dishwasher Black Stainless TrueStea</v>
          </cell>
          <cell r="E203">
            <v>5164</v>
          </cell>
          <cell r="F203" t="str">
            <v>Noble Sifat</v>
          </cell>
        </row>
        <row r="204">
          <cell r="A204">
            <v>162</v>
          </cell>
          <cell r="B204" t="str">
            <v>17.7" Black Drum Ceiling Light Fixture</v>
          </cell>
          <cell r="E204">
            <v>5060</v>
          </cell>
          <cell r="F204" t="str">
            <v>Ademola Lawal</v>
          </cell>
        </row>
        <row r="205">
          <cell r="A205">
            <v>163</v>
          </cell>
          <cell r="B205" t="str">
            <v>Male Mannequin Torso with Head 76"</v>
          </cell>
          <cell r="E205">
            <v>5291</v>
          </cell>
          <cell r="F205" t="str">
            <v>Lauren Harrison</v>
          </cell>
        </row>
        <row r="206">
          <cell r="A206">
            <v>164</v>
          </cell>
          <cell r="B206" t="str">
            <v>2026 4-Channel Car Amplifier 6800W</v>
          </cell>
          <cell r="E206">
            <v>5306</v>
          </cell>
          <cell r="F206" t="str">
            <v>Angel Perez</v>
          </cell>
        </row>
        <row r="207">
          <cell r="A207">
            <v>165</v>
          </cell>
          <cell r="B207" t="str">
            <v>Rubber Threshold Ramp with Handle (2pcs)</v>
          </cell>
          <cell r="E207">
            <v>5218</v>
          </cell>
          <cell r="F207" t="str">
            <v>Ngoc Nguyen</v>
          </cell>
        </row>
        <row r="208">
          <cell r="A208">
            <v>166</v>
          </cell>
          <cell r="B208" t="str">
            <v>Fire Bricks WoodStove 2400F 12 pcs White</v>
          </cell>
          <cell r="E208">
            <v>5069</v>
          </cell>
          <cell r="F208" t="str">
            <v>Frank Pannell</v>
          </cell>
        </row>
        <row r="209">
          <cell r="A209" t="str">
            <v>166m</v>
          </cell>
          <cell r="B209" t="str">
            <v>Frigidaire 24 in. Top Control Tall Tub Dishwasher</v>
          </cell>
          <cell r="E209">
            <v>5214</v>
          </cell>
          <cell r="F209" t="str">
            <v>tanya pittman</v>
          </cell>
        </row>
        <row r="210">
          <cell r="A210">
            <v>167</v>
          </cell>
          <cell r="B210" t="str">
            <v>100A Generator Transfer Switch 120/240V</v>
          </cell>
          <cell r="E210">
            <v>5211</v>
          </cell>
          <cell r="F210" t="str">
            <v>Julie Phillips</v>
          </cell>
        </row>
        <row r="211">
          <cell r="A211">
            <v>168</v>
          </cell>
          <cell r="B211" t="str">
            <v>Famiware Venus Ceramic Dinnerware Set 24pc</v>
          </cell>
          <cell r="E211">
            <v>5024</v>
          </cell>
          <cell r="F211" t="str">
            <v>Matt Montes</v>
          </cell>
        </row>
        <row r="212">
          <cell r="A212">
            <v>169</v>
          </cell>
          <cell r="B212" t="str">
            <v>Convex Corner Mirror - 12" Security Mirror</v>
          </cell>
          <cell r="E212">
            <v>5289</v>
          </cell>
          <cell r="F212" t="str">
            <v>Pamela Lockett</v>
          </cell>
        </row>
        <row r="213">
          <cell r="A213">
            <v>170</v>
          </cell>
          <cell r="B213" t="str">
            <v>7-in-1 Slushie Machine 88oz Auto-Clean</v>
          </cell>
          <cell r="E213">
            <v>5194</v>
          </cell>
          <cell r="F213" t="str">
            <v>Jeremy Lemmons</v>
          </cell>
        </row>
        <row r="214">
          <cell r="A214">
            <v>171</v>
          </cell>
          <cell r="B214" t="str">
            <v>Automatic Egg Incubator 36-Tray with Auto Flip</v>
          </cell>
          <cell r="E214">
            <v>5197</v>
          </cell>
          <cell r="F214" t="str">
            <v>Garland Kubecka</v>
          </cell>
        </row>
        <row r="215">
          <cell r="A215" t="str">
            <v>171m</v>
          </cell>
          <cell r="B215" t="str">
            <v>Bosch 500 24-in Self-Cleaning Wall Oven SS (W3)</v>
          </cell>
          <cell r="E215">
            <v>5046</v>
          </cell>
          <cell r="F215" t="str">
            <v>ron larson</v>
          </cell>
        </row>
        <row r="216">
          <cell r="A216">
            <v>172</v>
          </cell>
          <cell r="B216" t="str">
            <v>25ft 50A RV Extension Cord NEMA 14-50P-14-50R</v>
          </cell>
          <cell r="E216">
            <v>5285</v>
          </cell>
          <cell r="F216" t="str">
            <v>Devonda Davis</v>
          </cell>
        </row>
        <row r="217">
          <cell r="A217">
            <v>173</v>
          </cell>
          <cell r="B217" t="str">
            <v>NM-B 6/2 Wire with Ground 75 ft</v>
          </cell>
          <cell r="E217">
            <v>5286</v>
          </cell>
          <cell r="F217" t="str">
            <v>Zafre Kazi</v>
          </cell>
        </row>
        <row r="218">
          <cell r="A218">
            <v>174</v>
          </cell>
          <cell r="B218" t="str">
            <v>36 x3/4  Universal Jumper Hose 700 PSI</v>
          </cell>
          <cell r="F218" t="str">
            <v>Floor</v>
          </cell>
        </row>
        <row r="219">
          <cell r="A219">
            <v>175</v>
          </cell>
          <cell r="B219" t="str">
            <v>Chafing Dish Buffet Server Set (A-01)</v>
          </cell>
          <cell r="E219">
            <v>5065</v>
          </cell>
          <cell r="F219" t="str">
            <v>Thanh Tan Ngo</v>
          </cell>
        </row>
        <row r="220">
          <cell r="A220">
            <v>176</v>
          </cell>
          <cell r="B220" t="str">
            <v>Universal TV Stand with Power Outlet White</v>
          </cell>
          <cell r="E220">
            <v>5265</v>
          </cell>
          <cell r="F220" t="str">
            <v>ahsan quddus</v>
          </cell>
        </row>
        <row r="221">
          <cell r="A221" t="str">
            <v>176m</v>
          </cell>
          <cell r="B221" t="str">
            <v>Samsung DW80F600UTS/AA Built-in Dishwasher-(W3)</v>
          </cell>
          <cell r="E221">
            <v>5214</v>
          </cell>
          <cell r="F221" t="str">
            <v>tanya pittman</v>
          </cell>
        </row>
        <row r="222">
          <cell r="A222">
            <v>177</v>
          </cell>
          <cell r="B222" t="str">
            <v>120Pcs Christmas Cups 12oz Disposable Bowls</v>
          </cell>
          <cell r="E222">
            <v>5285</v>
          </cell>
          <cell r="F222" t="str">
            <v>Devonda Davis</v>
          </cell>
        </row>
        <row r="223">
          <cell r="A223">
            <v>178</v>
          </cell>
          <cell r="B223" t="str">
            <v>Black 4-Quart Slow Cooker Manual Warm</v>
          </cell>
          <cell r="E223">
            <v>5066</v>
          </cell>
          <cell r="F223" t="str">
            <v>Cheryl Markham</v>
          </cell>
        </row>
        <row r="224">
          <cell r="A224">
            <v>179</v>
          </cell>
          <cell r="B224" t="str">
            <v>Weysat 24 Pcs 24 Oz Plastic Fish Bowl + Straws</v>
          </cell>
          <cell r="E224">
            <v>5285</v>
          </cell>
          <cell r="F224" t="str">
            <v>Devonda Davis</v>
          </cell>
        </row>
        <row r="225">
          <cell r="A225">
            <v>180</v>
          </cell>
          <cell r="B225" t="str">
            <v>13L Hot Beverage Dispenser Chafer Urn</v>
          </cell>
          <cell r="E225">
            <v>5203</v>
          </cell>
          <cell r="F225" t="str">
            <v>Vamsi Goramanipalli</v>
          </cell>
        </row>
        <row r="226">
          <cell r="A226">
            <v>181</v>
          </cell>
          <cell r="B226" t="str">
            <v>CAROTE 21Pcs Pots &amp; Pans Set Nonstick - (D)</v>
          </cell>
          <cell r="E226">
            <v>5083</v>
          </cell>
          <cell r="F226" t="str">
            <v>Mario Sarmiento</v>
          </cell>
        </row>
        <row r="227">
          <cell r="A227" t="str">
            <v>181m</v>
          </cell>
          <cell r="B227" t="str">
            <v>GE 1.7 cu. ft. Over-the-Range Convection Microwave</v>
          </cell>
          <cell r="E227">
            <v>5133</v>
          </cell>
          <cell r="F227" t="str">
            <v>Cynthia Echols</v>
          </cell>
        </row>
        <row r="228">
          <cell r="A228">
            <v>182</v>
          </cell>
          <cell r="B228" t="str">
            <v>Vintage Amber 11oz Embossed Wine Glasses (24)</v>
          </cell>
          <cell r="E228">
            <v>5156</v>
          </cell>
          <cell r="F228" t="str">
            <v>Beth Wise</v>
          </cell>
        </row>
        <row r="229">
          <cell r="A229">
            <v>183</v>
          </cell>
          <cell r="B229" t="str">
            <v>Black Marble Dish Drying Mat - Fast Dry 17x13</v>
          </cell>
          <cell r="E229">
            <v>5246</v>
          </cell>
          <cell r="F229" t="str">
            <v>Rebecca Alvarado</v>
          </cell>
        </row>
        <row r="230">
          <cell r="A230">
            <v>184</v>
          </cell>
          <cell r="B230" t="str">
            <v>Kichgather Sushi Rice Bowl with Lid Hangiri</v>
          </cell>
          <cell r="F230" t="str">
            <v>Floor</v>
          </cell>
        </row>
        <row r="231">
          <cell r="A231">
            <v>185</v>
          </cell>
          <cell r="B231" t="str">
            <v>Allgala 3-Piece Wedding Cake Stands Gold</v>
          </cell>
          <cell r="E231">
            <v>5227</v>
          </cell>
          <cell r="F231" t="str">
            <v>Mohsin Mirza</v>
          </cell>
        </row>
        <row r="232">
          <cell r="A232">
            <v>186</v>
          </cell>
          <cell r="B232" t="str">
            <v>Kitchen Induction Cookware &amp; Bakeware Set</v>
          </cell>
          <cell r="E232">
            <v>5212</v>
          </cell>
          <cell r="F232" t="str">
            <v>freddie hejjo</v>
          </cell>
        </row>
        <row r="233">
          <cell r="A233" t="str">
            <v>186m</v>
          </cell>
          <cell r="B233" t="str">
            <v>Whirlpool 30 in. Single Electric Wall Oven   Black</v>
          </cell>
          <cell r="E233">
            <v>5276</v>
          </cell>
          <cell r="F233" t="str">
            <v>James McLean</v>
          </cell>
        </row>
        <row r="234">
          <cell r="A234">
            <v>187</v>
          </cell>
          <cell r="B234" t="str">
            <v>Extra Large Cutting Board Stainless Steel</v>
          </cell>
          <cell r="E234">
            <v>5068</v>
          </cell>
          <cell r="F234" t="str">
            <v>nelson guandique</v>
          </cell>
        </row>
        <row r="235">
          <cell r="A235" t="str">
            <v>188m</v>
          </cell>
          <cell r="B235" t="str">
            <v>Tiny Land Outdoor Mud Kitchen for Kids</v>
          </cell>
          <cell r="E235">
            <v>5156</v>
          </cell>
          <cell r="F235" t="str">
            <v>Beth Wise</v>
          </cell>
        </row>
        <row r="236">
          <cell r="A236">
            <v>189</v>
          </cell>
          <cell r="B236" t="str">
            <v>Food Dehydrator for Jerky 12 Trays 1200W</v>
          </cell>
          <cell r="E236">
            <v>5024</v>
          </cell>
          <cell r="F236" t="str">
            <v>Matt Montes</v>
          </cell>
        </row>
        <row r="237">
          <cell r="A237">
            <v>190</v>
          </cell>
          <cell r="B237" t="str">
            <v>Bavni 6x9 Machine Washable Rug Gray Beige</v>
          </cell>
          <cell r="E237">
            <v>5051</v>
          </cell>
          <cell r="F237" t="str">
            <v>Daniel Poland</v>
          </cell>
        </row>
        <row r="238">
          <cell r="A238" t="str">
            <v>191m</v>
          </cell>
          <cell r="B238" t="str">
            <v>Electrolux 30" Over-the-Range Convection Microwave</v>
          </cell>
          <cell r="E238">
            <v>5046</v>
          </cell>
          <cell r="F238" t="str">
            <v>ron larson</v>
          </cell>
        </row>
        <row r="239">
          <cell r="A239" t="str">
            <v>196m</v>
          </cell>
          <cell r="B239" t="str">
            <v>GE 7.4 cu ft 120V White Gas Vented Dryer ENERGY ST</v>
          </cell>
          <cell r="E239">
            <v>5267</v>
          </cell>
          <cell r="F239" t="str">
            <v>Esteban Pacheco</v>
          </cell>
        </row>
        <row r="240">
          <cell r="A240">
            <v>201</v>
          </cell>
          <cell r="B240" t="str">
            <v>Weysat 24 Pcs 24 Oz Plastic Fish Bowl + Straws</v>
          </cell>
          <cell r="E240">
            <v>5289</v>
          </cell>
          <cell r="F240" t="str">
            <v>Pamela Lockett</v>
          </cell>
        </row>
        <row r="241">
          <cell r="A241" t="str">
            <v>201m</v>
          </cell>
          <cell r="B241" t="str">
            <v>GE Front Control Tall Tub Dishwasher in White - (W</v>
          </cell>
          <cell r="E241">
            <v>5046</v>
          </cell>
          <cell r="F241" t="str">
            <v>ron larson</v>
          </cell>
        </row>
        <row r="242">
          <cell r="A242">
            <v>202</v>
          </cell>
          <cell r="B242" t="str">
            <v>Black 4-Quart Slow Cooker Manual Warm</v>
          </cell>
          <cell r="E242">
            <v>5065</v>
          </cell>
          <cell r="F242" t="str">
            <v>Thanh Tan Ngo</v>
          </cell>
        </row>
        <row r="243">
          <cell r="A243">
            <v>203</v>
          </cell>
          <cell r="B243" t="str">
            <v>CAROTE 26-Pcs Pots &amp; Pans Set Nonstick</v>
          </cell>
          <cell r="E243">
            <v>5068</v>
          </cell>
          <cell r="F243" t="str">
            <v>nelson guandique</v>
          </cell>
        </row>
        <row r="244">
          <cell r="A244">
            <v>204</v>
          </cell>
          <cell r="B244" t="str">
            <v>VIVOHOME 6-in-1 Stand Mixer 8.5 Qt Red</v>
          </cell>
          <cell r="E244">
            <v>5314</v>
          </cell>
          <cell r="F244" t="str">
            <v>Luis Gonzalez</v>
          </cell>
        </row>
        <row r="245">
          <cell r="A245">
            <v>205</v>
          </cell>
          <cell r="B245" t="str">
            <v>Stove Top Cover 30x22  3 in 1 Tray</v>
          </cell>
          <cell r="E245">
            <v>5194</v>
          </cell>
          <cell r="F245" t="str">
            <v>Jeremy Lemmons</v>
          </cell>
        </row>
        <row r="246">
          <cell r="A246">
            <v>206</v>
          </cell>
          <cell r="B246" t="str">
            <v>TheTerra Ceramic Dinnerware Set for 6 18pc</v>
          </cell>
          <cell r="E246">
            <v>5297</v>
          </cell>
          <cell r="F246" t="str">
            <v>Noel Cardenas</v>
          </cell>
        </row>
        <row r="247">
          <cell r="A247" t="str">
            <v>206m</v>
          </cell>
          <cell r="B247" t="str">
            <v>Whynter BWR-1662SD 166 Wine Refrigerator - (W3)</v>
          </cell>
          <cell r="E247">
            <v>5046</v>
          </cell>
          <cell r="F247" t="str">
            <v>ron larson</v>
          </cell>
        </row>
        <row r="248">
          <cell r="A248">
            <v>207</v>
          </cell>
          <cell r="B248" t="str">
            <v>Weesire Kitchen Mats Set 2 Grey Stripe</v>
          </cell>
          <cell r="E248">
            <v>5066</v>
          </cell>
          <cell r="F248" t="str">
            <v>Cheryl Markham</v>
          </cell>
        </row>
        <row r="249">
          <cell r="A249">
            <v>208</v>
          </cell>
          <cell r="B249" t="str">
            <v>Ike Solid 70%-85% Blackout Rod Pocket Back Curtain</v>
          </cell>
          <cell r="E249">
            <v>5014</v>
          </cell>
          <cell r="F249" t="str">
            <v>Regina Tobar</v>
          </cell>
        </row>
        <row r="250">
          <cell r="A250">
            <v>209</v>
          </cell>
          <cell r="B250" t="str">
            <v>2 - Light Dimmable Vanity Light - Finish: Black</v>
          </cell>
          <cell r="F250" t="str">
            <v>Floor</v>
          </cell>
        </row>
        <row r="251">
          <cell r="A251">
            <v>210</v>
          </cell>
          <cell r="B251" t="str">
            <v>Nadene Washable Oriental Indoor Rug - Rug Size: Ru</v>
          </cell>
          <cell r="E251">
            <v>5201</v>
          </cell>
          <cell r="F251" t="str">
            <v>Charlotte Bennett</v>
          </cell>
        </row>
        <row r="252">
          <cell r="A252">
            <v>211</v>
          </cell>
          <cell r="B252" t="str">
            <v>Melamine Serving Tray with Handles (2) White</v>
          </cell>
          <cell r="E252">
            <v>5292</v>
          </cell>
          <cell r="F252" t="str">
            <v>Kelly Hernandez</v>
          </cell>
        </row>
        <row r="253">
          <cell r="A253" t="str">
            <v>211m</v>
          </cell>
          <cell r="B253" t="str">
            <v>Bosch SHS5AV56UC 24" Dishwasher - (W3)</v>
          </cell>
          <cell r="E253">
            <v>5164</v>
          </cell>
          <cell r="F253" t="str">
            <v>Noble Sifat</v>
          </cell>
        </row>
        <row r="254">
          <cell r="A254">
            <v>212</v>
          </cell>
          <cell r="B254" t="str">
            <v>Chafing Dishes Buffet Set 4-Pack 9QT</v>
          </cell>
          <cell r="E254">
            <v>5074</v>
          </cell>
          <cell r="F254" t="str">
            <v>Katlyn Noravong</v>
          </cell>
        </row>
        <row r="255">
          <cell r="A255">
            <v>213</v>
          </cell>
          <cell r="B255" t="str">
            <v>Vero Gold 8" Widespread Faucet Bronze</v>
          </cell>
          <cell r="E255">
            <v>5046</v>
          </cell>
          <cell r="F255" t="str">
            <v>ron larson</v>
          </cell>
        </row>
        <row r="256">
          <cell r="A256">
            <v>214</v>
          </cell>
          <cell r="B256" t="str">
            <v>YOSUKATA 14" Carbon Steel Wok Pre-Seasoned</v>
          </cell>
          <cell r="E256">
            <v>5068</v>
          </cell>
          <cell r="F256" t="str">
            <v>nelson guandique</v>
          </cell>
        </row>
        <row r="257">
          <cell r="A257">
            <v>215</v>
          </cell>
          <cell r="B257" t="str">
            <v>Kenney Fast Fit No Tools 7/16" Spring Rod Set</v>
          </cell>
          <cell r="F257" t="str">
            <v>Floor</v>
          </cell>
        </row>
        <row r="258">
          <cell r="A258">
            <v>216</v>
          </cell>
          <cell r="B258" t="str">
            <v>Zen Botanical Double Roll - Color: Navy/Copper 33L</v>
          </cell>
          <cell r="E258">
            <v>5133</v>
          </cell>
          <cell r="F258" t="str">
            <v>Cynthia Echols</v>
          </cell>
        </row>
        <row r="259">
          <cell r="A259">
            <v>217</v>
          </cell>
          <cell r="B259" t="str">
            <v>Dawain Linen Solid Textured 100% Blackout Window D</v>
          </cell>
          <cell r="E259">
            <v>5311</v>
          </cell>
          <cell r="F259" t="str">
            <v>Carissa Reyes</v>
          </cell>
        </row>
        <row r="260">
          <cell r="A260">
            <v>218</v>
          </cell>
          <cell r="B260" t="str">
            <v>Crystal Coupe Glasses 6 7oz Short Stem</v>
          </cell>
          <cell r="E260">
            <v>5316</v>
          </cell>
          <cell r="F260" t="str">
            <v>Mohamed Ammar</v>
          </cell>
        </row>
        <row r="261">
          <cell r="A261" t="str">
            <v>218m</v>
          </cell>
          <cell r="B261" t="str">
            <v>Samsung 30 in Wall Mount Range Hood with LED Light</v>
          </cell>
          <cell r="E261">
            <v>5046</v>
          </cell>
          <cell r="F261" t="str">
            <v>ron larson</v>
          </cell>
        </row>
        <row r="262">
          <cell r="A262">
            <v>219</v>
          </cell>
          <cell r="B262" t="str">
            <v>Downluxe Chair Cushions 16x16x2 Brown 6 Pack</v>
          </cell>
          <cell r="E262">
            <v>5288</v>
          </cell>
          <cell r="F262" t="str">
            <v>Adrian Morales</v>
          </cell>
        </row>
        <row r="263">
          <cell r="A263">
            <v>220</v>
          </cell>
          <cell r="B263" t="str">
            <v>WRAPAHOLIC 30" Peacock Wrapping Paper Roll (3)</v>
          </cell>
          <cell r="E263">
            <v>5086</v>
          </cell>
          <cell r="F263" t="str">
            <v>Bobbie - Shannon Howard</v>
          </cell>
        </row>
        <row r="264">
          <cell r="A264">
            <v>221</v>
          </cell>
          <cell r="B264" t="str">
            <v>Hughlek Aluminum Decorative Bowl in Gold</v>
          </cell>
          <cell r="E264">
            <v>5213</v>
          </cell>
          <cell r="F264" t="str">
            <v>Sana Ahmed</v>
          </cell>
        </row>
        <row r="265">
          <cell r="A265" t="str">
            <v>221m</v>
          </cell>
          <cell r="B265" t="str">
            <v>Whirlpool 30 in. 4-Burner Gas Cooktop Black SpeedH</v>
          </cell>
          <cell r="E265">
            <v>5286</v>
          </cell>
          <cell r="F265" t="str">
            <v>Zafre Kazi</v>
          </cell>
        </row>
        <row r="266">
          <cell r="A266">
            <v>222</v>
          </cell>
          <cell r="B266" t="str">
            <v>Clear Charger Plates 13" Acrylic (50 pc)</v>
          </cell>
          <cell r="E266">
            <v>5014</v>
          </cell>
          <cell r="F266" t="str">
            <v>Regina Tobar</v>
          </cell>
        </row>
        <row r="267">
          <cell r="A267" t="str">
            <v>222m</v>
          </cell>
          <cell r="B267" t="str">
            <v>Chris Loves Julia x Loloi Polly Rug 5  x7 6  - (W2</v>
          </cell>
          <cell r="E267">
            <v>5070</v>
          </cell>
          <cell r="F267" t="str">
            <v>Laurie Lavoie</v>
          </cell>
        </row>
        <row r="268">
          <cell r="A268">
            <v>223</v>
          </cell>
          <cell r="B268" t="str">
            <v>JXGRIDL230 Griddle Parts for GE Stove</v>
          </cell>
          <cell r="E268">
            <v>5057</v>
          </cell>
          <cell r="F268" t="str">
            <v>Terry Thompson</v>
          </cell>
        </row>
        <row r="269">
          <cell r="A269">
            <v>224</v>
          </cell>
          <cell r="B269" t="str">
            <v>Outdoor Projector Screen with Stand 120"</v>
          </cell>
          <cell r="E269">
            <v>5229</v>
          </cell>
          <cell r="F269" t="str">
            <v>Patricia Gottberg</v>
          </cell>
        </row>
        <row r="270">
          <cell r="A270">
            <v>225</v>
          </cell>
          <cell r="B270" t="str">
            <v>Rfiver Swivel Floor TV Stand 32-60" 88 lb</v>
          </cell>
          <cell r="E270">
            <v>5243</v>
          </cell>
          <cell r="F270" t="str">
            <v>KERRY REYES</v>
          </cell>
        </row>
        <row r="271">
          <cell r="A271">
            <v>226</v>
          </cell>
          <cell r="B271" t="str">
            <v>MyGift 33" Wide Spice Shelf Shabby White/Black Ra</v>
          </cell>
          <cell r="E271">
            <v>5211</v>
          </cell>
          <cell r="F271" t="str">
            <v>Julie Phillips</v>
          </cell>
        </row>
        <row r="272">
          <cell r="A272" t="str">
            <v>226m</v>
          </cell>
          <cell r="B272" t="str">
            <v>GE 36 in. Coil Electric Cooktop with 4 Elements -(</v>
          </cell>
          <cell r="E272">
            <v>5045</v>
          </cell>
          <cell r="F272" t="str">
            <v>Michelle Moore</v>
          </cell>
        </row>
        <row r="273">
          <cell r="A273">
            <v>227</v>
          </cell>
          <cell r="B273" t="str">
            <v>IMACONE Chafing Dish Buffet Set 2x8QT</v>
          </cell>
          <cell r="E273">
            <v>5085</v>
          </cell>
          <cell r="F273" t="str">
            <v>Staci Miller</v>
          </cell>
        </row>
        <row r="274">
          <cell r="A274" t="str">
            <v>227m</v>
          </cell>
          <cell r="B274" t="str">
            <v>Zephyr Essential Breeze I 36" 250 CFM Hood White -</v>
          </cell>
          <cell r="E274">
            <v>5088</v>
          </cell>
          <cell r="F274" t="str">
            <v>Michael Araiza</v>
          </cell>
        </row>
        <row r="275">
          <cell r="A275">
            <v>228</v>
          </cell>
          <cell r="B275" t="str">
            <v>1200TC Premium Cotton-Blend Ultra-Soft Sateen King</v>
          </cell>
          <cell r="E275">
            <v>5154</v>
          </cell>
          <cell r="F275" t="str">
            <v>Sandra Escobar</v>
          </cell>
        </row>
        <row r="276">
          <cell r="A276">
            <v>229</v>
          </cell>
          <cell r="B276" t="str">
            <v>Buchanan 66-120 in. Nickel Curtain Rod</v>
          </cell>
          <cell r="E276">
            <v>5009</v>
          </cell>
          <cell r="F276" t="str">
            <v>Arlene Pereira</v>
          </cell>
        </row>
        <row r="277">
          <cell r="A277">
            <v>230</v>
          </cell>
          <cell r="B277" t="str">
            <v>XINYAO Electric Ceiling TV Mount with Remote</v>
          </cell>
          <cell r="E277">
            <v>5159</v>
          </cell>
          <cell r="F277" t="str">
            <v>Robert Miranda</v>
          </cell>
        </row>
        <row r="278">
          <cell r="A278">
            <v>231</v>
          </cell>
          <cell r="B278" t="str">
            <v>BINO Stackable Storage Drawers Large - 2 Pack</v>
          </cell>
          <cell r="E278">
            <v>5279</v>
          </cell>
          <cell r="F278" t="str">
            <v>Katie Nguyen</v>
          </cell>
        </row>
        <row r="279">
          <cell r="A279" t="str">
            <v>231m</v>
          </cell>
          <cell r="B279" t="str">
            <v>Fisher Paykel DD24SCTX9 24" Tall DishDrawer Dishwa</v>
          </cell>
          <cell r="E279">
            <v>5276</v>
          </cell>
          <cell r="F279" t="str">
            <v>James McLean</v>
          </cell>
        </row>
        <row r="280">
          <cell r="A280">
            <v>232</v>
          </cell>
          <cell r="B280" t="str">
            <v>Projector Screen with Stand 70" 4K HD</v>
          </cell>
          <cell r="E280">
            <v>5292</v>
          </cell>
          <cell r="F280" t="str">
            <v>Kelly Hernandez</v>
          </cell>
        </row>
        <row r="281">
          <cell r="A281" t="str">
            <v>241m</v>
          </cell>
          <cell r="B281" t="str">
            <v>Insignia Laundry Pedestal for Washer &amp; Dryer-(W3)</v>
          </cell>
          <cell r="E281">
            <v>5265</v>
          </cell>
          <cell r="F281" t="str">
            <v>ahsan quddus</v>
          </cell>
        </row>
        <row r="282">
          <cell r="A282" t="str">
            <v>246m</v>
          </cell>
          <cell r="B282" t="str">
            <v>Avanti Beverage Cooler - SS &amp; Glass-(W3)</v>
          </cell>
          <cell r="E282">
            <v>5065</v>
          </cell>
          <cell r="F282" t="str">
            <v>Thanh Tan Ngo</v>
          </cell>
        </row>
        <row r="283">
          <cell r="A283" t="str">
            <v>250m</v>
          </cell>
          <cell r="B283" t="str">
            <v>SAMSUNG HW-S60D 5.0ch Soundbar w/Dolby Atmos (B)</v>
          </cell>
          <cell r="E283">
            <v>5046</v>
          </cell>
          <cell r="F283" t="str">
            <v>ron larson</v>
          </cell>
        </row>
        <row r="284">
          <cell r="A284" t="str">
            <v>256m</v>
          </cell>
          <cell r="B284" t="str">
            <v>Insignia Laundry Pedestal for Washer &amp; Dryer-(W3)</v>
          </cell>
          <cell r="E284">
            <v>5265</v>
          </cell>
          <cell r="F284" t="str">
            <v>ahsan quddus</v>
          </cell>
        </row>
        <row r="285">
          <cell r="A285" t="str">
            <v>261m</v>
          </cell>
          <cell r="B285" t="str">
            <v>600 CFM Integral Blower-(W3)</v>
          </cell>
          <cell r="E285">
            <v>5276</v>
          </cell>
          <cell r="F285" t="str">
            <v>James McLean</v>
          </cell>
        </row>
        <row r="286">
          <cell r="A286" t="str">
            <v>266m</v>
          </cell>
          <cell r="B286" t="str">
            <v>7.5 cu.ft. Vented Front Load Dryer White (W3)</v>
          </cell>
          <cell r="E286">
            <v>5267</v>
          </cell>
          <cell r="F286" t="str">
            <v>Esteban Pacheco</v>
          </cell>
        </row>
        <row r="287">
          <cell r="A287" t="str">
            <v>271m</v>
          </cell>
          <cell r="B287" t="str">
            <v>Jenn-Air JJW3430DP 30" Wall Oven 5 cu ft (W3)</v>
          </cell>
          <cell r="E287">
            <v>5046</v>
          </cell>
          <cell r="F287" t="str">
            <v>ron larson</v>
          </cell>
        </row>
        <row r="288">
          <cell r="A288" t="str">
            <v>276m</v>
          </cell>
          <cell r="B288" t="str">
            <v>GE 30 in. Electric Wall Oven Self-Cleaning Slate</v>
          </cell>
          <cell r="E288">
            <v>5046</v>
          </cell>
          <cell r="F288" t="str">
            <v>ron larson</v>
          </cell>
        </row>
        <row r="289">
          <cell r="A289" t="str">
            <v>281m</v>
          </cell>
          <cell r="B289" t="str">
            <v>GE 1.7 cu ft Over-the-Range Microwave (W3)</v>
          </cell>
          <cell r="E289">
            <v>5276</v>
          </cell>
          <cell r="F289" t="str">
            <v>James McLean</v>
          </cell>
        </row>
        <row r="290">
          <cell r="A290" t="str">
            <v>286m</v>
          </cell>
          <cell r="B290" t="str">
            <v>GE 1.7 cu ft Over-the-Range Microwave (W3)</v>
          </cell>
          <cell r="E290">
            <v>5046</v>
          </cell>
          <cell r="F290" t="str">
            <v>ron larson</v>
          </cell>
        </row>
        <row r="291">
          <cell r="A291" t="str">
            <v>296m</v>
          </cell>
          <cell r="B291" t="str">
            <v>LG 5.2 cu ft Front Load Washer ENERGY STAR-(W3)</v>
          </cell>
          <cell r="E291">
            <v>5149</v>
          </cell>
          <cell r="F291" t="str">
            <v>Maria Chong</v>
          </cell>
        </row>
        <row r="292">
          <cell r="A292" t="str">
            <v>301m</v>
          </cell>
          <cell r="B292" t="str">
            <v>Samsung 30" Over-the-Range Microwave 1.9 cu ft B</v>
          </cell>
          <cell r="E292">
            <v>5046</v>
          </cell>
          <cell r="F292" t="str">
            <v>ron larson</v>
          </cell>
        </row>
        <row r="293">
          <cell r="A293" t="str">
            <v>306m</v>
          </cell>
          <cell r="B293" t="str">
            <v>30 in. Electric Cooktop Black 5 Elements-(W3)</v>
          </cell>
          <cell r="E293">
            <v>5318</v>
          </cell>
          <cell r="F293" t="str">
            <v>Matthew Bessey</v>
          </cell>
        </row>
        <row r="294">
          <cell r="A294" t="str">
            <v>311m</v>
          </cell>
          <cell r="B294" t="str">
            <v>Samsung Bespoke 1.9 cu ft Over-the-Range Microwave</v>
          </cell>
          <cell r="E294">
            <v>5293</v>
          </cell>
          <cell r="F294" t="str">
            <v>Constance Sirtautas</v>
          </cell>
        </row>
        <row r="295">
          <cell r="A295" t="str">
            <v>316m</v>
          </cell>
          <cell r="B295" t="str">
            <v>Whirlpool 36" Stainless 5-Burner Gas Cooktop-(W3)</v>
          </cell>
          <cell r="E295">
            <v>5046</v>
          </cell>
          <cell r="F295" t="str">
            <v>ron larson</v>
          </cell>
        </row>
        <row r="296">
          <cell r="A296" t="str">
            <v>317m</v>
          </cell>
          <cell r="B296" t="str">
            <v>Midnight Chase Lounge-(DE)</v>
          </cell>
          <cell r="E296">
            <v>5046</v>
          </cell>
          <cell r="F296" t="str">
            <v>ron larson</v>
          </cell>
        </row>
        <row r="297">
          <cell r="A297" t="str">
            <v>321m</v>
          </cell>
          <cell r="B297" t="str">
            <v>LG 7.4-cu ft Stackable Gas Dryer</v>
          </cell>
          <cell r="E297">
            <v>5170</v>
          </cell>
          <cell r="F297" t="str">
            <v>Tony Kalajo</v>
          </cell>
        </row>
        <row r="298">
          <cell r="A298" t="str">
            <v>322m</v>
          </cell>
          <cell r="B298" t="str">
            <v>Caf  1.7 cu. ft. Over-the-Range Microwave (Black S</v>
          </cell>
          <cell r="E298">
            <v>5046</v>
          </cell>
          <cell r="F298" t="str">
            <v>ron larson</v>
          </cell>
        </row>
        <row r="299">
          <cell r="A299" t="str">
            <v>327m</v>
          </cell>
          <cell r="B299" t="str">
            <v>Bosch 500 24-in Convertible Hood with Filter (W3)</v>
          </cell>
          <cell r="E299">
            <v>5046</v>
          </cell>
          <cell r="F299" t="str">
            <v>ron larson</v>
          </cell>
        </row>
        <row r="300">
          <cell r="A300" t="str">
            <v>331m</v>
          </cell>
          <cell r="B300" t="str">
            <v>SPT 10000 BTU Portable AC with Heater-(W3)</v>
          </cell>
          <cell r="E300">
            <v>5065</v>
          </cell>
          <cell r="F300" t="str">
            <v>Thanh Tan Ngo</v>
          </cell>
        </row>
        <row r="301">
          <cell r="A301" t="str">
            <v>332m</v>
          </cell>
          <cell r="B301" t="str">
            <v>LG Sidekick 1-cu ft 29-in Pedestal Washer (W3)</v>
          </cell>
          <cell r="E301">
            <v>5149</v>
          </cell>
          <cell r="F301" t="str">
            <v>Maria Chong</v>
          </cell>
        </row>
        <row r="302">
          <cell r="A302" t="str">
            <v>333m</v>
          </cell>
          <cell r="B302" t="str">
            <v>Crowe Hand Loomed Wool Sage Area Rug - Rug Size: R</v>
          </cell>
          <cell r="E302">
            <v>5103</v>
          </cell>
          <cell r="F302" t="str">
            <v>Tony MacLeod</v>
          </cell>
        </row>
        <row r="303">
          <cell r="A303" t="str">
            <v>337m</v>
          </cell>
          <cell r="B303" t="str">
            <v>Frigidaire Gallery 2.2-cu ft Microwave with Sensor</v>
          </cell>
          <cell r="E303">
            <v>5164</v>
          </cell>
          <cell r="F303" t="str">
            <v>Noble Sifat</v>
          </cell>
        </row>
        <row r="304">
          <cell r="A304" t="str">
            <v>342m</v>
          </cell>
          <cell r="B304" t="str">
            <v>Broan 36-in Ductless 50-CFM Range Hood (W3)</v>
          </cell>
          <cell r="E304">
            <v>5308</v>
          </cell>
          <cell r="F304" t="str">
            <v>David Corbett</v>
          </cell>
        </row>
        <row r="305">
          <cell r="A305" t="str">
            <v>347m</v>
          </cell>
          <cell r="B305" t="str">
            <v>Bosch Recirc Module for Downdraft Systems (W3)</v>
          </cell>
          <cell r="E305">
            <v>5046</v>
          </cell>
          <cell r="F305" t="str">
            <v>ron larson</v>
          </cell>
        </row>
        <row r="306">
          <cell r="A306">
            <v>351</v>
          </cell>
          <cell r="B306" t="str">
            <v>Dog Car Seat Cover with Mesh Window</v>
          </cell>
          <cell r="E306">
            <v>5155</v>
          </cell>
          <cell r="F306" t="str">
            <v>Harold Clemons</v>
          </cell>
        </row>
        <row r="307">
          <cell r="A307">
            <v>352</v>
          </cell>
          <cell r="B307" t="str">
            <v>Steve Madden Women's Laila Dress - Light Lilac SIZ</v>
          </cell>
          <cell r="E307">
            <v>5289</v>
          </cell>
          <cell r="F307" t="str">
            <v>Pamela Lockett</v>
          </cell>
        </row>
        <row r="308">
          <cell r="A308" t="str">
            <v>352m</v>
          </cell>
          <cell r="B308" t="str">
            <v>Thermador LINER36 Liner for 36" Range Hood (W3)</v>
          </cell>
          <cell r="F308" t="str">
            <v>Floor</v>
          </cell>
        </row>
        <row r="309">
          <cell r="A309">
            <v>353</v>
          </cell>
          <cell r="B309" t="str">
            <v>Utoplike 30x20in Bamboo Cutting Board</v>
          </cell>
          <cell r="E309">
            <v>5076</v>
          </cell>
          <cell r="F309" t="str">
            <v>JAVIER IGNACIO FERNANDEZ GONZALO</v>
          </cell>
        </row>
        <row r="310">
          <cell r="A310">
            <v>354</v>
          </cell>
          <cell r="B310" t="str">
            <v>Feihe 17" Small Android Smart TV for Kitchen</v>
          </cell>
          <cell r="E310">
            <v>5060</v>
          </cell>
          <cell r="F310" t="str">
            <v>Ademola Lawal</v>
          </cell>
        </row>
        <row r="311">
          <cell r="A311">
            <v>355</v>
          </cell>
          <cell r="B311" t="str">
            <v>Sam Edelman Women s Leigh Size 5 Boots</v>
          </cell>
          <cell r="E311">
            <v>5243</v>
          </cell>
          <cell r="F311" t="str">
            <v>KERRY REYES</v>
          </cell>
        </row>
        <row r="312">
          <cell r="A312">
            <v>356</v>
          </cell>
          <cell r="B312" t="str">
            <v>Extra Large Cutting Board Stainless Steel</v>
          </cell>
          <cell r="E312">
            <v>5076</v>
          </cell>
          <cell r="F312" t="str">
            <v>JAVIER IGNACIO FERNANDEZ GONZALO</v>
          </cell>
        </row>
        <row r="313">
          <cell r="A313">
            <v>357</v>
          </cell>
          <cell r="B313" t="str">
            <v>Dolce Vita Womens Geo Size 10</v>
          </cell>
          <cell r="E313">
            <v>5210</v>
          </cell>
          <cell r="F313" t="str">
            <v>Brianna Belcher</v>
          </cell>
        </row>
        <row r="314">
          <cell r="A314" t="str">
            <v>357m</v>
          </cell>
          <cell r="B314" t="str">
            <v>Bosch 500 30-in 4-Burner Gas Cooktop (W3)</v>
          </cell>
          <cell r="E314">
            <v>5141</v>
          </cell>
          <cell r="F314" t="str">
            <v>Ineabel Del toro</v>
          </cell>
        </row>
        <row r="315">
          <cell r="A315">
            <v>358</v>
          </cell>
          <cell r="B315" t="str">
            <v>NORTHING 17.2" Portable TV for Camping</v>
          </cell>
          <cell r="E315">
            <v>5060</v>
          </cell>
          <cell r="F315" t="str">
            <v>Ademola Lawal</v>
          </cell>
        </row>
        <row r="316">
          <cell r="A316">
            <v>359</v>
          </cell>
          <cell r="B316" t="str">
            <v>Nantucket Sinks Over Sink Soap Dish Holder</v>
          </cell>
          <cell r="F316" t="str">
            <v>Floor</v>
          </cell>
        </row>
        <row r="317">
          <cell r="A317">
            <v>360</v>
          </cell>
          <cell r="B317" t="str">
            <v>30" Bamboo Cutting Board with Juice Groove</v>
          </cell>
          <cell r="E317">
            <v>5085</v>
          </cell>
          <cell r="F317" t="str">
            <v>Staci Miller</v>
          </cell>
        </row>
        <row r="318">
          <cell r="A318" t="str">
            <v>361m</v>
          </cell>
          <cell r="B318" t="str">
            <v>Simpli-Magic 50L Soft-Close Trash Can - B</v>
          </cell>
          <cell r="E318">
            <v>5068</v>
          </cell>
          <cell r="F318" t="str">
            <v>nelson guandique</v>
          </cell>
        </row>
        <row r="319">
          <cell r="A319" t="str">
            <v>362m</v>
          </cell>
          <cell r="B319" t="str">
            <v>Frigidaire 36 in. Under-Cabinet Convertible Range</v>
          </cell>
          <cell r="E319">
            <v>5069</v>
          </cell>
          <cell r="F319" t="str">
            <v>Frank Pannell</v>
          </cell>
        </row>
        <row r="320">
          <cell r="A320" t="str">
            <v>367m</v>
          </cell>
          <cell r="B320" t="str">
            <v>Zephr Siena Pro 48 in Wall Mount Range Hood (W3)</v>
          </cell>
          <cell r="E320">
            <v>5046</v>
          </cell>
          <cell r="F320" t="str">
            <v>ron larson</v>
          </cell>
        </row>
        <row r="321">
          <cell r="A321" t="str">
            <v>372m</v>
          </cell>
          <cell r="B321" t="str">
            <v>Windster Hood 36" Convertible Hood - Steel (W3)</v>
          </cell>
          <cell r="E321">
            <v>5046</v>
          </cell>
          <cell r="F321" t="str">
            <v>ron larson</v>
          </cell>
        </row>
        <row r="322">
          <cell r="A322">
            <v>376</v>
          </cell>
          <cell r="B322" t="str">
            <v>AX Waber Mobile TV Stand for 27 65" TVs</v>
          </cell>
          <cell r="E322">
            <v>5217</v>
          </cell>
          <cell r="F322" t="str">
            <v>Lynne Nobles</v>
          </cell>
        </row>
        <row r="323">
          <cell r="A323">
            <v>377</v>
          </cell>
          <cell r="B323" t="str">
            <v>Stainless Steel Cutting Board Non Toxic 16x11</v>
          </cell>
          <cell r="E323">
            <v>5307</v>
          </cell>
          <cell r="F323" t="str">
            <v>Margaret Lynch-Barone</v>
          </cell>
        </row>
        <row r="324">
          <cell r="A324" t="str">
            <v>377m</v>
          </cell>
          <cell r="B324" t="str">
            <v>Whirlpool 36" Gas Cooktop Stainless (W3)</v>
          </cell>
          <cell r="E324">
            <v>5264</v>
          </cell>
          <cell r="F324" t="str">
            <v>Deepa Dubey</v>
          </cell>
        </row>
        <row r="325">
          <cell r="A325">
            <v>378</v>
          </cell>
          <cell r="B325" t="str">
            <v>Stone Dish Drying Mats 21.5x15.5 Non-Slip</v>
          </cell>
          <cell r="E325">
            <v>5307</v>
          </cell>
          <cell r="F325" t="str">
            <v>Margaret Lynch-Barone</v>
          </cell>
        </row>
        <row r="326">
          <cell r="A326">
            <v>379</v>
          </cell>
          <cell r="B326" t="str">
            <v>Greenstell TV Stand with Power Outlet 27-65"</v>
          </cell>
          <cell r="E326">
            <v>5127</v>
          </cell>
          <cell r="F326" t="str">
            <v>Reneyro Terc</v>
          </cell>
        </row>
        <row r="327">
          <cell r="A327" t="str">
            <v>380m</v>
          </cell>
          <cell r="B327" t="str">
            <v>Profile 24 2.2 cu ft Built-In Microwave Oven</v>
          </cell>
          <cell r="E327">
            <v>5276</v>
          </cell>
          <cell r="F327" t="str">
            <v>James McLean</v>
          </cell>
        </row>
        <row r="328">
          <cell r="A328" t="str">
            <v>382m</v>
          </cell>
          <cell r="B328" t="str">
            <v>Insignia HV Capacitor for Microwave AC (W3)</v>
          </cell>
          <cell r="E328">
            <v>5141</v>
          </cell>
          <cell r="F328" t="str">
            <v>Ineabel Del toro</v>
          </cell>
        </row>
        <row r="329">
          <cell r="A329" t="str">
            <v>383m</v>
          </cell>
          <cell r="B329" t="str">
            <v>Whirlpool WRT311FZDW06 20.5 Cubic Fridge - (MD)</v>
          </cell>
          <cell r="E329">
            <v>5277</v>
          </cell>
          <cell r="F329" t="str">
            <v>Brian Kurtz</v>
          </cell>
        </row>
        <row r="330">
          <cell r="A330" t="str">
            <v>384m</v>
          </cell>
          <cell r="B330" t="str">
            <v>GE 5.0 cu. ft. Smart Front-Load Steam Washer</v>
          </cell>
          <cell r="E330">
            <v>5219</v>
          </cell>
          <cell r="F330" t="str">
            <v>Colleen Culpepper</v>
          </cell>
        </row>
        <row r="331">
          <cell r="A331" t="str">
            <v>387m</v>
          </cell>
          <cell r="B331" t="str">
            <v>Thermador Masterpiece 36 in. Radiant Cooktop Black</v>
          </cell>
          <cell r="E331">
            <v>5133</v>
          </cell>
          <cell r="F331" t="str">
            <v>Cynthia Echols</v>
          </cell>
        </row>
        <row r="332">
          <cell r="A332" t="str">
            <v>392m</v>
          </cell>
          <cell r="B332" t="str">
            <v>Pivot Frameless Shower Door Matte Black 60x71 (D)</v>
          </cell>
          <cell r="E332">
            <v>5046</v>
          </cell>
          <cell r="F332" t="str">
            <v>ron larson</v>
          </cell>
        </row>
        <row r="333">
          <cell r="A333" t="str">
            <v>397m</v>
          </cell>
          <cell r="B333" t="str">
            <v>Tuscany Ivory 6 ft. x 9 ft. Indoor Rug (W2)</v>
          </cell>
          <cell r="E333">
            <v>5046</v>
          </cell>
          <cell r="F333" t="str">
            <v>ron larson</v>
          </cell>
        </row>
        <row r="334">
          <cell r="A334" t="str">
            <v>402m</v>
          </cell>
          <cell r="B334" t="str">
            <v>Faustina Performance Abstract Rug Round 5 3  (W2)</v>
          </cell>
          <cell r="E334">
            <v>5046</v>
          </cell>
          <cell r="F334" t="str">
            <v>ron larson</v>
          </cell>
        </row>
        <row r="335">
          <cell r="A335" t="str">
            <v>407m</v>
          </cell>
          <cell r="B335" t="str">
            <v>Chris Loves Julia x Loloi Francis Wool Beige / Cha</v>
          </cell>
          <cell r="E335">
            <v>5046</v>
          </cell>
          <cell r="F335" t="str">
            <v>ron larson</v>
          </cell>
        </row>
        <row r="336">
          <cell r="A336" t="str">
            <v>412m</v>
          </cell>
          <cell r="B336" t="str">
            <v>Insignia 14-Bottle Wine Cooler</v>
          </cell>
          <cell r="E336">
            <v>5046</v>
          </cell>
          <cell r="F336" t="str">
            <v>ron larson</v>
          </cell>
        </row>
        <row r="337">
          <cell r="A337" t="str">
            <v>417m</v>
          </cell>
          <cell r="B337" t="str">
            <v>Samsung 1.6-cu ft 1000W OTR Microwave SS (W3)</v>
          </cell>
          <cell r="E337">
            <v>5095</v>
          </cell>
          <cell r="F337" t="str">
            <v>Robert Knighton</v>
          </cell>
        </row>
        <row r="338">
          <cell r="A338" t="str">
            <v>422m</v>
          </cell>
          <cell r="B338" t="str">
            <v>GE Profile 2.2 cu ft 1100W Smart Microwave Gray (</v>
          </cell>
          <cell r="E338">
            <v>5046</v>
          </cell>
          <cell r="F338" t="str">
            <v>ron larson</v>
          </cell>
        </row>
        <row r="339">
          <cell r="A339" t="str">
            <v>427m</v>
          </cell>
          <cell r="B339" t="str">
            <v>GE Profile 2.2 cu ft 1100W Smart Microwave Gray (</v>
          </cell>
          <cell r="E339">
            <v>5046</v>
          </cell>
          <cell r="F339" t="str">
            <v>ron larson</v>
          </cell>
        </row>
        <row r="340">
          <cell r="A340" t="str">
            <v>432m</v>
          </cell>
          <cell r="B340" t="str">
            <v>LG 30 in Smart Wall Mount Hood with LED (W3)</v>
          </cell>
          <cell r="E340">
            <v>5164</v>
          </cell>
          <cell r="F340" t="str">
            <v>Noble Sifat</v>
          </cell>
        </row>
        <row r="341">
          <cell r="A341" t="str">
            <v>437m</v>
          </cell>
          <cell r="B341" t="str">
            <v>LG 30 in Smart Wall Mount Hood with LED (W3)</v>
          </cell>
          <cell r="E341">
            <v>5164</v>
          </cell>
          <cell r="F341" t="str">
            <v>Noble Sifat</v>
          </cell>
        </row>
        <row r="342">
          <cell r="A342" t="str">
            <v>442m</v>
          </cell>
          <cell r="B342" t="str">
            <v>GE Profile 2.2 cu ft 1100W Smart Microwave Black</v>
          </cell>
          <cell r="E342">
            <v>5087</v>
          </cell>
          <cell r="F342" t="str">
            <v>mary morgan</v>
          </cell>
        </row>
        <row r="343">
          <cell r="A343" t="str">
            <v>444m</v>
          </cell>
          <cell r="B343" t="str">
            <v>Sabrina Soto Prism Indoor/Outdoor Rug - Rug Size:</v>
          </cell>
          <cell r="F343" t="str">
            <v>Floor</v>
          </cell>
        </row>
        <row r="344">
          <cell r="A344" t="str">
            <v>447m</v>
          </cell>
          <cell r="B344" t="str">
            <v>Kohler 60x42 in. Soaking Tub Right Drain (W3)</v>
          </cell>
          <cell r="E344">
            <v>5046</v>
          </cell>
          <cell r="F344" t="str">
            <v>ron larson</v>
          </cell>
        </row>
        <row r="345">
          <cell r="A345" t="str">
            <v>460m</v>
          </cell>
          <cell r="B345" t="str">
            <v>Frigidaire 30" 5.3 cu. ft Self-Cleaning Convection</v>
          </cell>
          <cell r="E345">
            <v>5186</v>
          </cell>
          <cell r="F345" t="str">
            <v>Yusuf Alarayedh</v>
          </cell>
        </row>
        <row r="346">
          <cell r="A346" t="str">
            <v>480m</v>
          </cell>
          <cell r="B346" t="str">
            <v>GE 27 in. Smart Double Wall Oven</v>
          </cell>
          <cell r="E346">
            <v>5046</v>
          </cell>
          <cell r="F346" t="str">
            <v>ron larson</v>
          </cell>
        </row>
        <row r="347">
          <cell r="A347" t="str">
            <v>490m</v>
          </cell>
          <cell r="B347" t="str">
            <v>Samsung 6.3 cu.ft. 5-Burner Electric Range</v>
          </cell>
          <cell r="E347">
            <v>5046</v>
          </cell>
          <cell r="F347" t="str">
            <v>ron larson</v>
          </cell>
        </row>
        <row r="348">
          <cell r="A348" t="str">
            <v>500m</v>
          </cell>
          <cell r="B348" t="str">
            <v>GE Profile 27 in. Electric Wall Oven - (W3)</v>
          </cell>
          <cell r="E348">
            <v>5276</v>
          </cell>
          <cell r="F348" t="str">
            <v>James McLean</v>
          </cell>
        </row>
        <row r="349">
          <cell r="A349" t="str">
            <v>501m</v>
          </cell>
          <cell r="B349" t="str">
            <v>Petmate Indigo Large Dog House Black/Taupe - (W3)</v>
          </cell>
          <cell r="E349">
            <v>5068</v>
          </cell>
          <cell r="F349" t="str">
            <v>nelson guandique</v>
          </cell>
        </row>
        <row r="350">
          <cell r="A350" t="str">
            <v>502m</v>
          </cell>
          <cell r="B350" t="str">
            <v>Mirage Hand Loomed Viscose Solid Color Rug - Rug S</v>
          </cell>
          <cell r="E350">
            <v>5077</v>
          </cell>
          <cell r="F350" t="str">
            <v>Denise Piedras</v>
          </cell>
        </row>
        <row r="351">
          <cell r="A351" t="str">
            <v>550m</v>
          </cell>
          <cell r="B351" t="str">
            <v>Safavieh Natural Fiber Rug 6' x 9' - (W2)</v>
          </cell>
          <cell r="E351">
            <v>5046</v>
          </cell>
          <cell r="F351" t="str">
            <v>ron larson</v>
          </cell>
        </row>
        <row r="352">
          <cell r="A352" t="str">
            <v>551m</v>
          </cell>
          <cell r="B352" t="str">
            <v>Samsung DW80M9960US Premium Plus Dishwasher - (W3)</v>
          </cell>
          <cell r="E352">
            <v>5322</v>
          </cell>
          <cell r="F352" t="str">
            <v>Tricia Phillips</v>
          </cell>
        </row>
        <row r="353">
          <cell r="A353" t="str">
            <v>600m</v>
          </cell>
          <cell r="B353" t="str">
            <v>Swonder 3-Person Towable Tube for Boats - (W3)</v>
          </cell>
          <cell r="E353">
            <v>5109</v>
          </cell>
          <cell r="F353" t="str">
            <v>James Money</v>
          </cell>
        </row>
        <row r="354">
          <cell r="A354" t="str">
            <v>601m</v>
          </cell>
          <cell r="B354" t="str">
            <v>Safavieh Natura Reba Rug 6x9ft - (W2)</v>
          </cell>
          <cell r="E354">
            <v>5154</v>
          </cell>
          <cell r="F354" t="str">
            <v>Sandra Escobar</v>
          </cell>
        </row>
        <row r="355">
          <cell r="A355" t="str">
            <v>611m</v>
          </cell>
          <cell r="B355" t="str">
            <v>SATECH Adhesive Mat 26"x45" Gray (4 mats) - D</v>
          </cell>
          <cell r="E355">
            <v>5154</v>
          </cell>
          <cell r="F355" t="str">
            <v>Sandra Escobar</v>
          </cell>
        </row>
        <row r="356">
          <cell r="A356" t="str">
            <v>612m</v>
          </cell>
          <cell r="B356" t="str">
            <v>PADOOR 8x10 Area Rug Soft Beige - B</v>
          </cell>
          <cell r="E356">
            <v>5060</v>
          </cell>
          <cell r="F356" t="str">
            <v>Ademola Lawal</v>
          </cell>
        </row>
        <row r="357">
          <cell r="A357" t="str">
            <v>651m</v>
          </cell>
          <cell r="B357" t="str">
            <v>Maytag MEDC215EW-WW 7.0 CuFt Electric Dryer - (W3)</v>
          </cell>
          <cell r="E357">
            <v>5141</v>
          </cell>
          <cell r="F357" t="str">
            <v>Ineabel Del toro</v>
          </cell>
        </row>
        <row r="358">
          <cell r="A358" t="str">
            <v>666m</v>
          </cell>
          <cell r="B358" t="str">
            <v>LG 7.4 cu. ft. Gas Dryer with Sensor Dry - (W3)</v>
          </cell>
          <cell r="E358">
            <v>5030</v>
          </cell>
          <cell r="F358" t="str">
            <v>David Rioux</v>
          </cell>
        </row>
        <row r="359">
          <cell r="A359" t="str">
            <v>691m</v>
          </cell>
          <cell r="B359" t="str">
            <v>Whirlpool 7.4 cu ft 240V Stackable uChrome Dryer</v>
          </cell>
          <cell r="E359">
            <v>5046</v>
          </cell>
          <cell r="F359" t="str">
            <v>ron larson</v>
          </cell>
        </row>
        <row r="360">
          <cell r="A360" t="str">
            <v>701m</v>
          </cell>
          <cell r="B360" t="str">
            <v>Samsung NA36N9755TM/AA 36" Chef Gas Cooktop - (W3)</v>
          </cell>
          <cell r="E360">
            <v>5068</v>
          </cell>
          <cell r="F360" t="str">
            <v>nelson guandique</v>
          </cell>
        </row>
        <row r="361">
          <cell r="A361" t="str">
            <v>800m</v>
          </cell>
          <cell r="B361" t="str">
            <v>Whirlpool 7.4-cu ft Stackable Electric Dryer (Whit</v>
          </cell>
          <cell r="E361">
            <v>5267</v>
          </cell>
          <cell r="F361" t="str">
            <v>Esteban Pacheco</v>
          </cell>
        </row>
        <row r="362">
          <cell r="A362" t="str">
            <v>900m</v>
          </cell>
          <cell r="B362" t="str">
            <v>LG DLEX3370W 7.4 cu ft SteamDryer NFC White - (W3)</v>
          </cell>
          <cell r="E362">
            <v>5259</v>
          </cell>
          <cell r="F362" t="str">
            <v>Aide Barroso</v>
          </cell>
        </row>
        <row r="363">
          <cell r="A363" t="str">
            <v>7777m</v>
          </cell>
          <cell r="B363" t="str">
            <v>Tina2 Basic V11 3D Printer Auto Leveling - (A)</v>
          </cell>
          <cell r="E363">
            <v>5088</v>
          </cell>
          <cell r="F363" t="str">
            <v>Michael Araiza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365"/>
  <sheetViews>
    <sheetView tabSelected="1" workbookViewId="0">
      <selection activeCell="D48" sqref="D48"/>
    </sheetView>
  </sheetViews>
  <sheetFormatPr defaultRowHeight="14.5" x14ac:dyDescent="0.35"/>
  <cols>
    <col min="4" max="4" width="47.6328125" customWidth="1"/>
    <col min="11" max="11" width="20.54296875" customWidth="1"/>
    <col min="12" max="12" width="8.90625" style="3"/>
    <col min="14" max="14" width="10.54296875" bestFit="1" customWidth="1"/>
    <col min="15" max="15" width="10.453125" style="10" customWidth="1"/>
    <col min="16" max="16" width="18" customWidth="1"/>
  </cols>
  <sheetData>
    <row r="1" spans="1:1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483</v>
      </c>
      <c r="H1" t="s">
        <v>6</v>
      </c>
      <c r="I1" t="s">
        <v>7</v>
      </c>
      <c r="J1" s="3" t="s">
        <v>8</v>
      </c>
      <c r="K1" t="s">
        <v>9</v>
      </c>
      <c r="L1" s="3" t="s">
        <v>10</v>
      </c>
      <c r="M1" s="8" t="s">
        <v>484</v>
      </c>
      <c r="N1" t="s">
        <v>485</v>
      </c>
      <c r="O1" s="10" t="s">
        <v>486</v>
      </c>
      <c r="P1" t="s">
        <v>487</v>
      </c>
    </row>
    <row r="2" spans="1:16" x14ac:dyDescent="0.35">
      <c r="A2" t="s">
        <v>11</v>
      </c>
      <c r="B2" t="s">
        <v>12</v>
      </c>
      <c r="C2">
        <v>1</v>
      </c>
      <c r="D2" t="s">
        <v>13</v>
      </c>
      <c r="E2" t="s">
        <v>14</v>
      </c>
      <c r="F2" s="1">
        <v>3199</v>
      </c>
      <c r="G2" t="s">
        <v>15</v>
      </c>
      <c r="H2" s="2">
        <v>0.14000000000000001</v>
      </c>
      <c r="I2" s="4">
        <f t="shared" ref="I2:I65" si="0">J2*H2</f>
        <v>447.86000000000007</v>
      </c>
      <c r="J2" s="6">
        <v>3199</v>
      </c>
      <c r="K2">
        <f t="shared" ref="K2:K65" si="1">J2*10%</f>
        <v>319.90000000000003</v>
      </c>
      <c r="L2" s="5">
        <f t="shared" ref="L2:L65" si="2">I2+K2</f>
        <v>767.7600000000001</v>
      </c>
      <c r="M2">
        <v>65000</v>
      </c>
      <c r="N2">
        <f t="shared" ref="N2:N65" si="3">M2/100</f>
        <v>650</v>
      </c>
      <c r="O2" s="4">
        <f t="shared" ref="O2:O65" si="4">N2-I2</f>
        <v>202.13999999999993</v>
      </c>
      <c r="P2" s="9" t="str">
        <f>VLOOKUP(B2,[1]Sheet1!$A:$F,6,0)</f>
        <v>ron larson</v>
      </c>
    </row>
    <row r="3" spans="1:16" hidden="1" x14ac:dyDescent="0.35">
      <c r="A3" t="s">
        <v>11</v>
      </c>
      <c r="B3" t="s">
        <v>317</v>
      </c>
      <c r="C3">
        <v>1</v>
      </c>
      <c r="D3" t="s">
        <v>318</v>
      </c>
      <c r="E3" t="s">
        <v>14</v>
      </c>
      <c r="F3">
        <v>112</v>
      </c>
      <c r="G3" t="s">
        <v>15</v>
      </c>
      <c r="H3" s="2">
        <v>0.14000000000000001</v>
      </c>
      <c r="I3" s="4">
        <f t="shared" si="0"/>
        <v>15.680000000000001</v>
      </c>
      <c r="J3">
        <v>112</v>
      </c>
      <c r="K3">
        <f t="shared" si="1"/>
        <v>11.200000000000001</v>
      </c>
      <c r="L3" s="5">
        <f t="shared" si="2"/>
        <v>26.880000000000003</v>
      </c>
      <c r="M3">
        <v>55000</v>
      </c>
      <c r="N3">
        <f t="shared" si="3"/>
        <v>550</v>
      </c>
      <c r="O3" s="10">
        <f t="shared" si="4"/>
        <v>534.32000000000005</v>
      </c>
      <c r="P3" t="str">
        <f>VLOOKUP(B3,[1]Sheet1!$A:$F,6,0)</f>
        <v>Shawn Pekley</v>
      </c>
    </row>
    <row r="4" spans="1:16" x14ac:dyDescent="0.35">
      <c r="A4" t="s">
        <v>19</v>
      </c>
      <c r="B4" t="s">
        <v>20</v>
      </c>
      <c r="C4">
        <v>1</v>
      </c>
      <c r="D4" t="s">
        <v>21</v>
      </c>
      <c r="E4" t="s">
        <v>14</v>
      </c>
      <c r="F4" s="1">
        <v>2525</v>
      </c>
      <c r="G4" t="s">
        <v>22</v>
      </c>
      <c r="H4" s="2">
        <v>0.2</v>
      </c>
      <c r="I4" s="4">
        <f t="shared" si="0"/>
        <v>505</v>
      </c>
      <c r="J4" s="6">
        <v>2525</v>
      </c>
      <c r="K4">
        <f t="shared" si="1"/>
        <v>252.5</v>
      </c>
      <c r="L4" s="5">
        <f t="shared" si="2"/>
        <v>757.5</v>
      </c>
      <c r="M4">
        <v>3500</v>
      </c>
      <c r="N4">
        <f t="shared" si="3"/>
        <v>35</v>
      </c>
      <c r="O4" s="4">
        <f t="shared" si="4"/>
        <v>-470</v>
      </c>
      <c r="P4" s="9" t="str">
        <f>VLOOKUP(B4,[1]Sheet1!$A:$F,6,0)</f>
        <v>ron larson</v>
      </c>
    </row>
    <row r="5" spans="1:16" hidden="1" x14ac:dyDescent="0.35">
      <c r="A5" t="s">
        <v>19</v>
      </c>
      <c r="B5">
        <v>92</v>
      </c>
      <c r="C5">
        <v>1</v>
      </c>
      <c r="D5" t="s">
        <v>240</v>
      </c>
      <c r="E5" t="s">
        <v>14</v>
      </c>
      <c r="F5">
        <v>223</v>
      </c>
      <c r="G5" t="s">
        <v>15</v>
      </c>
      <c r="H5" s="2">
        <v>0.14000000000000001</v>
      </c>
      <c r="I5" s="4">
        <f t="shared" si="0"/>
        <v>31.220000000000002</v>
      </c>
      <c r="J5" s="7">
        <v>223</v>
      </c>
      <c r="K5">
        <f t="shared" si="1"/>
        <v>22.3</v>
      </c>
      <c r="L5" s="5">
        <f t="shared" si="2"/>
        <v>53.52</v>
      </c>
      <c r="M5">
        <v>38500</v>
      </c>
      <c r="N5">
        <f t="shared" si="3"/>
        <v>385</v>
      </c>
      <c r="O5" s="10">
        <f t="shared" si="4"/>
        <v>353.78</v>
      </c>
      <c r="P5" t="str">
        <f>VLOOKUP(B5,[1]Sheet1!$A:$F,6,0)</f>
        <v>James McLean</v>
      </c>
    </row>
    <row r="6" spans="1:16" hidden="1" x14ac:dyDescent="0.35">
      <c r="A6" t="s">
        <v>26</v>
      </c>
      <c r="B6" t="s">
        <v>40</v>
      </c>
      <c r="C6">
        <v>1</v>
      </c>
      <c r="D6" t="s">
        <v>41</v>
      </c>
      <c r="E6" t="s">
        <v>14</v>
      </c>
      <c r="F6" s="1">
        <v>1799</v>
      </c>
      <c r="G6" t="s">
        <v>15</v>
      </c>
      <c r="H6" s="2">
        <v>0.14000000000000001</v>
      </c>
      <c r="I6" s="4">
        <f t="shared" si="0"/>
        <v>251.86</v>
      </c>
      <c r="J6" s="6">
        <v>1799</v>
      </c>
      <c r="K6">
        <f t="shared" si="1"/>
        <v>179.9</v>
      </c>
      <c r="L6" s="5">
        <f t="shared" si="2"/>
        <v>431.76</v>
      </c>
      <c r="M6">
        <v>58500</v>
      </c>
      <c r="N6">
        <f t="shared" si="3"/>
        <v>585</v>
      </c>
      <c r="O6" s="10">
        <f t="shared" si="4"/>
        <v>333.14</v>
      </c>
      <c r="P6" t="str">
        <f>VLOOKUP(B6,[1]Sheet1!$A:$F,6,0)</f>
        <v>nelson guandique</v>
      </c>
    </row>
    <row r="7" spans="1:16" x14ac:dyDescent="0.35">
      <c r="A7" t="s">
        <v>26</v>
      </c>
      <c r="B7" t="s">
        <v>29</v>
      </c>
      <c r="C7">
        <v>1</v>
      </c>
      <c r="D7" t="s">
        <v>30</v>
      </c>
      <c r="E7" t="s">
        <v>14</v>
      </c>
      <c r="F7" s="1">
        <v>2098</v>
      </c>
      <c r="G7" t="s">
        <v>15</v>
      </c>
      <c r="H7" s="2">
        <v>0.14000000000000001</v>
      </c>
      <c r="I7" s="4">
        <f t="shared" si="0"/>
        <v>293.72000000000003</v>
      </c>
      <c r="J7" s="6">
        <v>2098</v>
      </c>
      <c r="K7">
        <f t="shared" si="1"/>
        <v>209.8</v>
      </c>
      <c r="L7" s="5">
        <f t="shared" si="2"/>
        <v>503.52000000000004</v>
      </c>
      <c r="M7">
        <v>40500</v>
      </c>
      <c r="N7">
        <f t="shared" si="3"/>
        <v>405</v>
      </c>
      <c r="O7" s="4">
        <f t="shared" si="4"/>
        <v>111.27999999999997</v>
      </c>
      <c r="P7" s="9" t="str">
        <f>VLOOKUP(B7,[1]Sheet1!$A:$F,6,0)</f>
        <v>ron larson</v>
      </c>
    </row>
    <row r="8" spans="1:16" x14ac:dyDescent="0.35">
      <c r="A8" t="s">
        <v>19</v>
      </c>
      <c r="B8" t="s">
        <v>31</v>
      </c>
      <c r="C8">
        <v>1</v>
      </c>
      <c r="D8" t="s">
        <v>32</v>
      </c>
      <c r="E8" t="s">
        <v>14</v>
      </c>
      <c r="F8" s="1">
        <v>2000</v>
      </c>
      <c r="G8" t="s">
        <v>15</v>
      </c>
      <c r="H8" s="2">
        <v>0.14000000000000001</v>
      </c>
      <c r="I8" s="4">
        <f t="shared" si="0"/>
        <v>280</v>
      </c>
      <c r="J8" s="6">
        <v>2000</v>
      </c>
      <c r="K8">
        <f t="shared" si="1"/>
        <v>200</v>
      </c>
      <c r="L8" s="5">
        <f t="shared" si="2"/>
        <v>480</v>
      </c>
      <c r="M8">
        <v>30500</v>
      </c>
      <c r="N8">
        <f t="shared" si="3"/>
        <v>305</v>
      </c>
      <c r="O8" s="4">
        <f t="shared" si="4"/>
        <v>25</v>
      </c>
      <c r="P8" s="9" t="str">
        <f>VLOOKUP(B8,[1]Sheet1!$A:$F,6,0)</f>
        <v>ron larson</v>
      </c>
    </row>
    <row r="9" spans="1:16" x14ac:dyDescent="0.35">
      <c r="A9" t="s">
        <v>11</v>
      </c>
      <c r="B9" t="s">
        <v>33</v>
      </c>
      <c r="C9">
        <v>1</v>
      </c>
      <c r="D9" t="s">
        <v>34</v>
      </c>
      <c r="E9" t="s">
        <v>14</v>
      </c>
      <c r="F9" s="1">
        <v>2000</v>
      </c>
      <c r="G9" t="s">
        <v>35</v>
      </c>
      <c r="H9" s="2">
        <v>7.0000000000000007E-2</v>
      </c>
      <c r="I9" s="4">
        <f t="shared" si="0"/>
        <v>140</v>
      </c>
      <c r="J9" s="6">
        <v>2000</v>
      </c>
      <c r="K9">
        <f t="shared" si="1"/>
        <v>200</v>
      </c>
      <c r="L9" s="5">
        <f t="shared" si="2"/>
        <v>340</v>
      </c>
      <c r="M9">
        <v>11500</v>
      </c>
      <c r="N9">
        <f t="shared" si="3"/>
        <v>115</v>
      </c>
      <c r="O9" s="4">
        <f t="shared" si="4"/>
        <v>-25</v>
      </c>
      <c r="P9" s="9" t="str">
        <f>VLOOKUP(B9,[1]Sheet1!$A:$F,6,0)</f>
        <v>ron larson</v>
      </c>
    </row>
    <row r="10" spans="1:16" hidden="1" x14ac:dyDescent="0.35">
      <c r="A10" t="s">
        <v>16</v>
      </c>
      <c r="B10" t="s">
        <v>46</v>
      </c>
      <c r="C10">
        <v>1</v>
      </c>
      <c r="D10" t="s">
        <v>47</v>
      </c>
      <c r="E10" t="s">
        <v>14</v>
      </c>
      <c r="F10" s="1">
        <v>1599</v>
      </c>
      <c r="G10" t="s">
        <v>15</v>
      </c>
      <c r="H10" s="2">
        <v>0.14000000000000001</v>
      </c>
      <c r="I10" s="4">
        <f t="shared" si="0"/>
        <v>223.86</v>
      </c>
      <c r="J10" s="6">
        <v>1599</v>
      </c>
      <c r="K10">
        <f t="shared" si="1"/>
        <v>159.9</v>
      </c>
      <c r="L10" s="5">
        <f t="shared" si="2"/>
        <v>383.76</v>
      </c>
      <c r="M10">
        <v>55000</v>
      </c>
      <c r="N10">
        <f t="shared" si="3"/>
        <v>550</v>
      </c>
      <c r="O10" s="10">
        <f t="shared" si="4"/>
        <v>326.14</v>
      </c>
      <c r="P10" t="str">
        <f>VLOOKUP(B10,[1]Sheet1!$A:$F,6,0)</f>
        <v>Maria Chong</v>
      </c>
    </row>
    <row r="11" spans="1:16" x14ac:dyDescent="0.35">
      <c r="A11" t="s">
        <v>16</v>
      </c>
      <c r="B11" t="s">
        <v>38</v>
      </c>
      <c r="C11">
        <v>1</v>
      </c>
      <c r="D11" t="s">
        <v>39</v>
      </c>
      <c r="E11" t="s">
        <v>14</v>
      </c>
      <c r="F11" s="1">
        <v>1899</v>
      </c>
      <c r="G11" t="s">
        <v>15</v>
      </c>
      <c r="H11" s="2">
        <v>0.14000000000000001</v>
      </c>
      <c r="I11" s="4">
        <f t="shared" si="0"/>
        <v>265.86</v>
      </c>
      <c r="J11" s="6">
        <v>1899</v>
      </c>
      <c r="K11">
        <f t="shared" si="1"/>
        <v>189.9</v>
      </c>
      <c r="L11" s="5">
        <f t="shared" si="2"/>
        <v>455.76</v>
      </c>
      <c r="M11">
        <v>21500</v>
      </c>
      <c r="N11">
        <f t="shared" si="3"/>
        <v>215</v>
      </c>
      <c r="O11" s="4">
        <f t="shared" si="4"/>
        <v>-50.860000000000014</v>
      </c>
      <c r="P11" s="9" t="str">
        <f>VLOOKUP(B11,[1]Sheet1!$A:$F,6,0)</f>
        <v>ron larson</v>
      </c>
    </row>
    <row r="12" spans="1:16" hidden="1" x14ac:dyDescent="0.35">
      <c r="A12" t="s">
        <v>11</v>
      </c>
      <c r="B12" t="s">
        <v>36</v>
      </c>
      <c r="C12">
        <v>1</v>
      </c>
      <c r="D12" t="s">
        <v>37</v>
      </c>
      <c r="E12" t="s">
        <v>14</v>
      </c>
      <c r="F12" s="1">
        <v>1999</v>
      </c>
      <c r="G12" t="s">
        <v>15</v>
      </c>
      <c r="H12" s="2">
        <v>0.14000000000000001</v>
      </c>
      <c r="I12" s="4">
        <f t="shared" si="0"/>
        <v>279.86</v>
      </c>
      <c r="J12" s="6">
        <v>1999</v>
      </c>
      <c r="K12">
        <f t="shared" si="1"/>
        <v>199.9</v>
      </c>
      <c r="L12" s="5">
        <f t="shared" si="2"/>
        <v>479.76</v>
      </c>
      <c r="M12">
        <v>59650</v>
      </c>
      <c r="N12">
        <f t="shared" si="3"/>
        <v>596.5</v>
      </c>
      <c r="O12" s="10">
        <f t="shared" si="4"/>
        <v>316.64</v>
      </c>
      <c r="P12" t="str">
        <f>VLOOKUP(B12,[1]Sheet1!$A:$F,6,0)</f>
        <v>Cynthia Echols</v>
      </c>
    </row>
    <row r="13" spans="1:16" x14ac:dyDescent="0.35">
      <c r="A13" t="s">
        <v>11</v>
      </c>
      <c r="B13" t="s">
        <v>42</v>
      </c>
      <c r="C13">
        <v>1</v>
      </c>
      <c r="D13" t="s">
        <v>43</v>
      </c>
      <c r="E13" t="s">
        <v>14</v>
      </c>
      <c r="F13" s="1">
        <v>1749</v>
      </c>
      <c r="G13" t="s">
        <v>15</v>
      </c>
      <c r="H13" s="2">
        <v>0.14000000000000001</v>
      </c>
      <c r="I13" s="4">
        <f t="shared" si="0"/>
        <v>244.86</v>
      </c>
      <c r="J13" s="6">
        <v>1749</v>
      </c>
      <c r="K13">
        <f t="shared" si="1"/>
        <v>174.9</v>
      </c>
      <c r="L13" s="5">
        <f t="shared" si="2"/>
        <v>419.76</v>
      </c>
      <c r="M13">
        <v>10500</v>
      </c>
      <c r="N13">
        <f t="shared" si="3"/>
        <v>105</v>
      </c>
      <c r="O13" s="4">
        <f t="shared" si="4"/>
        <v>-139.86000000000001</v>
      </c>
      <c r="P13" s="9" t="str">
        <f>VLOOKUP(B13,[1]Sheet1!$A:$F,6,0)</f>
        <v>ron larson</v>
      </c>
    </row>
    <row r="14" spans="1:16" x14ac:dyDescent="0.35">
      <c r="A14" t="s">
        <v>19</v>
      </c>
      <c r="B14" t="s">
        <v>44</v>
      </c>
      <c r="C14">
        <v>1</v>
      </c>
      <c r="D14" t="s">
        <v>45</v>
      </c>
      <c r="E14" t="s">
        <v>14</v>
      </c>
      <c r="F14" s="1">
        <v>1699</v>
      </c>
      <c r="G14" t="s">
        <v>15</v>
      </c>
      <c r="H14" s="2">
        <v>0.14000000000000001</v>
      </c>
      <c r="I14" s="4">
        <f t="shared" si="0"/>
        <v>237.86</v>
      </c>
      <c r="J14" s="6">
        <v>1699</v>
      </c>
      <c r="K14">
        <f t="shared" si="1"/>
        <v>169.9</v>
      </c>
      <c r="L14" s="5">
        <f t="shared" si="2"/>
        <v>407.76</v>
      </c>
      <c r="M14">
        <v>11000</v>
      </c>
      <c r="N14">
        <f t="shared" si="3"/>
        <v>110</v>
      </c>
      <c r="O14" s="4">
        <f t="shared" si="4"/>
        <v>-127.86000000000001</v>
      </c>
      <c r="P14" s="9" t="str">
        <f>VLOOKUP(B14,[1]Sheet1!$A:$F,6,0)</f>
        <v>ron larson</v>
      </c>
    </row>
    <row r="15" spans="1:16" hidden="1" x14ac:dyDescent="0.35">
      <c r="A15" t="s">
        <v>16</v>
      </c>
      <c r="B15" t="s">
        <v>65</v>
      </c>
      <c r="C15">
        <v>1</v>
      </c>
      <c r="D15" t="s">
        <v>66</v>
      </c>
      <c r="E15" t="s">
        <v>14</v>
      </c>
      <c r="F15" s="1">
        <v>1199</v>
      </c>
      <c r="G15" t="s">
        <v>15</v>
      </c>
      <c r="H15" s="2">
        <v>0.14000000000000001</v>
      </c>
      <c r="I15" s="4">
        <f t="shared" si="0"/>
        <v>167.86</v>
      </c>
      <c r="J15" s="6">
        <v>1199</v>
      </c>
      <c r="K15">
        <f t="shared" si="1"/>
        <v>119.9</v>
      </c>
      <c r="L15" s="5">
        <f t="shared" si="2"/>
        <v>287.76</v>
      </c>
      <c r="M15">
        <v>45000</v>
      </c>
      <c r="N15">
        <f t="shared" si="3"/>
        <v>450</v>
      </c>
      <c r="O15" s="10">
        <f t="shared" si="4"/>
        <v>282.14</v>
      </c>
      <c r="P15" t="str">
        <f>VLOOKUP(B15,[1]Sheet1!$A:$F,6,0)</f>
        <v>Noble Sifat</v>
      </c>
    </row>
    <row r="16" spans="1:16" hidden="1" x14ac:dyDescent="0.35">
      <c r="A16" t="s">
        <v>26</v>
      </c>
      <c r="B16" t="s">
        <v>87</v>
      </c>
      <c r="C16">
        <v>1</v>
      </c>
      <c r="D16" t="s">
        <v>88</v>
      </c>
      <c r="E16" t="s">
        <v>14</v>
      </c>
      <c r="F16" s="1">
        <v>1000</v>
      </c>
      <c r="G16" t="s">
        <v>15</v>
      </c>
      <c r="H16" s="2">
        <v>0.14000000000000001</v>
      </c>
      <c r="I16" s="4">
        <f t="shared" si="0"/>
        <v>140</v>
      </c>
      <c r="J16" s="6">
        <v>1000</v>
      </c>
      <c r="K16">
        <f t="shared" si="1"/>
        <v>100</v>
      </c>
      <c r="L16" s="5">
        <f t="shared" si="2"/>
        <v>240</v>
      </c>
      <c r="M16">
        <v>40500</v>
      </c>
      <c r="N16">
        <f t="shared" si="3"/>
        <v>405</v>
      </c>
      <c r="O16" s="10">
        <f t="shared" si="4"/>
        <v>265</v>
      </c>
      <c r="P16" t="str">
        <f>VLOOKUP(B16,[1]Sheet1!$A:$F,6,0)</f>
        <v>Cynthia Echols</v>
      </c>
    </row>
    <row r="17" spans="1:16" x14ac:dyDescent="0.35">
      <c r="A17" t="s">
        <v>11</v>
      </c>
      <c r="B17" t="s">
        <v>50</v>
      </c>
      <c r="C17">
        <v>1</v>
      </c>
      <c r="D17" t="s">
        <v>51</v>
      </c>
      <c r="E17" t="s">
        <v>14</v>
      </c>
      <c r="F17" s="1">
        <v>1485</v>
      </c>
      <c r="G17" t="s">
        <v>15</v>
      </c>
      <c r="H17" s="2">
        <v>0.14000000000000001</v>
      </c>
      <c r="I17" s="4">
        <f t="shared" si="0"/>
        <v>207.9</v>
      </c>
      <c r="J17" s="6">
        <v>1485</v>
      </c>
      <c r="K17">
        <f t="shared" si="1"/>
        <v>148.5</v>
      </c>
      <c r="L17" s="5">
        <f t="shared" si="2"/>
        <v>356.4</v>
      </c>
      <c r="M17">
        <v>35500</v>
      </c>
      <c r="N17">
        <f t="shared" si="3"/>
        <v>355</v>
      </c>
      <c r="O17" s="4">
        <f t="shared" si="4"/>
        <v>147.1</v>
      </c>
      <c r="P17" s="9" t="str">
        <f>VLOOKUP(B17,[1]Sheet1!$A:$F,6,0)</f>
        <v>ron larson</v>
      </c>
    </row>
    <row r="18" spans="1:16" hidden="1" x14ac:dyDescent="0.35">
      <c r="A18" t="s">
        <v>26</v>
      </c>
      <c r="B18" t="s">
        <v>69</v>
      </c>
      <c r="C18">
        <v>1</v>
      </c>
      <c r="D18" t="s">
        <v>70</v>
      </c>
      <c r="E18" t="s">
        <v>14</v>
      </c>
      <c r="F18" s="1">
        <v>1179</v>
      </c>
      <c r="G18" t="s">
        <v>15</v>
      </c>
      <c r="H18" s="2">
        <v>0.14000000000000001</v>
      </c>
      <c r="I18" s="4">
        <f t="shared" si="0"/>
        <v>165.06</v>
      </c>
      <c r="J18" s="6">
        <v>1179</v>
      </c>
      <c r="K18">
        <f t="shared" si="1"/>
        <v>117.9</v>
      </c>
      <c r="L18" s="5">
        <f t="shared" si="2"/>
        <v>282.96000000000004</v>
      </c>
      <c r="M18">
        <v>40000</v>
      </c>
      <c r="N18">
        <f t="shared" si="3"/>
        <v>400</v>
      </c>
      <c r="O18" s="10">
        <f t="shared" si="4"/>
        <v>234.94</v>
      </c>
      <c r="P18" t="str">
        <f>VLOOKUP(B18,[1]Sheet1!$A:$F,6,0)</f>
        <v>Tricia Phillips</v>
      </c>
    </row>
    <row r="19" spans="1:16" x14ac:dyDescent="0.35">
      <c r="A19" t="s">
        <v>11</v>
      </c>
      <c r="B19" t="s">
        <v>54</v>
      </c>
      <c r="C19">
        <v>1</v>
      </c>
      <c r="D19" t="s">
        <v>55</v>
      </c>
      <c r="E19" t="s">
        <v>14</v>
      </c>
      <c r="F19" s="1">
        <v>1398</v>
      </c>
      <c r="G19" t="s">
        <v>56</v>
      </c>
      <c r="H19" s="2">
        <v>0.14000000000000001</v>
      </c>
      <c r="I19" s="4">
        <f t="shared" si="0"/>
        <v>195.72000000000003</v>
      </c>
      <c r="J19" s="6">
        <v>1398</v>
      </c>
      <c r="K19">
        <f t="shared" si="1"/>
        <v>139.80000000000001</v>
      </c>
      <c r="L19" s="5">
        <f t="shared" si="2"/>
        <v>335.52000000000004</v>
      </c>
      <c r="M19">
        <v>5000</v>
      </c>
      <c r="N19">
        <f t="shared" si="3"/>
        <v>50</v>
      </c>
      <c r="O19" s="4">
        <f t="shared" si="4"/>
        <v>-145.72000000000003</v>
      </c>
      <c r="P19" s="9" t="str">
        <f>VLOOKUP(B19,[1]Sheet1!$A:$F,6,0)</f>
        <v>ron larson</v>
      </c>
    </row>
    <row r="20" spans="1:16" x14ac:dyDescent="0.35">
      <c r="A20" t="s">
        <v>16</v>
      </c>
      <c r="B20" t="s">
        <v>57</v>
      </c>
      <c r="C20">
        <v>1</v>
      </c>
      <c r="D20" t="s">
        <v>58</v>
      </c>
      <c r="E20" t="s">
        <v>14</v>
      </c>
      <c r="F20" s="1">
        <v>1359</v>
      </c>
      <c r="G20" t="s">
        <v>15</v>
      </c>
      <c r="H20" s="2">
        <v>0.14000000000000001</v>
      </c>
      <c r="I20" s="4">
        <f t="shared" si="0"/>
        <v>190.26000000000002</v>
      </c>
      <c r="J20" s="6">
        <v>1359</v>
      </c>
      <c r="K20">
        <f t="shared" si="1"/>
        <v>135.9</v>
      </c>
      <c r="L20" s="5">
        <f t="shared" si="2"/>
        <v>326.16000000000003</v>
      </c>
      <c r="M20">
        <v>29000</v>
      </c>
      <c r="N20">
        <f t="shared" si="3"/>
        <v>290</v>
      </c>
      <c r="O20" s="4">
        <f t="shared" si="4"/>
        <v>99.739999999999981</v>
      </c>
      <c r="P20" s="9" t="str">
        <f>VLOOKUP(B20,[1]Sheet1!$A:$F,6,0)</f>
        <v>ron larson</v>
      </c>
    </row>
    <row r="21" spans="1:16" x14ac:dyDescent="0.35">
      <c r="A21" t="s">
        <v>19</v>
      </c>
      <c r="B21" t="s">
        <v>59</v>
      </c>
      <c r="C21">
        <v>1</v>
      </c>
      <c r="D21" t="s">
        <v>60</v>
      </c>
      <c r="E21" t="s">
        <v>14</v>
      </c>
      <c r="F21" s="1">
        <v>1309</v>
      </c>
      <c r="G21" t="s">
        <v>15</v>
      </c>
      <c r="H21" s="2">
        <v>0.14000000000000001</v>
      </c>
      <c r="I21" s="4">
        <f t="shared" si="0"/>
        <v>183.26000000000002</v>
      </c>
      <c r="J21" s="6">
        <v>1309</v>
      </c>
      <c r="K21">
        <f t="shared" si="1"/>
        <v>130.9</v>
      </c>
      <c r="L21" s="5">
        <f t="shared" si="2"/>
        <v>314.16000000000003</v>
      </c>
      <c r="M21">
        <v>23500</v>
      </c>
      <c r="N21">
        <f t="shared" si="3"/>
        <v>235</v>
      </c>
      <c r="O21" s="4">
        <f t="shared" si="4"/>
        <v>51.739999999999981</v>
      </c>
      <c r="P21" s="9" t="str">
        <f>VLOOKUP(B21,[1]Sheet1!$A:$F,6,0)</f>
        <v>ron larson</v>
      </c>
    </row>
    <row r="22" spans="1:16" hidden="1" x14ac:dyDescent="0.35">
      <c r="A22" t="s">
        <v>26</v>
      </c>
      <c r="B22" t="s">
        <v>27</v>
      </c>
      <c r="C22">
        <v>1</v>
      </c>
      <c r="D22" t="s">
        <v>28</v>
      </c>
      <c r="E22" t="s">
        <v>14</v>
      </c>
      <c r="F22" s="1">
        <v>2158</v>
      </c>
      <c r="G22" t="s">
        <v>15</v>
      </c>
      <c r="H22" s="2">
        <v>0.14000000000000001</v>
      </c>
      <c r="I22" s="4">
        <f t="shared" si="0"/>
        <v>302.12</v>
      </c>
      <c r="J22" s="6">
        <v>2158</v>
      </c>
      <c r="K22">
        <f t="shared" si="1"/>
        <v>215.8</v>
      </c>
      <c r="L22" s="5">
        <f t="shared" si="2"/>
        <v>517.92000000000007</v>
      </c>
      <c r="M22">
        <v>51000</v>
      </c>
      <c r="N22">
        <f t="shared" si="3"/>
        <v>510</v>
      </c>
      <c r="O22" s="10">
        <f t="shared" si="4"/>
        <v>207.88</v>
      </c>
      <c r="P22" t="str">
        <f>VLOOKUP(B22,[1]Sheet1!$A:$F,6,0)</f>
        <v>James McLean</v>
      </c>
    </row>
    <row r="23" spans="1:16" hidden="1" x14ac:dyDescent="0.35">
      <c r="A23" t="s">
        <v>26</v>
      </c>
      <c r="B23" t="s">
        <v>107</v>
      </c>
      <c r="C23">
        <v>1</v>
      </c>
      <c r="D23" t="s">
        <v>108</v>
      </c>
      <c r="E23" t="s">
        <v>14</v>
      </c>
      <c r="F23">
        <v>854</v>
      </c>
      <c r="G23" t="s">
        <v>15</v>
      </c>
      <c r="H23" s="2">
        <v>0.14000000000000001</v>
      </c>
      <c r="I23" s="4">
        <f t="shared" si="0"/>
        <v>119.56000000000002</v>
      </c>
      <c r="J23" s="7">
        <v>854</v>
      </c>
      <c r="K23">
        <f t="shared" si="1"/>
        <v>85.4</v>
      </c>
      <c r="L23" s="5">
        <f t="shared" si="2"/>
        <v>204.96000000000004</v>
      </c>
      <c r="M23">
        <v>32000</v>
      </c>
      <c r="N23">
        <f t="shared" si="3"/>
        <v>320</v>
      </c>
      <c r="O23" s="10">
        <f t="shared" si="4"/>
        <v>200.44</v>
      </c>
      <c r="P23" t="str">
        <f>VLOOKUP(B23,[1]Sheet1!$A:$F,6,0)</f>
        <v>Lynne Nobles</v>
      </c>
    </row>
    <row r="24" spans="1:16" hidden="1" x14ac:dyDescent="0.35">
      <c r="A24" t="s">
        <v>11</v>
      </c>
      <c r="B24" t="s">
        <v>52</v>
      </c>
      <c r="C24">
        <v>1</v>
      </c>
      <c r="D24" t="s">
        <v>53</v>
      </c>
      <c r="E24" t="s">
        <v>14</v>
      </c>
      <c r="F24" s="1">
        <v>1399</v>
      </c>
      <c r="G24" t="s">
        <v>15</v>
      </c>
      <c r="H24" s="2">
        <v>0.14000000000000001</v>
      </c>
      <c r="I24" s="4">
        <f t="shared" si="0"/>
        <v>195.86</v>
      </c>
      <c r="J24" s="6">
        <v>1399</v>
      </c>
      <c r="K24">
        <f t="shared" si="1"/>
        <v>139.9</v>
      </c>
      <c r="L24" s="5">
        <f t="shared" si="2"/>
        <v>335.76</v>
      </c>
      <c r="M24">
        <v>37500</v>
      </c>
      <c r="N24">
        <f t="shared" si="3"/>
        <v>375</v>
      </c>
      <c r="O24" s="10">
        <f t="shared" si="4"/>
        <v>179.14</v>
      </c>
      <c r="P24" t="str">
        <f>VLOOKUP(B24,[1]Sheet1!$A:$F,6,0)</f>
        <v>Mark Templin</v>
      </c>
    </row>
    <row r="25" spans="1:16" x14ac:dyDescent="0.35">
      <c r="A25" t="s">
        <v>19</v>
      </c>
      <c r="B25" t="s">
        <v>67</v>
      </c>
      <c r="C25">
        <v>1</v>
      </c>
      <c r="D25" t="s">
        <v>68</v>
      </c>
      <c r="E25" t="s">
        <v>14</v>
      </c>
      <c r="F25" s="1">
        <v>1198</v>
      </c>
      <c r="G25" t="s">
        <v>15</v>
      </c>
      <c r="H25" s="2">
        <v>0.14000000000000001</v>
      </c>
      <c r="I25" s="4">
        <f t="shared" si="0"/>
        <v>167.72000000000003</v>
      </c>
      <c r="J25" s="6">
        <v>1198</v>
      </c>
      <c r="K25">
        <f t="shared" si="1"/>
        <v>119.80000000000001</v>
      </c>
      <c r="L25" s="5">
        <f t="shared" si="2"/>
        <v>287.52000000000004</v>
      </c>
      <c r="M25">
        <v>4300</v>
      </c>
      <c r="N25">
        <f t="shared" si="3"/>
        <v>43</v>
      </c>
      <c r="O25" s="4">
        <f t="shared" si="4"/>
        <v>-124.72000000000003</v>
      </c>
      <c r="P25" s="9" t="str">
        <f>VLOOKUP(B25,[1]Sheet1!$A:$F,6,0)</f>
        <v>ron larson</v>
      </c>
    </row>
    <row r="26" spans="1:16" hidden="1" x14ac:dyDescent="0.35">
      <c r="A26" t="s">
        <v>19</v>
      </c>
      <c r="B26" t="s">
        <v>92</v>
      </c>
      <c r="C26">
        <v>1</v>
      </c>
      <c r="D26" t="s">
        <v>93</v>
      </c>
      <c r="E26" t="s">
        <v>14</v>
      </c>
      <c r="F26">
        <v>999</v>
      </c>
      <c r="G26" t="s">
        <v>15</v>
      </c>
      <c r="H26" s="2">
        <v>0.14000000000000001</v>
      </c>
      <c r="I26" s="4">
        <f t="shared" si="0"/>
        <v>139.86000000000001</v>
      </c>
      <c r="J26" s="7">
        <v>999</v>
      </c>
      <c r="K26">
        <f t="shared" si="1"/>
        <v>99.9</v>
      </c>
      <c r="L26" s="5">
        <f t="shared" si="2"/>
        <v>239.76000000000002</v>
      </c>
      <c r="M26">
        <v>31500</v>
      </c>
      <c r="N26">
        <f t="shared" si="3"/>
        <v>315</v>
      </c>
      <c r="O26" s="10">
        <f t="shared" si="4"/>
        <v>175.14</v>
      </c>
      <c r="P26" t="str">
        <f>VLOOKUP(B26,[1]Sheet1!$A:$F,6,0)</f>
        <v>Tony Kalajo</v>
      </c>
    </row>
    <row r="27" spans="1:16" x14ac:dyDescent="0.35">
      <c r="A27" t="s">
        <v>26</v>
      </c>
      <c r="B27" t="s">
        <v>71</v>
      </c>
      <c r="C27">
        <v>1</v>
      </c>
      <c r="D27" t="s">
        <v>72</v>
      </c>
      <c r="E27" t="s">
        <v>14</v>
      </c>
      <c r="F27" s="1">
        <v>1170</v>
      </c>
      <c r="G27" t="s">
        <v>15</v>
      </c>
      <c r="H27" s="2">
        <v>0.14000000000000001</v>
      </c>
      <c r="I27" s="4">
        <f t="shared" si="0"/>
        <v>163.80000000000001</v>
      </c>
      <c r="J27" s="6">
        <v>1170</v>
      </c>
      <c r="K27">
        <f t="shared" si="1"/>
        <v>117</v>
      </c>
      <c r="L27" s="5">
        <f t="shared" si="2"/>
        <v>280.8</v>
      </c>
      <c r="M27">
        <v>10000</v>
      </c>
      <c r="N27">
        <f t="shared" si="3"/>
        <v>100</v>
      </c>
      <c r="O27" s="4">
        <f t="shared" si="4"/>
        <v>-63.800000000000011</v>
      </c>
      <c r="P27" s="9" t="str">
        <f>VLOOKUP(B27,[1]Sheet1!$A:$F,6,0)</f>
        <v>ron larson</v>
      </c>
    </row>
    <row r="28" spans="1:16" x14ac:dyDescent="0.35">
      <c r="A28" t="s">
        <v>26</v>
      </c>
      <c r="B28" t="s">
        <v>73</v>
      </c>
      <c r="C28">
        <v>1</v>
      </c>
      <c r="D28" t="s">
        <v>74</v>
      </c>
      <c r="E28" t="s">
        <v>14</v>
      </c>
      <c r="F28" s="1">
        <v>1168</v>
      </c>
      <c r="G28" t="s">
        <v>15</v>
      </c>
      <c r="H28" s="2">
        <v>0.14000000000000001</v>
      </c>
      <c r="I28" s="4">
        <f t="shared" si="0"/>
        <v>163.52000000000001</v>
      </c>
      <c r="J28" s="6">
        <v>1168</v>
      </c>
      <c r="K28">
        <f t="shared" si="1"/>
        <v>116.80000000000001</v>
      </c>
      <c r="L28" s="5">
        <f t="shared" si="2"/>
        <v>280.32000000000005</v>
      </c>
      <c r="M28">
        <v>24500</v>
      </c>
      <c r="N28">
        <f t="shared" si="3"/>
        <v>245</v>
      </c>
      <c r="O28" s="4">
        <f t="shared" si="4"/>
        <v>81.47999999999999</v>
      </c>
      <c r="P28" s="9" t="str">
        <f>VLOOKUP(B28,[1]Sheet1!$A:$F,6,0)</f>
        <v>ron larson</v>
      </c>
    </row>
    <row r="29" spans="1:16" hidden="1" x14ac:dyDescent="0.35">
      <c r="A29" t="s">
        <v>16</v>
      </c>
      <c r="B29" t="s">
        <v>144</v>
      </c>
      <c r="C29">
        <v>1</v>
      </c>
      <c r="D29" t="s">
        <v>145</v>
      </c>
      <c r="E29" t="s">
        <v>14</v>
      </c>
      <c r="F29">
        <v>729</v>
      </c>
      <c r="G29" t="s">
        <v>15</v>
      </c>
      <c r="H29" s="2">
        <v>0.14000000000000001</v>
      </c>
      <c r="I29" s="4">
        <f t="shared" si="0"/>
        <v>102.06000000000002</v>
      </c>
      <c r="J29" s="7">
        <v>729</v>
      </c>
      <c r="K29">
        <f t="shared" si="1"/>
        <v>72.900000000000006</v>
      </c>
      <c r="L29" s="5">
        <f t="shared" si="2"/>
        <v>174.96000000000004</v>
      </c>
      <c r="M29">
        <v>27600</v>
      </c>
      <c r="N29">
        <f t="shared" si="3"/>
        <v>276</v>
      </c>
      <c r="O29" s="10">
        <f t="shared" si="4"/>
        <v>173.94</v>
      </c>
      <c r="P29" t="str">
        <f>VLOOKUP(B29,[1]Sheet1!$A:$F,6,0)</f>
        <v>tanya pittman</v>
      </c>
    </row>
    <row r="30" spans="1:16" hidden="1" x14ac:dyDescent="0.35">
      <c r="A30" t="s">
        <v>11</v>
      </c>
      <c r="B30" t="s">
        <v>94</v>
      </c>
      <c r="C30">
        <v>1</v>
      </c>
      <c r="D30" t="s">
        <v>95</v>
      </c>
      <c r="E30" t="s">
        <v>14</v>
      </c>
      <c r="F30">
        <v>979</v>
      </c>
      <c r="G30" t="s">
        <v>56</v>
      </c>
      <c r="H30" s="2">
        <v>0.14000000000000001</v>
      </c>
      <c r="I30" s="4">
        <f t="shared" si="0"/>
        <v>137.06</v>
      </c>
      <c r="J30" s="7">
        <v>979</v>
      </c>
      <c r="K30">
        <f t="shared" si="1"/>
        <v>97.9</v>
      </c>
      <c r="L30" s="5">
        <f t="shared" si="2"/>
        <v>234.96</v>
      </c>
      <c r="M30">
        <v>30000</v>
      </c>
      <c r="N30">
        <f t="shared" si="3"/>
        <v>300</v>
      </c>
      <c r="O30" s="10">
        <f t="shared" si="4"/>
        <v>162.94</v>
      </c>
      <c r="P30" t="str">
        <f>VLOOKUP(B30,[1]Sheet1!$A:$F,6,0)</f>
        <v>Noble Sifat</v>
      </c>
    </row>
    <row r="31" spans="1:16" x14ac:dyDescent="0.35">
      <c r="A31" t="s">
        <v>19</v>
      </c>
      <c r="B31" t="s">
        <v>79</v>
      </c>
      <c r="C31">
        <v>1</v>
      </c>
      <c r="D31" t="s">
        <v>80</v>
      </c>
      <c r="E31" t="s">
        <v>14</v>
      </c>
      <c r="F31" s="1">
        <v>1108</v>
      </c>
      <c r="G31" t="s">
        <v>56</v>
      </c>
      <c r="H31" s="2">
        <v>0.14000000000000001</v>
      </c>
      <c r="I31" s="4">
        <f t="shared" si="0"/>
        <v>155.12</v>
      </c>
      <c r="J31" s="6">
        <v>1108</v>
      </c>
      <c r="K31">
        <f t="shared" si="1"/>
        <v>110.80000000000001</v>
      </c>
      <c r="L31" s="5">
        <f t="shared" si="2"/>
        <v>265.92</v>
      </c>
      <c r="M31">
        <v>500</v>
      </c>
      <c r="N31">
        <f t="shared" si="3"/>
        <v>5</v>
      </c>
      <c r="O31" s="4">
        <f t="shared" si="4"/>
        <v>-150.12</v>
      </c>
      <c r="P31" s="9" t="str">
        <f>VLOOKUP(B31,[1]Sheet1!$A:$F,6,0)</f>
        <v>ron larson</v>
      </c>
    </row>
    <row r="32" spans="1:16" hidden="1" x14ac:dyDescent="0.35">
      <c r="A32" t="s">
        <v>16</v>
      </c>
      <c r="B32" t="s">
        <v>203</v>
      </c>
      <c r="C32">
        <v>1</v>
      </c>
      <c r="D32" t="s">
        <v>204</v>
      </c>
      <c r="E32" t="s">
        <v>14</v>
      </c>
      <c r="F32">
        <v>400</v>
      </c>
      <c r="G32" t="s">
        <v>15</v>
      </c>
      <c r="H32" s="2">
        <v>0.14000000000000001</v>
      </c>
      <c r="I32" s="4">
        <f t="shared" si="0"/>
        <v>56.000000000000007</v>
      </c>
      <c r="J32" s="7">
        <v>400</v>
      </c>
      <c r="K32">
        <f t="shared" si="1"/>
        <v>40</v>
      </c>
      <c r="L32" s="5">
        <f t="shared" si="2"/>
        <v>96</v>
      </c>
      <c r="M32">
        <v>21000</v>
      </c>
      <c r="N32">
        <f t="shared" si="3"/>
        <v>210</v>
      </c>
      <c r="O32" s="10">
        <f t="shared" si="4"/>
        <v>154</v>
      </c>
      <c r="P32" t="str">
        <f>VLOOKUP(B32,[1]Sheet1!$A:$F,6,0)</f>
        <v>tanya pittman</v>
      </c>
    </row>
    <row r="33" spans="1:16" x14ac:dyDescent="0.35">
      <c r="A33" t="s">
        <v>11</v>
      </c>
      <c r="B33" t="s">
        <v>83</v>
      </c>
      <c r="C33">
        <v>1</v>
      </c>
      <c r="D33" t="s">
        <v>84</v>
      </c>
      <c r="E33" t="s">
        <v>14</v>
      </c>
      <c r="F33" s="1">
        <v>1049</v>
      </c>
      <c r="G33" t="s">
        <v>15</v>
      </c>
      <c r="H33" s="2">
        <v>0.14000000000000001</v>
      </c>
      <c r="I33" s="4">
        <f t="shared" si="0"/>
        <v>146.86000000000001</v>
      </c>
      <c r="J33" s="6">
        <v>1049</v>
      </c>
      <c r="K33">
        <f t="shared" si="1"/>
        <v>104.9</v>
      </c>
      <c r="L33" s="5">
        <f t="shared" si="2"/>
        <v>251.76000000000002</v>
      </c>
      <c r="M33">
        <v>15525</v>
      </c>
      <c r="N33">
        <f t="shared" si="3"/>
        <v>155.25</v>
      </c>
      <c r="O33" s="4">
        <f t="shared" si="4"/>
        <v>8.3899999999999864</v>
      </c>
      <c r="P33" s="9" t="str">
        <f>VLOOKUP(B33,[1]Sheet1!$A:$F,6,0)</f>
        <v>ron larson</v>
      </c>
    </row>
    <row r="34" spans="1:16" hidden="1" x14ac:dyDescent="0.35">
      <c r="A34" t="s">
        <v>26</v>
      </c>
      <c r="B34" t="s">
        <v>75</v>
      </c>
      <c r="C34">
        <v>1</v>
      </c>
      <c r="D34" t="s">
        <v>76</v>
      </c>
      <c r="E34" t="s">
        <v>14</v>
      </c>
      <c r="F34" s="1">
        <v>1150</v>
      </c>
      <c r="G34" t="s">
        <v>15</v>
      </c>
      <c r="H34" s="2">
        <v>0.14000000000000001</v>
      </c>
      <c r="I34" s="4">
        <f t="shared" si="0"/>
        <v>161.00000000000003</v>
      </c>
      <c r="J34" s="6">
        <v>1150</v>
      </c>
      <c r="K34">
        <f t="shared" si="1"/>
        <v>115</v>
      </c>
      <c r="L34" s="5">
        <f t="shared" si="2"/>
        <v>276</v>
      </c>
      <c r="M34">
        <v>31000</v>
      </c>
      <c r="N34">
        <f t="shared" si="3"/>
        <v>310</v>
      </c>
      <c r="O34" s="10">
        <f t="shared" si="4"/>
        <v>148.99999999999997</v>
      </c>
      <c r="P34" t="str">
        <f>VLOOKUP(B34,[1]Sheet1!$A:$F,6,0)</f>
        <v>David Rioux</v>
      </c>
    </row>
    <row r="35" spans="1:16" hidden="1" x14ac:dyDescent="0.35">
      <c r="A35" t="s">
        <v>26</v>
      </c>
      <c r="B35" t="s">
        <v>167</v>
      </c>
      <c r="C35">
        <v>1</v>
      </c>
      <c r="D35" t="s">
        <v>168</v>
      </c>
      <c r="E35" t="s">
        <v>14</v>
      </c>
      <c r="F35">
        <v>534</v>
      </c>
      <c r="G35" t="s">
        <v>15</v>
      </c>
      <c r="H35" s="2">
        <v>0.14000000000000001</v>
      </c>
      <c r="I35" s="4">
        <f t="shared" si="0"/>
        <v>74.760000000000005</v>
      </c>
      <c r="J35" s="7">
        <v>534</v>
      </c>
      <c r="K35">
        <f t="shared" si="1"/>
        <v>53.400000000000006</v>
      </c>
      <c r="L35" s="5">
        <f t="shared" si="2"/>
        <v>128.16000000000003</v>
      </c>
      <c r="M35">
        <v>22000</v>
      </c>
      <c r="N35">
        <f t="shared" si="3"/>
        <v>220</v>
      </c>
      <c r="O35" s="10">
        <f t="shared" si="4"/>
        <v>145.24</v>
      </c>
      <c r="P35" t="str">
        <f>VLOOKUP(B35,[1]Sheet1!$A:$F,6,0)</f>
        <v>Noble Sifat</v>
      </c>
    </row>
    <row r="36" spans="1:16" hidden="1" x14ac:dyDescent="0.35">
      <c r="A36" t="s">
        <v>19</v>
      </c>
      <c r="B36" t="s">
        <v>198</v>
      </c>
      <c r="C36">
        <v>1</v>
      </c>
      <c r="D36" t="s">
        <v>199</v>
      </c>
      <c r="E36" t="s">
        <v>14</v>
      </c>
      <c r="F36">
        <v>420</v>
      </c>
      <c r="G36" t="s">
        <v>15</v>
      </c>
      <c r="H36" s="2">
        <v>0.14000000000000001</v>
      </c>
      <c r="I36" s="4">
        <f t="shared" si="0"/>
        <v>58.800000000000004</v>
      </c>
      <c r="J36" s="7">
        <v>420</v>
      </c>
      <c r="K36">
        <f t="shared" si="1"/>
        <v>42</v>
      </c>
      <c r="L36" s="5">
        <f t="shared" si="2"/>
        <v>100.80000000000001</v>
      </c>
      <c r="M36">
        <v>20000</v>
      </c>
      <c r="N36">
        <f t="shared" si="3"/>
        <v>200</v>
      </c>
      <c r="O36" s="10">
        <f t="shared" si="4"/>
        <v>141.19999999999999</v>
      </c>
      <c r="P36" t="str">
        <f>VLOOKUP(B36,[1]Sheet1!$A:$F,6,0)</f>
        <v>Colleen Culpepper</v>
      </c>
    </row>
    <row r="37" spans="1:16" x14ac:dyDescent="0.35">
      <c r="A37" t="s">
        <v>11</v>
      </c>
      <c r="B37" t="s">
        <v>91</v>
      </c>
      <c r="C37">
        <v>1</v>
      </c>
      <c r="D37" t="s">
        <v>90</v>
      </c>
      <c r="E37" t="s">
        <v>14</v>
      </c>
      <c r="F37" s="1">
        <v>1000</v>
      </c>
      <c r="G37" t="s">
        <v>15</v>
      </c>
      <c r="H37" s="2">
        <v>0.14000000000000001</v>
      </c>
      <c r="I37" s="4">
        <f t="shared" si="0"/>
        <v>140</v>
      </c>
      <c r="J37" s="6">
        <v>1000</v>
      </c>
      <c r="K37">
        <f t="shared" si="1"/>
        <v>100</v>
      </c>
      <c r="L37" s="5">
        <f t="shared" si="2"/>
        <v>240</v>
      </c>
      <c r="M37">
        <v>24500</v>
      </c>
      <c r="N37">
        <f t="shared" si="3"/>
        <v>245</v>
      </c>
      <c r="O37" s="4">
        <f t="shared" si="4"/>
        <v>105</v>
      </c>
      <c r="P37" s="9" t="str">
        <f>VLOOKUP(B37,[1]Sheet1!$A:$F,6,0)</f>
        <v>ron larson</v>
      </c>
    </row>
    <row r="38" spans="1:16" hidden="1" x14ac:dyDescent="0.35">
      <c r="A38" t="s">
        <v>11</v>
      </c>
      <c r="B38" t="s">
        <v>190</v>
      </c>
      <c r="C38">
        <v>1</v>
      </c>
      <c r="D38" t="s">
        <v>191</v>
      </c>
      <c r="E38" t="s">
        <v>14</v>
      </c>
      <c r="F38">
        <v>450</v>
      </c>
      <c r="G38" t="s">
        <v>15</v>
      </c>
      <c r="H38" s="2">
        <v>0.14000000000000001</v>
      </c>
      <c r="I38" s="4">
        <f t="shared" si="0"/>
        <v>63.000000000000007</v>
      </c>
      <c r="J38" s="7">
        <v>450</v>
      </c>
      <c r="K38">
        <f t="shared" si="1"/>
        <v>45</v>
      </c>
      <c r="L38" s="5">
        <f t="shared" si="2"/>
        <v>108</v>
      </c>
      <c r="M38">
        <v>20000</v>
      </c>
      <c r="N38">
        <f t="shared" si="3"/>
        <v>200</v>
      </c>
      <c r="O38" s="10">
        <f t="shared" si="4"/>
        <v>137</v>
      </c>
      <c r="P38" t="str">
        <f>VLOOKUP(B38,[1]Sheet1!$A:$F,6,0)</f>
        <v>Noble Sifat</v>
      </c>
    </row>
    <row r="39" spans="1:16" hidden="1" x14ac:dyDescent="0.35">
      <c r="A39" t="s">
        <v>26</v>
      </c>
      <c r="B39" t="s">
        <v>119</v>
      </c>
      <c r="C39">
        <v>1</v>
      </c>
      <c r="D39" t="s">
        <v>120</v>
      </c>
      <c r="E39" t="s">
        <v>14</v>
      </c>
      <c r="F39">
        <v>800</v>
      </c>
      <c r="G39" t="s">
        <v>15</v>
      </c>
      <c r="H39" s="2">
        <v>0.14000000000000001</v>
      </c>
      <c r="I39" s="4">
        <f t="shared" si="0"/>
        <v>112.00000000000001</v>
      </c>
      <c r="J39" s="7">
        <v>800</v>
      </c>
      <c r="K39">
        <f t="shared" si="1"/>
        <v>80</v>
      </c>
      <c r="L39" s="5">
        <f t="shared" si="2"/>
        <v>192</v>
      </c>
      <c r="M39">
        <v>24500</v>
      </c>
      <c r="N39">
        <f t="shared" si="3"/>
        <v>245</v>
      </c>
      <c r="O39" s="10">
        <f t="shared" si="4"/>
        <v>133</v>
      </c>
      <c r="P39" t="str">
        <f>VLOOKUP(B39,[1]Sheet1!$A:$F,6,0)</f>
        <v>Aide Barroso</v>
      </c>
    </row>
    <row r="40" spans="1:16" hidden="1" x14ac:dyDescent="0.35">
      <c r="A40" t="s">
        <v>26</v>
      </c>
      <c r="B40" t="s">
        <v>63</v>
      </c>
      <c r="C40">
        <v>1</v>
      </c>
      <c r="D40" t="s">
        <v>64</v>
      </c>
      <c r="E40" t="s">
        <v>14</v>
      </c>
      <c r="F40" s="1">
        <v>1200</v>
      </c>
      <c r="G40" t="s">
        <v>15</v>
      </c>
      <c r="H40" s="2">
        <v>0.14000000000000001</v>
      </c>
      <c r="I40" s="4">
        <f t="shared" si="0"/>
        <v>168.00000000000003</v>
      </c>
      <c r="J40" s="6">
        <v>1200</v>
      </c>
      <c r="K40">
        <f t="shared" si="1"/>
        <v>120</v>
      </c>
      <c r="L40" s="5">
        <f t="shared" si="2"/>
        <v>288</v>
      </c>
      <c r="M40">
        <v>29500</v>
      </c>
      <c r="N40">
        <f t="shared" si="3"/>
        <v>295</v>
      </c>
      <c r="O40" s="10">
        <f t="shared" si="4"/>
        <v>126.99999999999997</v>
      </c>
      <c r="P40" t="str">
        <f>VLOOKUP(B40,[1]Sheet1!$A:$F,6,0)</f>
        <v>James McLean</v>
      </c>
    </row>
    <row r="41" spans="1:16" x14ac:dyDescent="0.35">
      <c r="A41" t="s">
        <v>11</v>
      </c>
      <c r="B41" t="s">
        <v>97</v>
      </c>
      <c r="C41">
        <v>1</v>
      </c>
      <c r="D41" t="s">
        <v>98</v>
      </c>
      <c r="E41" t="s">
        <v>14</v>
      </c>
      <c r="F41">
        <v>978</v>
      </c>
      <c r="G41" t="s">
        <v>35</v>
      </c>
      <c r="H41" s="2">
        <v>7.0000000000000007E-2</v>
      </c>
      <c r="I41" s="4">
        <f t="shared" si="0"/>
        <v>68.460000000000008</v>
      </c>
      <c r="J41" s="7">
        <v>978</v>
      </c>
      <c r="K41">
        <f t="shared" si="1"/>
        <v>97.800000000000011</v>
      </c>
      <c r="L41" s="5">
        <f t="shared" si="2"/>
        <v>166.26000000000002</v>
      </c>
      <c r="M41">
        <v>7250</v>
      </c>
      <c r="N41">
        <f t="shared" si="3"/>
        <v>72.5</v>
      </c>
      <c r="O41" s="4">
        <f t="shared" si="4"/>
        <v>4.039999999999992</v>
      </c>
      <c r="P41" s="9" t="str">
        <f>VLOOKUP(B41,[1]Sheet1!$A:$F,6,0)</f>
        <v>ron larson</v>
      </c>
    </row>
    <row r="42" spans="1:16" hidden="1" x14ac:dyDescent="0.35">
      <c r="A42" t="s">
        <v>26</v>
      </c>
      <c r="B42" t="s">
        <v>61</v>
      </c>
      <c r="C42">
        <v>1</v>
      </c>
      <c r="D42" t="s">
        <v>62</v>
      </c>
      <c r="E42" t="s">
        <v>14</v>
      </c>
      <c r="F42" s="1">
        <v>1299</v>
      </c>
      <c r="G42" t="s">
        <v>15</v>
      </c>
      <c r="H42" s="2">
        <v>0.14000000000000001</v>
      </c>
      <c r="I42" s="4">
        <f t="shared" si="0"/>
        <v>181.86</v>
      </c>
      <c r="J42" s="6">
        <v>1299</v>
      </c>
      <c r="K42">
        <f t="shared" si="1"/>
        <v>129.9</v>
      </c>
      <c r="L42" s="5">
        <f t="shared" si="2"/>
        <v>311.76</v>
      </c>
      <c r="M42">
        <v>30500</v>
      </c>
      <c r="N42">
        <f t="shared" si="3"/>
        <v>305</v>
      </c>
      <c r="O42" s="10">
        <f t="shared" si="4"/>
        <v>123.13999999999999</v>
      </c>
      <c r="P42" t="str">
        <f>VLOOKUP(B42,[1]Sheet1!$A:$F,6,0)</f>
        <v>Colleen Culpepper</v>
      </c>
    </row>
    <row r="43" spans="1:16" hidden="1" x14ac:dyDescent="0.35">
      <c r="A43" t="s">
        <v>19</v>
      </c>
      <c r="B43">
        <v>97</v>
      </c>
      <c r="C43">
        <v>1</v>
      </c>
      <c r="D43" t="s">
        <v>205</v>
      </c>
      <c r="E43" t="s">
        <v>14</v>
      </c>
      <c r="F43">
        <v>400</v>
      </c>
      <c r="G43" t="s">
        <v>206</v>
      </c>
      <c r="H43" s="2">
        <v>0.12</v>
      </c>
      <c r="I43" s="4">
        <f t="shared" si="0"/>
        <v>48</v>
      </c>
      <c r="J43" s="7">
        <v>400</v>
      </c>
      <c r="K43">
        <f t="shared" si="1"/>
        <v>40</v>
      </c>
      <c r="L43" s="5">
        <f t="shared" si="2"/>
        <v>88</v>
      </c>
      <c r="M43">
        <v>16750</v>
      </c>
      <c r="N43">
        <f t="shared" si="3"/>
        <v>167.5</v>
      </c>
      <c r="O43" s="10">
        <f t="shared" si="4"/>
        <v>119.5</v>
      </c>
      <c r="P43" t="str">
        <f>VLOOKUP(B43,[1]Sheet1!$A:$F,6,0)</f>
        <v>Cynthia Echols</v>
      </c>
    </row>
    <row r="44" spans="1:16" hidden="1" x14ac:dyDescent="0.35">
      <c r="A44" t="s">
        <v>19</v>
      </c>
      <c r="B44" t="s">
        <v>142</v>
      </c>
      <c r="C44">
        <v>1</v>
      </c>
      <c r="D44" t="s">
        <v>143</v>
      </c>
      <c r="E44" t="s">
        <v>14</v>
      </c>
      <c r="F44">
        <v>747</v>
      </c>
      <c r="G44" t="s">
        <v>15</v>
      </c>
      <c r="H44" s="2">
        <v>0.14000000000000001</v>
      </c>
      <c r="I44" s="4">
        <f t="shared" si="0"/>
        <v>104.58000000000001</v>
      </c>
      <c r="J44" s="7">
        <v>747</v>
      </c>
      <c r="K44">
        <f t="shared" si="1"/>
        <v>74.7</v>
      </c>
      <c r="L44" s="5">
        <f t="shared" si="2"/>
        <v>179.28000000000003</v>
      </c>
      <c r="M44">
        <v>22000</v>
      </c>
      <c r="N44">
        <f t="shared" si="3"/>
        <v>220</v>
      </c>
      <c r="O44" s="10">
        <f t="shared" si="4"/>
        <v>115.41999999999999</v>
      </c>
      <c r="P44" t="str">
        <f>VLOOKUP(B44,[1]Sheet1!$A:$F,6,0)</f>
        <v>Chester Baldwin</v>
      </c>
    </row>
    <row r="45" spans="1:16" hidden="1" x14ac:dyDescent="0.35">
      <c r="A45" t="s">
        <v>11</v>
      </c>
      <c r="B45" t="s">
        <v>89</v>
      </c>
      <c r="C45">
        <v>1</v>
      </c>
      <c r="D45" t="s">
        <v>90</v>
      </c>
      <c r="E45" t="s">
        <v>14</v>
      </c>
      <c r="F45" s="1">
        <v>1000</v>
      </c>
      <c r="G45" t="s">
        <v>15</v>
      </c>
      <c r="H45" s="2">
        <v>0.14000000000000001</v>
      </c>
      <c r="I45" s="4">
        <f t="shared" si="0"/>
        <v>140</v>
      </c>
      <c r="J45" s="6">
        <v>1000</v>
      </c>
      <c r="K45">
        <f t="shared" si="1"/>
        <v>100</v>
      </c>
      <c r="L45" s="5">
        <f t="shared" si="2"/>
        <v>240</v>
      </c>
      <c r="M45">
        <v>25500</v>
      </c>
      <c r="N45">
        <f t="shared" si="3"/>
        <v>255</v>
      </c>
      <c r="O45" s="10">
        <f t="shared" si="4"/>
        <v>115</v>
      </c>
      <c r="P45" t="str">
        <f>VLOOKUP(B45,[1]Sheet1!$A:$F,6,0)</f>
        <v>James McLean</v>
      </c>
    </row>
    <row r="46" spans="1:16" hidden="1" x14ac:dyDescent="0.35">
      <c r="A46" t="s">
        <v>26</v>
      </c>
      <c r="B46" t="s">
        <v>99</v>
      </c>
      <c r="C46">
        <v>1</v>
      </c>
      <c r="D46" t="s">
        <v>100</v>
      </c>
      <c r="E46" t="s">
        <v>14</v>
      </c>
      <c r="F46">
        <v>900</v>
      </c>
      <c r="G46" t="s">
        <v>15</v>
      </c>
      <c r="H46" s="2">
        <v>0.14000000000000001</v>
      </c>
      <c r="I46" s="4">
        <f t="shared" si="0"/>
        <v>126.00000000000001</v>
      </c>
      <c r="J46" s="7">
        <v>900</v>
      </c>
      <c r="K46">
        <f t="shared" si="1"/>
        <v>90</v>
      </c>
      <c r="L46" s="5">
        <f t="shared" si="2"/>
        <v>216</v>
      </c>
      <c r="M46">
        <v>24000</v>
      </c>
      <c r="N46">
        <f t="shared" si="3"/>
        <v>240</v>
      </c>
      <c r="O46" s="10">
        <f t="shared" si="4"/>
        <v>113.99999999999999</v>
      </c>
      <c r="P46" t="str">
        <f>VLOOKUP(B46,[1]Sheet1!$A:$F,6,0)</f>
        <v>Esteban Pacheco</v>
      </c>
    </row>
    <row r="47" spans="1:16" hidden="1" x14ac:dyDescent="0.35">
      <c r="A47" t="s">
        <v>11</v>
      </c>
      <c r="B47" t="s">
        <v>109</v>
      </c>
      <c r="C47">
        <v>1</v>
      </c>
      <c r="D47" t="s">
        <v>110</v>
      </c>
      <c r="E47" t="s">
        <v>14</v>
      </c>
      <c r="F47">
        <v>849</v>
      </c>
      <c r="G47" t="s">
        <v>15</v>
      </c>
      <c r="H47" s="2">
        <v>0.14000000000000001</v>
      </c>
      <c r="I47" s="4">
        <f t="shared" si="0"/>
        <v>118.86000000000001</v>
      </c>
      <c r="J47" s="7">
        <v>849</v>
      </c>
      <c r="K47">
        <f t="shared" si="1"/>
        <v>84.9</v>
      </c>
      <c r="L47" s="5">
        <f t="shared" si="2"/>
        <v>203.76000000000002</v>
      </c>
      <c r="M47">
        <v>23000</v>
      </c>
      <c r="N47">
        <f t="shared" si="3"/>
        <v>230</v>
      </c>
      <c r="O47" s="10">
        <f t="shared" si="4"/>
        <v>111.13999999999999</v>
      </c>
      <c r="P47" t="str">
        <f>VLOOKUP(B47,[1]Sheet1!$A:$F,6,0)</f>
        <v>Yusuf Alarayedh</v>
      </c>
    </row>
    <row r="48" spans="1:16" x14ac:dyDescent="0.35">
      <c r="A48" t="s">
        <v>11</v>
      </c>
      <c r="B48" t="s">
        <v>111</v>
      </c>
      <c r="C48">
        <v>1</v>
      </c>
      <c r="D48" t="s">
        <v>112</v>
      </c>
      <c r="E48" t="s">
        <v>14</v>
      </c>
      <c r="F48">
        <v>830</v>
      </c>
      <c r="G48" t="s">
        <v>15</v>
      </c>
      <c r="H48" s="2">
        <v>0.14000000000000001</v>
      </c>
      <c r="I48" s="4">
        <f t="shared" si="0"/>
        <v>116.20000000000002</v>
      </c>
      <c r="J48" s="7">
        <v>830</v>
      </c>
      <c r="K48">
        <f t="shared" si="1"/>
        <v>83</v>
      </c>
      <c r="L48" s="5">
        <f t="shared" si="2"/>
        <v>199.20000000000002</v>
      </c>
      <c r="M48">
        <v>6250</v>
      </c>
      <c r="N48">
        <f t="shared" si="3"/>
        <v>62.5</v>
      </c>
      <c r="O48" s="4">
        <f t="shared" si="4"/>
        <v>-53.700000000000017</v>
      </c>
      <c r="P48" s="9" t="str">
        <f>VLOOKUP(B48,[1]Sheet1!$A:$F,6,0)</f>
        <v>ron larson</v>
      </c>
    </row>
    <row r="49" spans="1:16" hidden="1" x14ac:dyDescent="0.35">
      <c r="A49" t="s">
        <v>16</v>
      </c>
      <c r="B49" t="s">
        <v>196</v>
      </c>
      <c r="C49">
        <v>1</v>
      </c>
      <c r="D49" t="s">
        <v>197</v>
      </c>
      <c r="E49" t="s">
        <v>14</v>
      </c>
      <c r="F49">
        <v>420</v>
      </c>
      <c r="G49" t="s">
        <v>15</v>
      </c>
      <c r="H49" s="2">
        <v>0.14000000000000001</v>
      </c>
      <c r="I49" s="4">
        <f t="shared" si="0"/>
        <v>58.800000000000004</v>
      </c>
      <c r="J49" s="7">
        <v>420</v>
      </c>
      <c r="K49">
        <f t="shared" si="1"/>
        <v>42</v>
      </c>
      <c r="L49" s="5">
        <f t="shared" si="2"/>
        <v>100.80000000000001</v>
      </c>
      <c r="M49">
        <v>16575</v>
      </c>
      <c r="N49">
        <f t="shared" si="3"/>
        <v>165.75</v>
      </c>
      <c r="O49" s="10">
        <f t="shared" si="4"/>
        <v>106.94999999999999</v>
      </c>
      <c r="P49" t="str">
        <f>VLOOKUP(B49,[1]Sheet1!$A:$F,6,0)</f>
        <v>Thanh Tan Ngo</v>
      </c>
    </row>
    <row r="50" spans="1:16" hidden="1" x14ac:dyDescent="0.35">
      <c r="A50" t="s">
        <v>19</v>
      </c>
      <c r="B50" t="s">
        <v>103</v>
      </c>
      <c r="C50">
        <v>1</v>
      </c>
      <c r="D50" t="s">
        <v>104</v>
      </c>
      <c r="E50" t="s">
        <v>14</v>
      </c>
      <c r="F50">
        <v>898</v>
      </c>
      <c r="G50" t="s">
        <v>15</v>
      </c>
      <c r="H50" s="2">
        <v>0.14000000000000001</v>
      </c>
      <c r="I50" s="4">
        <f t="shared" si="0"/>
        <v>125.72000000000001</v>
      </c>
      <c r="J50" s="7">
        <v>898</v>
      </c>
      <c r="K50">
        <f t="shared" si="1"/>
        <v>89.800000000000011</v>
      </c>
      <c r="L50" s="5">
        <f t="shared" si="2"/>
        <v>215.52000000000004</v>
      </c>
      <c r="M50">
        <v>23200</v>
      </c>
      <c r="N50">
        <f t="shared" si="3"/>
        <v>232</v>
      </c>
      <c r="O50" s="10">
        <f t="shared" si="4"/>
        <v>106.27999999999999</v>
      </c>
      <c r="P50" t="str">
        <f>VLOOKUP(B50,[1]Sheet1!$A:$F,6,0)</f>
        <v>Matthew Bessey</v>
      </c>
    </row>
    <row r="51" spans="1:16" hidden="1" x14ac:dyDescent="0.35">
      <c r="A51" t="s">
        <v>26</v>
      </c>
      <c r="B51" t="s">
        <v>194</v>
      </c>
      <c r="C51">
        <v>1</v>
      </c>
      <c r="D51" t="s">
        <v>195</v>
      </c>
      <c r="E51" t="s">
        <v>14</v>
      </c>
      <c r="F51">
        <v>430</v>
      </c>
      <c r="G51" t="s">
        <v>15</v>
      </c>
      <c r="H51" s="2">
        <v>0.14000000000000001</v>
      </c>
      <c r="I51" s="4">
        <f t="shared" si="0"/>
        <v>60.2</v>
      </c>
      <c r="J51" s="7">
        <v>430</v>
      </c>
      <c r="K51">
        <f t="shared" si="1"/>
        <v>43</v>
      </c>
      <c r="L51" s="5">
        <f t="shared" si="2"/>
        <v>103.2</v>
      </c>
      <c r="M51">
        <v>16500</v>
      </c>
      <c r="N51">
        <f t="shared" si="3"/>
        <v>165</v>
      </c>
      <c r="O51" s="10">
        <f t="shared" si="4"/>
        <v>104.8</v>
      </c>
      <c r="P51" t="str">
        <f>VLOOKUP(B51,[1]Sheet1!$A:$F,6,0)</f>
        <v>Ineabel Del toro</v>
      </c>
    </row>
    <row r="52" spans="1:16" hidden="1" x14ac:dyDescent="0.35">
      <c r="A52" t="s">
        <v>26</v>
      </c>
      <c r="B52" t="s">
        <v>135</v>
      </c>
      <c r="C52">
        <v>1</v>
      </c>
      <c r="D52" t="s">
        <v>136</v>
      </c>
      <c r="E52" t="s">
        <v>14</v>
      </c>
      <c r="F52">
        <v>758</v>
      </c>
      <c r="G52" t="s">
        <v>15</v>
      </c>
      <c r="H52" s="2">
        <v>0.14000000000000001</v>
      </c>
      <c r="I52" s="4">
        <f t="shared" si="0"/>
        <v>106.12</v>
      </c>
      <c r="J52" s="7">
        <v>758</v>
      </c>
      <c r="K52">
        <f t="shared" si="1"/>
        <v>75.8</v>
      </c>
      <c r="L52" s="5">
        <f t="shared" si="2"/>
        <v>181.92000000000002</v>
      </c>
      <c r="M52">
        <v>20500</v>
      </c>
      <c r="N52">
        <f t="shared" si="3"/>
        <v>205</v>
      </c>
      <c r="O52" s="10">
        <f t="shared" si="4"/>
        <v>98.88</v>
      </c>
      <c r="P52" t="str">
        <f>VLOOKUP(B52,[1]Sheet1!$A:$F,6,0)</f>
        <v>Harold Clemons</v>
      </c>
    </row>
    <row r="53" spans="1:16" hidden="1" x14ac:dyDescent="0.35">
      <c r="A53" t="s">
        <v>11</v>
      </c>
      <c r="B53" t="s">
        <v>125</v>
      </c>
      <c r="C53">
        <v>1</v>
      </c>
      <c r="D53" t="s">
        <v>126</v>
      </c>
      <c r="E53" t="s">
        <v>14</v>
      </c>
      <c r="F53">
        <v>799</v>
      </c>
      <c r="G53" t="s">
        <v>15</v>
      </c>
      <c r="H53" s="2">
        <v>0.14000000000000001</v>
      </c>
      <c r="I53" s="4">
        <f t="shared" si="0"/>
        <v>111.86000000000001</v>
      </c>
      <c r="J53" s="7">
        <v>799</v>
      </c>
      <c r="K53">
        <f t="shared" si="1"/>
        <v>79.900000000000006</v>
      </c>
      <c r="L53" s="5">
        <f t="shared" si="2"/>
        <v>191.76000000000002</v>
      </c>
      <c r="M53">
        <v>21000</v>
      </c>
      <c r="N53">
        <f t="shared" si="3"/>
        <v>210</v>
      </c>
      <c r="O53" s="10">
        <f t="shared" si="4"/>
        <v>98.139999999999986</v>
      </c>
      <c r="P53" t="str">
        <f>VLOOKUP(B53,[1]Sheet1!$A:$F,6,0)</f>
        <v>Ineabel Del toro</v>
      </c>
    </row>
    <row r="54" spans="1:16" x14ac:dyDescent="0.35">
      <c r="A54" t="s">
        <v>26</v>
      </c>
      <c r="B54" t="s">
        <v>123</v>
      </c>
      <c r="C54">
        <v>1</v>
      </c>
      <c r="D54" t="s">
        <v>124</v>
      </c>
      <c r="E54" t="s">
        <v>14</v>
      </c>
      <c r="F54">
        <v>799</v>
      </c>
      <c r="G54" t="s">
        <v>15</v>
      </c>
      <c r="H54" s="2">
        <v>0.14000000000000001</v>
      </c>
      <c r="I54" s="4">
        <f t="shared" si="0"/>
        <v>111.86000000000001</v>
      </c>
      <c r="J54" s="7">
        <v>799</v>
      </c>
      <c r="K54">
        <f t="shared" si="1"/>
        <v>79.900000000000006</v>
      </c>
      <c r="L54" s="5">
        <f t="shared" si="2"/>
        <v>191.76000000000002</v>
      </c>
      <c r="M54">
        <v>14000</v>
      </c>
      <c r="N54">
        <f t="shared" si="3"/>
        <v>140</v>
      </c>
      <c r="O54" s="4">
        <f t="shared" si="4"/>
        <v>28.139999999999986</v>
      </c>
      <c r="P54" s="9" t="str">
        <f>VLOOKUP(B54,[1]Sheet1!$A:$F,6,0)</f>
        <v>ron larson</v>
      </c>
    </row>
    <row r="55" spans="1:16" hidden="1" x14ac:dyDescent="0.35">
      <c r="A55" t="s">
        <v>11</v>
      </c>
      <c r="B55" t="s">
        <v>148</v>
      </c>
      <c r="C55">
        <v>1</v>
      </c>
      <c r="D55" t="s">
        <v>149</v>
      </c>
      <c r="E55" t="s">
        <v>14</v>
      </c>
      <c r="F55">
        <v>714</v>
      </c>
      <c r="G55" t="s">
        <v>15</v>
      </c>
      <c r="H55" s="2">
        <v>0.14000000000000001</v>
      </c>
      <c r="I55" s="4">
        <f t="shared" si="0"/>
        <v>99.960000000000008</v>
      </c>
      <c r="J55" s="7">
        <v>714</v>
      </c>
      <c r="K55">
        <f t="shared" si="1"/>
        <v>71.400000000000006</v>
      </c>
      <c r="L55" s="5">
        <f t="shared" si="2"/>
        <v>171.36</v>
      </c>
      <c r="M55">
        <v>19500</v>
      </c>
      <c r="N55">
        <f t="shared" si="3"/>
        <v>195</v>
      </c>
      <c r="O55" s="10">
        <f t="shared" si="4"/>
        <v>95.039999999999992</v>
      </c>
      <c r="P55" t="str">
        <f>VLOOKUP(B55,[1]Sheet1!$A:$F,6,0)</f>
        <v>Deepa Dubey</v>
      </c>
    </row>
    <row r="56" spans="1:16" hidden="1" x14ac:dyDescent="0.35">
      <c r="A56" t="s">
        <v>11</v>
      </c>
      <c r="B56" t="s">
        <v>105</v>
      </c>
      <c r="C56">
        <v>1</v>
      </c>
      <c r="D56" t="s">
        <v>106</v>
      </c>
      <c r="E56" t="s">
        <v>14</v>
      </c>
      <c r="F56">
        <v>898</v>
      </c>
      <c r="G56" t="s">
        <v>15</v>
      </c>
      <c r="H56" s="2">
        <v>0.14000000000000001</v>
      </c>
      <c r="I56" s="4">
        <f t="shared" si="0"/>
        <v>125.72000000000001</v>
      </c>
      <c r="J56" s="7">
        <v>898</v>
      </c>
      <c r="K56">
        <f t="shared" si="1"/>
        <v>89.800000000000011</v>
      </c>
      <c r="L56" s="5">
        <f t="shared" si="2"/>
        <v>215.52000000000004</v>
      </c>
      <c r="M56">
        <v>22000</v>
      </c>
      <c r="N56">
        <f t="shared" si="3"/>
        <v>220</v>
      </c>
      <c r="O56" s="10">
        <f t="shared" si="4"/>
        <v>94.279999999999987</v>
      </c>
      <c r="P56" t="str">
        <f>VLOOKUP(B56,[1]Sheet1!$A:$F,6,0)</f>
        <v>Esteban Pacheco</v>
      </c>
    </row>
    <row r="57" spans="1:16" x14ac:dyDescent="0.35">
      <c r="A57" t="s">
        <v>16</v>
      </c>
      <c r="B57" t="s">
        <v>129</v>
      </c>
      <c r="C57">
        <v>1</v>
      </c>
      <c r="D57" t="s">
        <v>130</v>
      </c>
      <c r="E57" t="s">
        <v>14</v>
      </c>
      <c r="F57">
        <v>758</v>
      </c>
      <c r="G57" t="s">
        <v>15</v>
      </c>
      <c r="H57" s="2">
        <v>0.14000000000000001</v>
      </c>
      <c r="I57" s="4">
        <f t="shared" si="0"/>
        <v>106.12</v>
      </c>
      <c r="J57" s="7">
        <v>758</v>
      </c>
      <c r="K57">
        <f t="shared" si="1"/>
        <v>75.8</v>
      </c>
      <c r="L57" s="5">
        <f t="shared" si="2"/>
        <v>181.92000000000002</v>
      </c>
      <c r="M57">
        <v>16000</v>
      </c>
      <c r="N57">
        <f t="shared" si="3"/>
        <v>160</v>
      </c>
      <c r="O57" s="4">
        <f t="shared" si="4"/>
        <v>53.879999999999995</v>
      </c>
      <c r="P57" s="9" t="str">
        <f>VLOOKUP(B57,[1]Sheet1!$A:$F,6,0)</f>
        <v>ron larson</v>
      </c>
    </row>
    <row r="58" spans="1:16" hidden="1" x14ac:dyDescent="0.35">
      <c r="A58" t="s">
        <v>26</v>
      </c>
      <c r="B58" t="s">
        <v>77</v>
      </c>
      <c r="C58">
        <v>1</v>
      </c>
      <c r="D58" t="s">
        <v>78</v>
      </c>
      <c r="E58" t="s">
        <v>14</v>
      </c>
      <c r="F58" s="1">
        <v>1120</v>
      </c>
      <c r="G58" t="s">
        <v>15</v>
      </c>
      <c r="H58" s="2">
        <v>0.14000000000000001</v>
      </c>
      <c r="I58" s="4">
        <f t="shared" si="0"/>
        <v>156.80000000000001</v>
      </c>
      <c r="J58" s="6">
        <v>1120</v>
      </c>
      <c r="K58">
        <f t="shared" si="1"/>
        <v>112</v>
      </c>
      <c r="L58" s="5">
        <f t="shared" si="2"/>
        <v>268.8</v>
      </c>
      <c r="M58">
        <v>25000</v>
      </c>
      <c r="N58">
        <f t="shared" si="3"/>
        <v>250</v>
      </c>
      <c r="O58" s="10">
        <f t="shared" si="4"/>
        <v>93.199999999999989</v>
      </c>
      <c r="P58" t="str">
        <f>VLOOKUP(B58,[1]Sheet1!$A:$F,6,0)</f>
        <v>Yusuf Alarayedh</v>
      </c>
    </row>
    <row r="59" spans="1:16" hidden="1" x14ac:dyDescent="0.35">
      <c r="A59" t="s">
        <v>19</v>
      </c>
      <c r="B59">
        <v>170</v>
      </c>
      <c r="C59">
        <v>1</v>
      </c>
      <c r="D59" t="s">
        <v>217</v>
      </c>
      <c r="E59" t="s">
        <v>14</v>
      </c>
      <c r="F59">
        <v>270</v>
      </c>
      <c r="G59" t="s">
        <v>206</v>
      </c>
      <c r="H59" s="2">
        <v>0.12</v>
      </c>
      <c r="I59" s="4">
        <f t="shared" si="0"/>
        <v>32.4</v>
      </c>
      <c r="J59" s="7">
        <v>270</v>
      </c>
      <c r="K59">
        <f t="shared" si="1"/>
        <v>27</v>
      </c>
      <c r="L59" s="5">
        <f t="shared" si="2"/>
        <v>59.4</v>
      </c>
      <c r="M59">
        <v>12500</v>
      </c>
      <c r="N59">
        <f t="shared" si="3"/>
        <v>125</v>
      </c>
      <c r="O59" s="10">
        <f t="shared" si="4"/>
        <v>92.6</v>
      </c>
      <c r="P59" t="str">
        <f>VLOOKUP(B59,[1]Sheet1!$A:$F,6,0)</f>
        <v>Jeremy Lemmons</v>
      </c>
    </row>
    <row r="60" spans="1:16" x14ac:dyDescent="0.35">
      <c r="A60" t="s">
        <v>19</v>
      </c>
      <c r="B60" t="s">
        <v>134</v>
      </c>
      <c r="C60">
        <v>1</v>
      </c>
      <c r="D60" t="s">
        <v>130</v>
      </c>
      <c r="E60" t="s">
        <v>14</v>
      </c>
      <c r="F60">
        <v>758</v>
      </c>
      <c r="G60" t="s">
        <v>15</v>
      </c>
      <c r="H60" s="2">
        <v>0.14000000000000001</v>
      </c>
      <c r="I60" s="4">
        <f t="shared" si="0"/>
        <v>106.12</v>
      </c>
      <c r="J60" s="7">
        <v>758</v>
      </c>
      <c r="K60">
        <f t="shared" si="1"/>
        <v>75.8</v>
      </c>
      <c r="L60" s="5">
        <f t="shared" si="2"/>
        <v>181.92000000000002</v>
      </c>
      <c r="M60">
        <v>18000</v>
      </c>
      <c r="N60">
        <f t="shared" si="3"/>
        <v>180</v>
      </c>
      <c r="O60" s="4">
        <f t="shared" si="4"/>
        <v>73.88</v>
      </c>
      <c r="P60" s="9" t="str">
        <f>VLOOKUP(B60,[1]Sheet1!$A:$F,6,0)</f>
        <v>ron larson</v>
      </c>
    </row>
    <row r="61" spans="1:16" hidden="1" x14ac:dyDescent="0.35">
      <c r="A61" t="s">
        <v>19</v>
      </c>
      <c r="B61">
        <v>186</v>
      </c>
      <c r="C61">
        <v>1</v>
      </c>
      <c r="D61" t="s">
        <v>244</v>
      </c>
      <c r="E61" t="s">
        <v>14</v>
      </c>
      <c r="F61">
        <v>200</v>
      </c>
      <c r="G61" t="s">
        <v>206</v>
      </c>
      <c r="H61" s="2">
        <v>0.12</v>
      </c>
      <c r="I61" s="4">
        <f t="shared" si="0"/>
        <v>24</v>
      </c>
      <c r="J61">
        <v>200</v>
      </c>
      <c r="K61">
        <f t="shared" si="1"/>
        <v>20</v>
      </c>
      <c r="L61" s="5">
        <f t="shared" si="2"/>
        <v>44</v>
      </c>
      <c r="M61">
        <v>11500</v>
      </c>
      <c r="N61">
        <f t="shared" si="3"/>
        <v>115</v>
      </c>
      <c r="O61" s="10">
        <f t="shared" si="4"/>
        <v>91</v>
      </c>
      <c r="P61" t="str">
        <f>VLOOKUP(B61,[1]Sheet1!$A:$F,6,0)</f>
        <v>freddie hejjo</v>
      </c>
    </row>
    <row r="62" spans="1:16" hidden="1" x14ac:dyDescent="0.35">
      <c r="A62" t="s">
        <v>11</v>
      </c>
      <c r="B62" t="s">
        <v>113</v>
      </c>
      <c r="C62">
        <v>1</v>
      </c>
      <c r="D62" t="s">
        <v>114</v>
      </c>
      <c r="E62" t="s">
        <v>14</v>
      </c>
      <c r="F62">
        <v>828</v>
      </c>
      <c r="G62" t="s">
        <v>15</v>
      </c>
      <c r="H62" s="2">
        <v>0.14000000000000001</v>
      </c>
      <c r="I62" s="4">
        <f t="shared" si="0"/>
        <v>115.92000000000002</v>
      </c>
      <c r="J62" s="7">
        <v>828</v>
      </c>
      <c r="K62">
        <f t="shared" si="1"/>
        <v>82.800000000000011</v>
      </c>
      <c r="L62" s="5">
        <f t="shared" si="2"/>
        <v>198.72000000000003</v>
      </c>
      <c r="M62">
        <v>20500</v>
      </c>
      <c r="N62">
        <f t="shared" si="3"/>
        <v>205</v>
      </c>
      <c r="O62" s="10">
        <f t="shared" si="4"/>
        <v>89.079999999999984</v>
      </c>
      <c r="P62" t="str">
        <f>VLOOKUP(B62,[1]Sheet1!$A:$F,6,0)</f>
        <v>BEST OZUMBA</v>
      </c>
    </row>
    <row r="63" spans="1:16" hidden="1" x14ac:dyDescent="0.35">
      <c r="A63" t="s">
        <v>19</v>
      </c>
      <c r="B63" t="s">
        <v>117</v>
      </c>
      <c r="C63">
        <v>1</v>
      </c>
      <c r="D63" t="s">
        <v>118</v>
      </c>
      <c r="E63" t="s">
        <v>14</v>
      </c>
      <c r="F63">
        <v>800</v>
      </c>
      <c r="G63" t="s">
        <v>15</v>
      </c>
      <c r="H63" s="2">
        <v>0.14000000000000001</v>
      </c>
      <c r="I63" s="4">
        <f t="shared" si="0"/>
        <v>112.00000000000001</v>
      </c>
      <c r="J63" s="7">
        <v>800</v>
      </c>
      <c r="K63">
        <f t="shared" si="1"/>
        <v>80</v>
      </c>
      <c r="L63" s="5">
        <f t="shared" si="2"/>
        <v>192</v>
      </c>
      <c r="M63">
        <v>20000</v>
      </c>
      <c r="N63">
        <f t="shared" si="3"/>
        <v>200</v>
      </c>
      <c r="O63" s="10">
        <f t="shared" si="4"/>
        <v>87.999999999999986</v>
      </c>
      <c r="P63" t="str">
        <f>VLOOKUP(B63,[1]Sheet1!$A:$F,6,0)</f>
        <v>Yusuf Alarayedh</v>
      </c>
    </row>
    <row r="64" spans="1:16" x14ac:dyDescent="0.35">
      <c r="A64" t="s">
        <v>11</v>
      </c>
      <c r="B64" t="s">
        <v>140</v>
      </c>
      <c r="C64">
        <v>1</v>
      </c>
      <c r="D64" t="s">
        <v>141</v>
      </c>
      <c r="E64" t="s">
        <v>14</v>
      </c>
      <c r="F64">
        <v>749</v>
      </c>
      <c r="G64" t="s">
        <v>15</v>
      </c>
      <c r="H64" s="2">
        <v>0.14000000000000001</v>
      </c>
      <c r="I64" s="4">
        <f t="shared" si="0"/>
        <v>104.86000000000001</v>
      </c>
      <c r="J64" s="7">
        <v>749</v>
      </c>
      <c r="K64">
        <f t="shared" si="1"/>
        <v>74.900000000000006</v>
      </c>
      <c r="L64" s="5">
        <f t="shared" si="2"/>
        <v>179.76000000000002</v>
      </c>
      <c r="M64">
        <v>6750</v>
      </c>
      <c r="N64">
        <f t="shared" si="3"/>
        <v>67.5</v>
      </c>
      <c r="O64" s="4">
        <f t="shared" si="4"/>
        <v>-37.360000000000014</v>
      </c>
      <c r="P64" s="9" t="str">
        <f>VLOOKUP(B64,[1]Sheet1!$A:$F,6,0)</f>
        <v>ron larson</v>
      </c>
    </row>
    <row r="65" spans="1:16" hidden="1" x14ac:dyDescent="0.35">
      <c r="A65" t="s">
        <v>26</v>
      </c>
      <c r="B65" t="s">
        <v>121</v>
      </c>
      <c r="C65">
        <v>1</v>
      </c>
      <c r="D65" t="s">
        <v>122</v>
      </c>
      <c r="E65" t="s">
        <v>14</v>
      </c>
      <c r="F65">
        <v>800</v>
      </c>
      <c r="G65" t="s">
        <v>15</v>
      </c>
      <c r="H65" s="2">
        <v>0.14000000000000001</v>
      </c>
      <c r="I65" s="4">
        <f t="shared" si="0"/>
        <v>112.00000000000001</v>
      </c>
      <c r="J65" s="7">
        <v>800</v>
      </c>
      <c r="K65">
        <f t="shared" si="1"/>
        <v>80</v>
      </c>
      <c r="L65" s="5">
        <f t="shared" si="2"/>
        <v>192</v>
      </c>
      <c r="M65">
        <v>20000</v>
      </c>
      <c r="N65">
        <f t="shared" si="3"/>
        <v>200</v>
      </c>
      <c r="O65" s="10">
        <f t="shared" si="4"/>
        <v>87.999999999999986</v>
      </c>
      <c r="P65" t="str">
        <f>VLOOKUP(B65,[1]Sheet1!$A:$F,6,0)</f>
        <v>Brian Kurtz</v>
      </c>
    </row>
    <row r="66" spans="1:16" hidden="1" x14ac:dyDescent="0.35">
      <c r="A66" t="s">
        <v>16</v>
      </c>
      <c r="B66" t="s">
        <v>186</v>
      </c>
      <c r="C66">
        <v>1</v>
      </c>
      <c r="D66" t="s">
        <v>187</v>
      </c>
      <c r="E66" t="s">
        <v>14</v>
      </c>
      <c r="F66">
        <v>450</v>
      </c>
      <c r="G66" t="s">
        <v>15</v>
      </c>
      <c r="H66" s="2">
        <v>0.14000000000000001</v>
      </c>
      <c r="I66" s="4">
        <f t="shared" ref="I66:I129" si="5">J66*H66</f>
        <v>63.000000000000007</v>
      </c>
      <c r="J66" s="7">
        <v>450</v>
      </c>
      <c r="K66">
        <f t="shared" ref="K66:K129" si="6">J66*10%</f>
        <v>45</v>
      </c>
      <c r="L66" s="5">
        <f t="shared" ref="L66:L129" si="7">I66+K66</f>
        <v>108</v>
      </c>
      <c r="M66">
        <v>15000</v>
      </c>
      <c r="N66">
        <f t="shared" ref="N66:N129" si="8">M66/100</f>
        <v>150</v>
      </c>
      <c r="O66" s="10">
        <f t="shared" ref="O66:O129" si="9">N66-I66</f>
        <v>87</v>
      </c>
      <c r="P66" t="str">
        <f>VLOOKUP(B66,[1]Sheet1!$A:$F,6,0)</f>
        <v>Michelle Moore</v>
      </c>
    </row>
    <row r="67" spans="1:16" hidden="1" x14ac:dyDescent="0.35">
      <c r="A67" t="s">
        <v>11</v>
      </c>
      <c r="B67">
        <v>203</v>
      </c>
      <c r="C67">
        <v>1</v>
      </c>
      <c r="D67" t="s">
        <v>285</v>
      </c>
      <c r="E67" t="s">
        <v>14</v>
      </c>
      <c r="F67">
        <v>150</v>
      </c>
      <c r="G67" t="s">
        <v>206</v>
      </c>
      <c r="H67" s="2">
        <v>0.12</v>
      </c>
      <c r="I67" s="4">
        <f t="shared" si="5"/>
        <v>18</v>
      </c>
      <c r="J67">
        <v>150</v>
      </c>
      <c r="K67">
        <f t="shared" si="6"/>
        <v>15</v>
      </c>
      <c r="L67" s="5">
        <f t="shared" si="7"/>
        <v>33</v>
      </c>
      <c r="M67">
        <v>10500</v>
      </c>
      <c r="N67">
        <f t="shared" si="8"/>
        <v>105</v>
      </c>
      <c r="O67" s="10">
        <f t="shared" si="9"/>
        <v>87</v>
      </c>
      <c r="P67" t="str">
        <f>VLOOKUP(B67,[1]Sheet1!$A:$F,6,0)</f>
        <v>nelson guandique</v>
      </c>
    </row>
    <row r="68" spans="1:16" hidden="1" x14ac:dyDescent="0.35">
      <c r="A68" t="s">
        <v>26</v>
      </c>
      <c r="B68" t="s">
        <v>255</v>
      </c>
      <c r="C68">
        <v>1</v>
      </c>
      <c r="D68" t="s">
        <v>256</v>
      </c>
      <c r="E68" t="s">
        <v>14</v>
      </c>
      <c r="F68">
        <v>190</v>
      </c>
      <c r="G68" t="s">
        <v>35</v>
      </c>
      <c r="H68" s="2">
        <v>7.0000000000000007E-2</v>
      </c>
      <c r="I68" s="4">
        <f t="shared" si="5"/>
        <v>13.3</v>
      </c>
      <c r="J68">
        <v>190</v>
      </c>
      <c r="K68">
        <f t="shared" si="6"/>
        <v>19</v>
      </c>
      <c r="L68" s="5">
        <f t="shared" si="7"/>
        <v>32.299999999999997</v>
      </c>
      <c r="M68">
        <v>10000</v>
      </c>
      <c r="N68">
        <f t="shared" si="8"/>
        <v>100</v>
      </c>
      <c r="O68" s="10">
        <f t="shared" si="9"/>
        <v>86.7</v>
      </c>
      <c r="P68" t="str">
        <f>VLOOKUP(B68,[1]Sheet1!$A:$F,6,0)</f>
        <v>nelson guandique</v>
      </c>
    </row>
    <row r="69" spans="1:16" hidden="1" x14ac:dyDescent="0.35">
      <c r="A69" t="s">
        <v>11</v>
      </c>
      <c r="B69" t="s">
        <v>96</v>
      </c>
      <c r="C69">
        <v>1</v>
      </c>
      <c r="D69" t="s">
        <v>95</v>
      </c>
      <c r="E69" t="s">
        <v>14</v>
      </c>
      <c r="F69">
        <v>979</v>
      </c>
      <c r="G69" t="s">
        <v>15</v>
      </c>
      <c r="H69" s="2">
        <v>0.14000000000000001</v>
      </c>
      <c r="I69" s="4">
        <f t="shared" si="5"/>
        <v>137.06</v>
      </c>
      <c r="J69" s="7">
        <v>979</v>
      </c>
      <c r="K69">
        <f t="shared" si="6"/>
        <v>97.9</v>
      </c>
      <c r="L69" s="5">
        <f t="shared" si="7"/>
        <v>234.96</v>
      </c>
      <c r="M69">
        <v>22200</v>
      </c>
      <c r="N69">
        <f t="shared" si="8"/>
        <v>222</v>
      </c>
      <c r="O69" s="10">
        <f t="shared" si="9"/>
        <v>84.94</v>
      </c>
      <c r="P69" t="str">
        <f>VLOOKUP(B69,[1]Sheet1!$A:$F,6,0)</f>
        <v>Noble Sifat</v>
      </c>
    </row>
    <row r="70" spans="1:16" hidden="1" x14ac:dyDescent="0.35">
      <c r="A70" t="s">
        <v>19</v>
      </c>
      <c r="B70" t="s">
        <v>131</v>
      </c>
      <c r="C70">
        <v>1</v>
      </c>
      <c r="D70" t="s">
        <v>132</v>
      </c>
      <c r="E70" t="s">
        <v>14</v>
      </c>
      <c r="F70">
        <v>758</v>
      </c>
      <c r="G70" t="s">
        <v>15</v>
      </c>
      <c r="H70" s="2">
        <v>0.14000000000000001</v>
      </c>
      <c r="I70" s="4">
        <f t="shared" si="5"/>
        <v>106.12</v>
      </c>
      <c r="J70" s="7">
        <v>758</v>
      </c>
      <c r="K70">
        <f t="shared" si="6"/>
        <v>75.8</v>
      </c>
      <c r="L70" s="5">
        <f t="shared" si="7"/>
        <v>181.92000000000002</v>
      </c>
      <c r="M70">
        <v>19000</v>
      </c>
      <c r="N70">
        <f t="shared" si="8"/>
        <v>190</v>
      </c>
      <c r="O70" s="10">
        <f t="shared" si="9"/>
        <v>83.88</v>
      </c>
      <c r="P70" t="str">
        <f>VLOOKUP(B70,[1]Sheet1!$A:$F,6,0)</f>
        <v>Colleen Culpepper</v>
      </c>
    </row>
    <row r="71" spans="1:16" x14ac:dyDescent="0.35">
      <c r="A71" t="s">
        <v>26</v>
      </c>
      <c r="B71" t="s">
        <v>154</v>
      </c>
      <c r="C71">
        <v>1</v>
      </c>
      <c r="D71" t="s">
        <v>155</v>
      </c>
      <c r="E71" t="s">
        <v>14</v>
      </c>
      <c r="F71">
        <v>698</v>
      </c>
      <c r="G71" t="s">
        <v>15</v>
      </c>
      <c r="H71" s="2">
        <v>0.14000000000000001</v>
      </c>
      <c r="I71" s="4">
        <f t="shared" si="5"/>
        <v>97.720000000000013</v>
      </c>
      <c r="J71" s="7">
        <v>698</v>
      </c>
      <c r="K71">
        <f t="shared" si="6"/>
        <v>69.8</v>
      </c>
      <c r="L71" s="5">
        <f t="shared" si="7"/>
        <v>167.52</v>
      </c>
      <c r="M71">
        <v>7750</v>
      </c>
      <c r="N71">
        <f t="shared" si="8"/>
        <v>77.5</v>
      </c>
      <c r="O71" s="4">
        <f t="shared" si="9"/>
        <v>-20.220000000000013</v>
      </c>
      <c r="P71" s="9" t="str">
        <f>VLOOKUP(B71,[1]Sheet1!$A:$F,6,0)</f>
        <v>ron larson</v>
      </c>
    </row>
    <row r="72" spans="1:16" hidden="1" x14ac:dyDescent="0.35">
      <c r="A72" t="s">
        <v>26</v>
      </c>
      <c r="B72" t="s">
        <v>137</v>
      </c>
      <c r="C72">
        <v>1</v>
      </c>
      <c r="D72" t="s">
        <v>138</v>
      </c>
      <c r="E72" t="s">
        <v>14</v>
      </c>
      <c r="F72">
        <v>758</v>
      </c>
      <c r="G72" t="s">
        <v>15</v>
      </c>
      <c r="H72" s="2">
        <v>0.14000000000000001</v>
      </c>
      <c r="I72" s="4">
        <f t="shared" si="5"/>
        <v>106.12</v>
      </c>
      <c r="J72" s="7">
        <v>758</v>
      </c>
      <c r="K72">
        <f t="shared" si="6"/>
        <v>75.8</v>
      </c>
      <c r="L72" s="5">
        <f t="shared" si="7"/>
        <v>181.92000000000002</v>
      </c>
      <c r="M72">
        <v>19000</v>
      </c>
      <c r="N72">
        <f t="shared" si="8"/>
        <v>190</v>
      </c>
      <c r="O72" s="10">
        <f t="shared" si="9"/>
        <v>83.88</v>
      </c>
      <c r="P72" t="str">
        <f>VLOOKUP(B72,[1]Sheet1!$A:$F,6,0)</f>
        <v>Zafre Kazi</v>
      </c>
    </row>
    <row r="73" spans="1:16" x14ac:dyDescent="0.35">
      <c r="A73" t="s">
        <v>26</v>
      </c>
      <c r="B73" t="s">
        <v>158</v>
      </c>
      <c r="C73">
        <v>1</v>
      </c>
      <c r="D73" t="s">
        <v>159</v>
      </c>
      <c r="E73" t="s">
        <v>14</v>
      </c>
      <c r="F73">
        <v>600</v>
      </c>
      <c r="G73" t="s">
        <v>15</v>
      </c>
      <c r="H73" s="2">
        <v>0.14000000000000001</v>
      </c>
      <c r="I73" s="4">
        <f t="shared" si="5"/>
        <v>84.000000000000014</v>
      </c>
      <c r="J73" s="7">
        <v>600</v>
      </c>
      <c r="K73">
        <f t="shared" si="6"/>
        <v>60</v>
      </c>
      <c r="L73" s="5">
        <f t="shared" si="7"/>
        <v>144</v>
      </c>
      <c r="M73">
        <v>11000</v>
      </c>
      <c r="N73">
        <f t="shared" si="8"/>
        <v>110</v>
      </c>
      <c r="O73" s="4">
        <f t="shared" si="9"/>
        <v>25.999999999999986</v>
      </c>
      <c r="P73" s="9" t="str">
        <f>VLOOKUP(B73,[1]Sheet1!$A:$F,6,0)</f>
        <v>ron larson</v>
      </c>
    </row>
    <row r="74" spans="1:16" hidden="1" x14ac:dyDescent="0.35">
      <c r="A74" t="s">
        <v>19</v>
      </c>
      <c r="B74">
        <v>173</v>
      </c>
      <c r="C74">
        <v>1</v>
      </c>
      <c r="D74" t="s">
        <v>238</v>
      </c>
      <c r="E74" t="s">
        <v>14</v>
      </c>
      <c r="F74">
        <v>225</v>
      </c>
      <c r="G74" t="s">
        <v>206</v>
      </c>
      <c r="H74" s="2">
        <v>0.12</v>
      </c>
      <c r="I74" s="4">
        <f t="shared" si="5"/>
        <v>27</v>
      </c>
      <c r="J74" s="7">
        <v>225</v>
      </c>
      <c r="K74">
        <f t="shared" si="6"/>
        <v>22.5</v>
      </c>
      <c r="L74" s="5">
        <f t="shared" si="7"/>
        <v>49.5</v>
      </c>
      <c r="M74">
        <v>11000</v>
      </c>
      <c r="N74">
        <f t="shared" si="8"/>
        <v>110</v>
      </c>
      <c r="O74" s="10">
        <f t="shared" si="9"/>
        <v>83</v>
      </c>
      <c r="P74" t="str">
        <f>VLOOKUP(B74,[1]Sheet1!$A:$F,6,0)</f>
        <v>Zafre Kazi</v>
      </c>
    </row>
    <row r="75" spans="1:16" x14ac:dyDescent="0.35">
      <c r="A75" t="s">
        <v>11</v>
      </c>
      <c r="B75" t="s">
        <v>162</v>
      </c>
      <c r="C75">
        <v>1</v>
      </c>
      <c r="D75" t="s">
        <v>163</v>
      </c>
      <c r="E75" t="s">
        <v>14</v>
      </c>
      <c r="F75">
        <v>599</v>
      </c>
      <c r="G75" t="s">
        <v>35</v>
      </c>
      <c r="H75" s="2">
        <v>7.0000000000000007E-2</v>
      </c>
      <c r="I75" s="4">
        <f t="shared" si="5"/>
        <v>41.930000000000007</v>
      </c>
      <c r="J75" s="7">
        <v>599</v>
      </c>
      <c r="K75">
        <f t="shared" si="6"/>
        <v>59.900000000000006</v>
      </c>
      <c r="L75" s="5">
        <f t="shared" si="7"/>
        <v>101.83000000000001</v>
      </c>
      <c r="M75">
        <v>12500</v>
      </c>
      <c r="N75">
        <f t="shared" si="8"/>
        <v>125</v>
      </c>
      <c r="O75" s="4">
        <f t="shared" si="9"/>
        <v>83.07</v>
      </c>
      <c r="P75" s="9" t="str">
        <f>VLOOKUP(B75,[1]Sheet1!$A:$F,6,0)</f>
        <v>ron larson</v>
      </c>
    </row>
    <row r="76" spans="1:16" hidden="1" x14ac:dyDescent="0.35">
      <c r="A76" t="s">
        <v>19</v>
      </c>
      <c r="B76" t="s">
        <v>115</v>
      </c>
      <c r="C76">
        <v>1</v>
      </c>
      <c r="D76" t="s">
        <v>116</v>
      </c>
      <c r="E76" t="s">
        <v>14</v>
      </c>
      <c r="F76">
        <v>804</v>
      </c>
      <c r="G76" t="s">
        <v>15</v>
      </c>
      <c r="H76" s="2">
        <v>0.14000000000000001</v>
      </c>
      <c r="I76" s="4">
        <f t="shared" si="5"/>
        <v>112.56000000000002</v>
      </c>
      <c r="J76" s="7">
        <v>804</v>
      </c>
      <c r="K76">
        <f t="shared" si="6"/>
        <v>80.400000000000006</v>
      </c>
      <c r="L76" s="5">
        <f t="shared" si="7"/>
        <v>192.96000000000004</v>
      </c>
      <c r="M76">
        <v>19500</v>
      </c>
      <c r="N76">
        <f t="shared" si="8"/>
        <v>195</v>
      </c>
      <c r="O76" s="10">
        <f t="shared" si="9"/>
        <v>82.439999999999984</v>
      </c>
      <c r="P76" t="str">
        <f>VLOOKUP(B76,[1]Sheet1!$A:$F,6,0)</f>
        <v>Sangho Yi</v>
      </c>
    </row>
    <row r="77" spans="1:16" x14ac:dyDescent="0.35">
      <c r="A77" t="s">
        <v>11</v>
      </c>
      <c r="B77" t="s">
        <v>165</v>
      </c>
      <c r="C77">
        <v>1</v>
      </c>
      <c r="D77" t="s">
        <v>166</v>
      </c>
      <c r="E77" t="s">
        <v>14</v>
      </c>
      <c r="F77">
        <v>574</v>
      </c>
      <c r="G77" t="s">
        <v>35</v>
      </c>
      <c r="H77" s="2">
        <v>7.0000000000000007E-2</v>
      </c>
      <c r="I77" s="4">
        <f t="shared" si="5"/>
        <v>40.180000000000007</v>
      </c>
      <c r="J77" s="7">
        <v>574</v>
      </c>
      <c r="K77">
        <f t="shared" si="6"/>
        <v>57.400000000000006</v>
      </c>
      <c r="L77" s="5">
        <f t="shared" si="7"/>
        <v>97.580000000000013</v>
      </c>
      <c r="M77">
        <v>9250</v>
      </c>
      <c r="N77">
        <f t="shared" si="8"/>
        <v>92.5</v>
      </c>
      <c r="O77" s="4">
        <f t="shared" si="9"/>
        <v>52.319999999999993</v>
      </c>
      <c r="P77" s="9" t="str">
        <f>VLOOKUP(B77,[1]Sheet1!$A:$F,6,0)</f>
        <v>ron larson</v>
      </c>
    </row>
    <row r="78" spans="1:16" hidden="1" x14ac:dyDescent="0.35">
      <c r="A78" t="s">
        <v>16</v>
      </c>
      <c r="B78" t="s">
        <v>207</v>
      </c>
      <c r="C78">
        <v>1</v>
      </c>
      <c r="D78" t="s">
        <v>208</v>
      </c>
      <c r="E78" t="s">
        <v>14</v>
      </c>
      <c r="F78">
        <v>378</v>
      </c>
      <c r="G78" t="s">
        <v>15</v>
      </c>
      <c r="H78" s="2">
        <v>0.14000000000000001</v>
      </c>
      <c r="I78" s="4">
        <f t="shared" si="5"/>
        <v>52.92</v>
      </c>
      <c r="J78" s="7">
        <v>378</v>
      </c>
      <c r="K78">
        <f t="shared" si="6"/>
        <v>37.800000000000004</v>
      </c>
      <c r="L78" s="5">
        <f t="shared" si="7"/>
        <v>90.72</v>
      </c>
      <c r="M78">
        <v>13500</v>
      </c>
      <c r="N78">
        <f t="shared" si="8"/>
        <v>135</v>
      </c>
      <c r="O78" s="10">
        <f t="shared" si="9"/>
        <v>82.08</v>
      </c>
      <c r="P78" t="str">
        <f>VLOOKUP(B78,[1]Sheet1!$A:$F,6,0)</f>
        <v>Julie Phillips</v>
      </c>
    </row>
    <row r="79" spans="1:16" x14ac:dyDescent="0.35">
      <c r="A79" t="s">
        <v>11</v>
      </c>
      <c r="B79" t="s">
        <v>169</v>
      </c>
      <c r="C79">
        <v>1</v>
      </c>
      <c r="D79" t="s">
        <v>170</v>
      </c>
      <c r="E79" t="s">
        <v>14</v>
      </c>
      <c r="F79">
        <v>533</v>
      </c>
      <c r="G79" t="s">
        <v>22</v>
      </c>
      <c r="H79" s="2">
        <v>0.2</v>
      </c>
      <c r="I79" s="4">
        <f t="shared" si="5"/>
        <v>106.60000000000001</v>
      </c>
      <c r="J79" s="7">
        <v>533</v>
      </c>
      <c r="K79">
        <f t="shared" si="6"/>
        <v>53.300000000000004</v>
      </c>
      <c r="L79" s="5">
        <f t="shared" si="7"/>
        <v>159.9</v>
      </c>
      <c r="M79">
        <v>5750</v>
      </c>
      <c r="N79">
        <f t="shared" si="8"/>
        <v>57.5</v>
      </c>
      <c r="O79" s="4">
        <f t="shared" si="9"/>
        <v>-49.100000000000009</v>
      </c>
      <c r="P79" s="9" t="str">
        <f>VLOOKUP(B79,[1]Sheet1!$A:$F,6,0)</f>
        <v>ron larson</v>
      </c>
    </row>
    <row r="80" spans="1:16" hidden="1" x14ac:dyDescent="0.35">
      <c r="A80" t="s">
        <v>19</v>
      </c>
      <c r="B80" t="s">
        <v>133</v>
      </c>
      <c r="C80">
        <v>1</v>
      </c>
      <c r="D80" t="s">
        <v>130</v>
      </c>
      <c r="E80" t="s">
        <v>14</v>
      </c>
      <c r="F80">
        <v>758</v>
      </c>
      <c r="G80" t="s">
        <v>15</v>
      </c>
      <c r="H80" s="2">
        <v>0.14000000000000001</v>
      </c>
      <c r="I80" s="4">
        <f t="shared" si="5"/>
        <v>106.12</v>
      </c>
      <c r="J80" s="7">
        <v>758</v>
      </c>
      <c r="K80">
        <f t="shared" si="6"/>
        <v>75.8</v>
      </c>
      <c r="L80" s="5">
        <f t="shared" si="7"/>
        <v>181.92000000000002</v>
      </c>
      <c r="M80">
        <v>18500</v>
      </c>
      <c r="N80">
        <f t="shared" si="8"/>
        <v>185</v>
      </c>
      <c r="O80" s="10">
        <f t="shared" si="9"/>
        <v>78.88</v>
      </c>
      <c r="P80" t="str">
        <f>VLOOKUP(B80,[1]Sheet1!$A:$F,6,0)</f>
        <v>kenia sosa</v>
      </c>
    </row>
    <row r="81" spans="1:16" x14ac:dyDescent="0.35">
      <c r="A81" t="s">
        <v>11</v>
      </c>
      <c r="B81" t="s">
        <v>173</v>
      </c>
      <c r="C81">
        <v>1</v>
      </c>
      <c r="D81" t="s">
        <v>174</v>
      </c>
      <c r="E81" t="s">
        <v>14</v>
      </c>
      <c r="F81">
        <v>507</v>
      </c>
      <c r="G81" t="s">
        <v>15</v>
      </c>
      <c r="H81" s="2">
        <v>0.14000000000000001</v>
      </c>
      <c r="I81" s="4">
        <f t="shared" si="5"/>
        <v>70.98</v>
      </c>
      <c r="J81" s="7">
        <v>507</v>
      </c>
      <c r="K81">
        <f t="shared" si="6"/>
        <v>50.7</v>
      </c>
      <c r="L81" s="5">
        <f t="shared" si="7"/>
        <v>121.68</v>
      </c>
      <c r="M81">
        <v>7700</v>
      </c>
      <c r="N81">
        <f t="shared" si="8"/>
        <v>77</v>
      </c>
      <c r="O81" s="4">
        <f t="shared" si="9"/>
        <v>6.019999999999996</v>
      </c>
      <c r="P81" s="9" t="str">
        <f>VLOOKUP(B81,[1]Sheet1!$A:$F,6,0)</f>
        <v>ron larson</v>
      </c>
    </row>
    <row r="82" spans="1:16" x14ac:dyDescent="0.35">
      <c r="A82" t="s">
        <v>19</v>
      </c>
      <c r="B82" t="s">
        <v>175</v>
      </c>
      <c r="C82">
        <v>1</v>
      </c>
      <c r="D82" t="s">
        <v>176</v>
      </c>
      <c r="E82" t="s">
        <v>14</v>
      </c>
      <c r="F82">
        <v>500</v>
      </c>
      <c r="G82" t="s">
        <v>35</v>
      </c>
      <c r="H82" s="2">
        <v>7.0000000000000007E-2</v>
      </c>
      <c r="I82" s="4">
        <f t="shared" si="5"/>
        <v>35</v>
      </c>
      <c r="J82" s="7">
        <v>500</v>
      </c>
      <c r="K82">
        <f t="shared" si="6"/>
        <v>50</v>
      </c>
      <c r="L82" s="5">
        <f t="shared" si="7"/>
        <v>85</v>
      </c>
      <c r="M82">
        <v>550</v>
      </c>
      <c r="N82">
        <f t="shared" si="8"/>
        <v>5.5</v>
      </c>
      <c r="O82" s="4">
        <f t="shared" si="9"/>
        <v>-29.5</v>
      </c>
      <c r="P82" s="9" t="str">
        <f>VLOOKUP(B82,[1]Sheet1!$A:$F,6,0)</f>
        <v>ron larson</v>
      </c>
    </row>
    <row r="83" spans="1:16" x14ac:dyDescent="0.35">
      <c r="A83" t="s">
        <v>26</v>
      </c>
      <c r="B83" t="s">
        <v>177</v>
      </c>
      <c r="C83">
        <v>1</v>
      </c>
      <c r="D83" t="s">
        <v>178</v>
      </c>
      <c r="E83" t="s">
        <v>14</v>
      </c>
      <c r="F83">
        <v>500</v>
      </c>
      <c r="G83" t="s">
        <v>15</v>
      </c>
      <c r="H83" s="2">
        <v>0.14000000000000001</v>
      </c>
      <c r="I83" s="4">
        <f t="shared" si="5"/>
        <v>70</v>
      </c>
      <c r="J83" s="7">
        <v>500</v>
      </c>
      <c r="K83">
        <f t="shared" si="6"/>
        <v>50</v>
      </c>
      <c r="L83" s="5">
        <f t="shared" si="7"/>
        <v>120</v>
      </c>
      <c r="M83">
        <v>12500</v>
      </c>
      <c r="N83">
        <f t="shared" si="8"/>
        <v>125</v>
      </c>
      <c r="O83" s="4">
        <f t="shared" si="9"/>
        <v>55</v>
      </c>
      <c r="P83" s="9" t="str">
        <f>VLOOKUP(B83,[1]Sheet1!$A:$F,6,0)</f>
        <v>ron larson</v>
      </c>
    </row>
    <row r="84" spans="1:16" x14ac:dyDescent="0.35">
      <c r="A84" t="s">
        <v>16</v>
      </c>
      <c r="B84" t="s">
        <v>179</v>
      </c>
      <c r="C84">
        <v>1</v>
      </c>
      <c r="D84" t="s">
        <v>180</v>
      </c>
      <c r="E84" t="s">
        <v>14</v>
      </c>
      <c r="F84">
        <v>488</v>
      </c>
      <c r="G84" t="s">
        <v>15</v>
      </c>
      <c r="H84" s="2">
        <v>0.14000000000000001</v>
      </c>
      <c r="I84" s="4">
        <f t="shared" si="5"/>
        <v>68.320000000000007</v>
      </c>
      <c r="J84" s="7">
        <v>488</v>
      </c>
      <c r="K84">
        <f t="shared" si="6"/>
        <v>48.800000000000004</v>
      </c>
      <c r="L84" s="5">
        <f t="shared" si="7"/>
        <v>117.12</v>
      </c>
      <c r="M84">
        <v>11000</v>
      </c>
      <c r="N84">
        <f t="shared" si="8"/>
        <v>110</v>
      </c>
      <c r="O84" s="4">
        <f t="shared" si="9"/>
        <v>41.679999999999993</v>
      </c>
      <c r="P84" s="9" t="str">
        <f>VLOOKUP(B84,[1]Sheet1!$A:$F,6,0)</f>
        <v>ron larson</v>
      </c>
    </row>
    <row r="85" spans="1:16" x14ac:dyDescent="0.35">
      <c r="A85" t="s">
        <v>11</v>
      </c>
      <c r="B85" t="s">
        <v>181</v>
      </c>
      <c r="C85">
        <v>1</v>
      </c>
      <c r="D85" t="s">
        <v>182</v>
      </c>
      <c r="E85" t="s">
        <v>14</v>
      </c>
      <c r="F85">
        <v>486</v>
      </c>
      <c r="G85" t="s">
        <v>56</v>
      </c>
      <c r="H85" s="2">
        <v>0.14000000000000001</v>
      </c>
      <c r="I85" s="4">
        <f t="shared" si="5"/>
        <v>68.040000000000006</v>
      </c>
      <c r="J85" s="7">
        <v>486</v>
      </c>
      <c r="K85">
        <f t="shared" si="6"/>
        <v>48.6</v>
      </c>
      <c r="L85" s="5">
        <f t="shared" si="7"/>
        <v>116.64000000000001</v>
      </c>
      <c r="M85">
        <v>11100</v>
      </c>
      <c r="N85">
        <f t="shared" si="8"/>
        <v>111</v>
      </c>
      <c r="O85" s="4">
        <f t="shared" si="9"/>
        <v>42.959999999999994</v>
      </c>
      <c r="P85" s="9" t="str">
        <f>VLOOKUP(B85,[1]Sheet1!$A:$F,6,0)</f>
        <v>ron larson</v>
      </c>
    </row>
    <row r="86" spans="1:16" x14ac:dyDescent="0.35">
      <c r="A86" t="s">
        <v>11</v>
      </c>
      <c r="B86" t="s">
        <v>183</v>
      </c>
      <c r="C86">
        <v>1</v>
      </c>
      <c r="D86" t="s">
        <v>182</v>
      </c>
      <c r="E86" t="s">
        <v>14</v>
      </c>
      <c r="F86">
        <v>486</v>
      </c>
      <c r="G86" t="s">
        <v>56</v>
      </c>
      <c r="H86" s="2">
        <v>0.14000000000000001</v>
      </c>
      <c r="I86" s="4">
        <f t="shared" si="5"/>
        <v>68.040000000000006</v>
      </c>
      <c r="J86" s="7">
        <v>486</v>
      </c>
      <c r="K86">
        <f t="shared" si="6"/>
        <v>48.6</v>
      </c>
      <c r="L86" s="5">
        <f t="shared" si="7"/>
        <v>116.64000000000001</v>
      </c>
      <c r="M86">
        <v>11500</v>
      </c>
      <c r="N86">
        <f t="shared" si="8"/>
        <v>115</v>
      </c>
      <c r="O86" s="4">
        <f t="shared" si="9"/>
        <v>46.959999999999994</v>
      </c>
      <c r="P86" s="9" t="str">
        <f>VLOOKUP(B86,[1]Sheet1!$A:$F,6,0)</f>
        <v>ron larson</v>
      </c>
    </row>
    <row r="87" spans="1:16" hidden="1" x14ac:dyDescent="0.35">
      <c r="A87" t="s">
        <v>11</v>
      </c>
      <c r="B87" t="s">
        <v>139</v>
      </c>
      <c r="C87">
        <v>1</v>
      </c>
      <c r="D87" t="s">
        <v>136</v>
      </c>
      <c r="E87" t="s">
        <v>14</v>
      </c>
      <c r="F87">
        <v>758</v>
      </c>
      <c r="G87" t="s">
        <v>15</v>
      </c>
      <c r="H87" s="2">
        <v>0.14000000000000001</v>
      </c>
      <c r="I87" s="4">
        <f t="shared" si="5"/>
        <v>106.12</v>
      </c>
      <c r="J87" s="7">
        <v>758</v>
      </c>
      <c r="K87">
        <f t="shared" si="6"/>
        <v>75.8</v>
      </c>
      <c r="L87" s="5">
        <f t="shared" si="7"/>
        <v>181.92000000000002</v>
      </c>
      <c r="M87">
        <v>18500</v>
      </c>
      <c r="N87">
        <f t="shared" si="8"/>
        <v>185</v>
      </c>
      <c r="O87" s="10">
        <f t="shared" si="9"/>
        <v>78.88</v>
      </c>
      <c r="P87" t="str">
        <f>VLOOKUP(B87,[1]Sheet1!$A:$F,6,0)</f>
        <v>James McLean</v>
      </c>
    </row>
    <row r="88" spans="1:16" hidden="1" x14ac:dyDescent="0.35">
      <c r="A88" t="s">
        <v>19</v>
      </c>
      <c r="B88" t="s">
        <v>152</v>
      </c>
      <c r="C88">
        <v>1</v>
      </c>
      <c r="D88" t="s">
        <v>153</v>
      </c>
      <c r="E88" t="s">
        <v>14</v>
      </c>
      <c r="F88">
        <v>709</v>
      </c>
      <c r="G88" t="s">
        <v>15</v>
      </c>
      <c r="H88" s="2">
        <v>0.14000000000000001</v>
      </c>
      <c r="I88" s="4">
        <f t="shared" si="5"/>
        <v>99.26</v>
      </c>
      <c r="J88" s="7">
        <v>709</v>
      </c>
      <c r="K88">
        <f t="shared" si="6"/>
        <v>70.900000000000006</v>
      </c>
      <c r="L88" s="5">
        <f t="shared" si="7"/>
        <v>170.16000000000003</v>
      </c>
      <c r="M88">
        <v>17500</v>
      </c>
      <c r="N88">
        <f t="shared" si="8"/>
        <v>175</v>
      </c>
      <c r="O88" s="10">
        <f t="shared" si="9"/>
        <v>75.739999999999995</v>
      </c>
      <c r="P88" t="str">
        <f>VLOOKUP(B88,[1]Sheet1!$A:$F,6,0)</f>
        <v>James McLean</v>
      </c>
    </row>
    <row r="89" spans="1:16" hidden="1" x14ac:dyDescent="0.35">
      <c r="A89" t="s">
        <v>19</v>
      </c>
      <c r="B89" t="s">
        <v>150</v>
      </c>
      <c r="C89">
        <v>1</v>
      </c>
      <c r="D89" t="s">
        <v>151</v>
      </c>
      <c r="E89" t="s">
        <v>14</v>
      </c>
      <c r="F89">
        <v>712</v>
      </c>
      <c r="G89" t="s">
        <v>15</v>
      </c>
      <c r="H89" s="2">
        <v>0.14000000000000001</v>
      </c>
      <c r="I89" s="4">
        <f t="shared" si="5"/>
        <v>99.68</v>
      </c>
      <c r="J89" s="7">
        <v>712</v>
      </c>
      <c r="K89">
        <f t="shared" si="6"/>
        <v>71.2</v>
      </c>
      <c r="L89" s="5">
        <f t="shared" si="7"/>
        <v>170.88</v>
      </c>
      <c r="M89">
        <v>17450</v>
      </c>
      <c r="N89">
        <f t="shared" si="8"/>
        <v>174.5</v>
      </c>
      <c r="O89" s="10">
        <f t="shared" si="9"/>
        <v>74.819999999999993</v>
      </c>
      <c r="P89" t="str">
        <f>VLOOKUP(B89,[1]Sheet1!$A:$F,6,0)</f>
        <v>Thanh Tan Ngo</v>
      </c>
    </row>
    <row r="90" spans="1:16" hidden="1" x14ac:dyDescent="0.35">
      <c r="A90" t="s">
        <v>16</v>
      </c>
      <c r="B90" t="s">
        <v>146</v>
      </c>
      <c r="C90">
        <v>1</v>
      </c>
      <c r="D90" t="s">
        <v>147</v>
      </c>
      <c r="E90" t="s">
        <v>14</v>
      </c>
      <c r="F90">
        <v>717</v>
      </c>
      <c r="G90" t="s">
        <v>15</v>
      </c>
      <c r="H90" s="2">
        <v>0.14000000000000001</v>
      </c>
      <c r="I90" s="4">
        <f t="shared" si="5"/>
        <v>100.38000000000001</v>
      </c>
      <c r="J90" s="7">
        <v>717</v>
      </c>
      <c r="K90">
        <f t="shared" si="6"/>
        <v>71.7</v>
      </c>
      <c r="L90" s="5">
        <f t="shared" si="7"/>
        <v>172.08</v>
      </c>
      <c r="M90">
        <v>17500</v>
      </c>
      <c r="N90">
        <f t="shared" si="8"/>
        <v>175</v>
      </c>
      <c r="O90" s="10">
        <f t="shared" si="9"/>
        <v>74.61999999999999</v>
      </c>
      <c r="P90" t="str">
        <f>VLOOKUP(B90,[1]Sheet1!$A:$F,6,0)</f>
        <v>James McLean</v>
      </c>
    </row>
    <row r="91" spans="1:16" hidden="1" x14ac:dyDescent="0.35">
      <c r="A91" t="s">
        <v>26</v>
      </c>
      <c r="B91" t="s">
        <v>101</v>
      </c>
      <c r="C91">
        <v>1</v>
      </c>
      <c r="D91" t="s">
        <v>102</v>
      </c>
      <c r="E91" t="s">
        <v>14</v>
      </c>
      <c r="F91">
        <v>900</v>
      </c>
      <c r="G91" t="s">
        <v>15</v>
      </c>
      <c r="H91" s="2">
        <v>0.14000000000000001</v>
      </c>
      <c r="I91" s="4">
        <f t="shared" si="5"/>
        <v>126.00000000000001</v>
      </c>
      <c r="J91" s="7">
        <v>900</v>
      </c>
      <c r="K91">
        <f t="shared" si="6"/>
        <v>90</v>
      </c>
      <c r="L91" s="5">
        <f t="shared" si="7"/>
        <v>216</v>
      </c>
      <c r="M91">
        <v>20000</v>
      </c>
      <c r="N91">
        <f t="shared" si="8"/>
        <v>200</v>
      </c>
      <c r="O91" s="10">
        <f t="shared" si="9"/>
        <v>73.999999999999986</v>
      </c>
      <c r="P91" t="str">
        <f>VLOOKUP(B91,[1]Sheet1!$A:$F,6,0)</f>
        <v>Esteban Pacheco</v>
      </c>
    </row>
    <row r="92" spans="1:16" hidden="1" x14ac:dyDescent="0.35">
      <c r="A92" t="s">
        <v>26</v>
      </c>
      <c r="B92" t="s">
        <v>262</v>
      </c>
      <c r="C92">
        <v>1</v>
      </c>
      <c r="D92" t="s">
        <v>263</v>
      </c>
      <c r="E92" t="s">
        <v>14</v>
      </c>
      <c r="F92">
        <v>180</v>
      </c>
      <c r="G92" t="s">
        <v>206</v>
      </c>
      <c r="H92" s="2">
        <v>0.12</v>
      </c>
      <c r="I92" s="4">
        <f t="shared" si="5"/>
        <v>21.599999999999998</v>
      </c>
      <c r="J92">
        <v>180</v>
      </c>
      <c r="K92">
        <f t="shared" si="6"/>
        <v>18</v>
      </c>
      <c r="L92" s="5">
        <f t="shared" si="7"/>
        <v>39.599999999999994</v>
      </c>
      <c r="M92">
        <v>9250</v>
      </c>
      <c r="N92">
        <f t="shared" si="8"/>
        <v>92.5</v>
      </c>
      <c r="O92" s="10">
        <f t="shared" si="9"/>
        <v>70.900000000000006</v>
      </c>
      <c r="P92" t="str">
        <f>VLOOKUP(B92,[1]Sheet1!$A:$F,6,0)</f>
        <v>Michael Araiza</v>
      </c>
    </row>
    <row r="93" spans="1:16" hidden="1" x14ac:dyDescent="0.35">
      <c r="A93" t="s">
        <v>26</v>
      </c>
      <c r="B93" t="s">
        <v>230</v>
      </c>
      <c r="C93">
        <v>1</v>
      </c>
      <c r="D93" t="s">
        <v>231</v>
      </c>
      <c r="E93" t="s">
        <v>14</v>
      </c>
      <c r="F93">
        <v>248</v>
      </c>
      <c r="G93" t="s">
        <v>206</v>
      </c>
      <c r="H93" s="2">
        <v>0.12</v>
      </c>
      <c r="I93" s="4">
        <f t="shared" si="5"/>
        <v>29.759999999999998</v>
      </c>
      <c r="J93" s="7">
        <v>248</v>
      </c>
      <c r="K93">
        <f t="shared" si="6"/>
        <v>24.8</v>
      </c>
      <c r="L93" s="5">
        <f t="shared" si="7"/>
        <v>54.56</v>
      </c>
      <c r="M93">
        <v>10000</v>
      </c>
      <c r="N93">
        <f t="shared" si="8"/>
        <v>100</v>
      </c>
      <c r="O93" s="10">
        <f t="shared" si="9"/>
        <v>70.240000000000009</v>
      </c>
      <c r="P93" t="str">
        <f>VLOOKUP(B93,[1]Sheet1!$A:$F,6,0)</f>
        <v>Bobbie - Shannon Howard</v>
      </c>
    </row>
    <row r="94" spans="1:16" hidden="1" x14ac:dyDescent="0.35">
      <c r="A94" t="s">
        <v>11</v>
      </c>
      <c r="B94">
        <v>138</v>
      </c>
      <c r="C94">
        <v>1</v>
      </c>
      <c r="D94" t="s">
        <v>164</v>
      </c>
      <c r="E94" t="s">
        <v>14</v>
      </c>
      <c r="F94">
        <v>599</v>
      </c>
      <c r="G94" t="s">
        <v>35</v>
      </c>
      <c r="H94" s="2">
        <v>7.0000000000000007E-2</v>
      </c>
      <c r="I94" s="4">
        <f t="shared" si="5"/>
        <v>41.930000000000007</v>
      </c>
      <c r="J94" s="7">
        <v>599</v>
      </c>
      <c r="K94">
        <f t="shared" si="6"/>
        <v>59.900000000000006</v>
      </c>
      <c r="L94" s="5">
        <f t="shared" si="7"/>
        <v>101.83000000000001</v>
      </c>
      <c r="M94">
        <v>11000</v>
      </c>
      <c r="N94">
        <f t="shared" si="8"/>
        <v>110</v>
      </c>
      <c r="O94" s="10">
        <f t="shared" si="9"/>
        <v>68.069999999999993</v>
      </c>
      <c r="P94" t="str">
        <f>VLOOKUP(B94,[1]Sheet1!$A:$F,6,0)</f>
        <v>Robert Bierstedt</v>
      </c>
    </row>
    <row r="95" spans="1:16" x14ac:dyDescent="0.35">
      <c r="A95" t="s">
        <v>11</v>
      </c>
      <c r="B95">
        <v>213</v>
      </c>
      <c r="C95">
        <v>1</v>
      </c>
      <c r="D95" t="s">
        <v>200</v>
      </c>
      <c r="E95" t="s">
        <v>14</v>
      </c>
      <c r="F95">
        <v>419</v>
      </c>
      <c r="G95" t="s">
        <v>35</v>
      </c>
      <c r="H95" s="2">
        <v>7.0000000000000007E-2</v>
      </c>
      <c r="I95" s="4">
        <f t="shared" si="5"/>
        <v>29.330000000000002</v>
      </c>
      <c r="J95" s="7">
        <v>419</v>
      </c>
      <c r="K95">
        <f t="shared" si="6"/>
        <v>41.900000000000006</v>
      </c>
      <c r="L95" s="5">
        <f t="shared" si="7"/>
        <v>71.23</v>
      </c>
      <c r="M95">
        <v>6050</v>
      </c>
      <c r="N95">
        <f t="shared" si="8"/>
        <v>60.5</v>
      </c>
      <c r="O95" s="4">
        <f t="shared" si="9"/>
        <v>31.169999999999998</v>
      </c>
      <c r="P95" s="9" t="str">
        <f>VLOOKUP(B95,[1]Sheet1!$A:$F,6,0)</f>
        <v>ron larson</v>
      </c>
    </row>
    <row r="96" spans="1:16" x14ac:dyDescent="0.35">
      <c r="A96" t="s">
        <v>11</v>
      </c>
      <c r="B96" t="s">
        <v>201</v>
      </c>
      <c r="C96">
        <v>1</v>
      </c>
      <c r="D96" t="s">
        <v>202</v>
      </c>
      <c r="E96" t="s">
        <v>14</v>
      </c>
      <c r="F96">
        <v>407</v>
      </c>
      <c r="G96" t="s">
        <v>15</v>
      </c>
      <c r="H96" s="2">
        <v>0.14000000000000001</v>
      </c>
      <c r="I96" s="4">
        <f t="shared" si="5"/>
        <v>56.980000000000004</v>
      </c>
      <c r="J96" s="7">
        <v>407</v>
      </c>
      <c r="K96">
        <f t="shared" si="6"/>
        <v>40.700000000000003</v>
      </c>
      <c r="L96" s="5">
        <f t="shared" si="7"/>
        <v>97.68</v>
      </c>
      <c r="M96">
        <v>7750</v>
      </c>
      <c r="N96">
        <f t="shared" si="8"/>
        <v>77.5</v>
      </c>
      <c r="O96" s="4">
        <f t="shared" si="9"/>
        <v>20.519999999999996</v>
      </c>
      <c r="P96" s="9" t="str">
        <f>VLOOKUP(B96,[1]Sheet1!$A:$F,6,0)</f>
        <v>ron larson</v>
      </c>
    </row>
    <row r="97" spans="1:16" hidden="1" x14ac:dyDescent="0.35">
      <c r="A97" t="s">
        <v>19</v>
      </c>
      <c r="B97" t="s">
        <v>156</v>
      </c>
      <c r="C97">
        <v>1</v>
      </c>
      <c r="D97" t="s">
        <v>157</v>
      </c>
      <c r="E97" t="s">
        <v>14</v>
      </c>
      <c r="F97">
        <v>630</v>
      </c>
      <c r="G97" t="s">
        <v>56</v>
      </c>
      <c r="H97" s="2">
        <v>0.14000000000000001</v>
      </c>
      <c r="I97" s="4">
        <f t="shared" si="5"/>
        <v>88.2</v>
      </c>
      <c r="J97" s="7">
        <v>630</v>
      </c>
      <c r="K97">
        <f t="shared" si="6"/>
        <v>63</v>
      </c>
      <c r="L97" s="5">
        <f t="shared" si="7"/>
        <v>151.19999999999999</v>
      </c>
      <c r="M97">
        <v>15500</v>
      </c>
      <c r="N97">
        <f t="shared" si="8"/>
        <v>155</v>
      </c>
      <c r="O97" s="10">
        <f t="shared" si="9"/>
        <v>66.8</v>
      </c>
      <c r="P97" t="str">
        <f>VLOOKUP(B97,[1]Sheet1!$A:$F,6,0)</f>
        <v>Thanh Tan Ngo</v>
      </c>
    </row>
    <row r="98" spans="1:16" hidden="1" x14ac:dyDescent="0.35">
      <c r="A98" t="s">
        <v>19</v>
      </c>
      <c r="B98" t="s">
        <v>184</v>
      </c>
      <c r="C98">
        <v>1</v>
      </c>
      <c r="D98" t="s">
        <v>185</v>
      </c>
      <c r="E98" t="s">
        <v>14</v>
      </c>
      <c r="F98">
        <v>459</v>
      </c>
      <c r="G98" t="s">
        <v>15</v>
      </c>
      <c r="H98" s="2">
        <v>0.14000000000000001</v>
      </c>
      <c r="I98" s="4">
        <f t="shared" si="5"/>
        <v>64.260000000000005</v>
      </c>
      <c r="J98" s="7">
        <v>459</v>
      </c>
      <c r="K98">
        <f t="shared" si="6"/>
        <v>45.900000000000006</v>
      </c>
      <c r="L98" s="5">
        <f t="shared" si="7"/>
        <v>110.16000000000001</v>
      </c>
      <c r="M98">
        <v>13000</v>
      </c>
      <c r="N98">
        <f t="shared" si="8"/>
        <v>130</v>
      </c>
      <c r="O98" s="10">
        <f t="shared" si="9"/>
        <v>65.739999999999995</v>
      </c>
      <c r="P98" t="str">
        <f>VLOOKUP(B98,[1]Sheet1!$A:$F,6,0)</f>
        <v>James McLean</v>
      </c>
    </row>
    <row r="99" spans="1:16" hidden="1" x14ac:dyDescent="0.35">
      <c r="A99" t="s">
        <v>26</v>
      </c>
      <c r="B99" t="s">
        <v>171</v>
      </c>
      <c r="C99">
        <v>1</v>
      </c>
      <c r="D99" t="s">
        <v>172</v>
      </c>
      <c r="E99" t="s">
        <v>14</v>
      </c>
      <c r="F99">
        <v>520</v>
      </c>
      <c r="G99" t="s">
        <v>35</v>
      </c>
      <c r="H99" s="2">
        <v>7.0000000000000007E-2</v>
      </c>
      <c r="I99" s="4">
        <f t="shared" si="5"/>
        <v>36.400000000000006</v>
      </c>
      <c r="J99" s="7">
        <v>520</v>
      </c>
      <c r="K99">
        <f t="shared" si="6"/>
        <v>52</v>
      </c>
      <c r="L99" s="5">
        <f t="shared" si="7"/>
        <v>88.4</v>
      </c>
      <c r="M99">
        <v>10000</v>
      </c>
      <c r="N99">
        <f t="shared" si="8"/>
        <v>100</v>
      </c>
      <c r="O99" s="10">
        <f t="shared" si="9"/>
        <v>63.599999999999994</v>
      </c>
      <c r="P99" t="str">
        <f>VLOOKUP(B99,[1]Sheet1!$A:$F,6,0)</f>
        <v>Denise Piedras</v>
      </c>
    </row>
    <row r="100" spans="1:16" hidden="1" x14ac:dyDescent="0.35">
      <c r="A100" t="s">
        <v>11</v>
      </c>
      <c r="B100" t="s">
        <v>215</v>
      </c>
      <c r="C100">
        <v>1</v>
      </c>
      <c r="D100" t="s">
        <v>216</v>
      </c>
      <c r="E100" t="s">
        <v>14</v>
      </c>
      <c r="F100">
        <v>296</v>
      </c>
      <c r="G100" t="s">
        <v>15</v>
      </c>
      <c r="H100" s="2">
        <v>0.14000000000000001</v>
      </c>
      <c r="I100" s="4">
        <f t="shared" si="5"/>
        <v>41.440000000000005</v>
      </c>
      <c r="J100" s="7">
        <v>296</v>
      </c>
      <c r="K100">
        <f t="shared" si="6"/>
        <v>29.6</v>
      </c>
      <c r="L100" s="5">
        <f t="shared" si="7"/>
        <v>71.040000000000006</v>
      </c>
      <c r="M100">
        <v>10500</v>
      </c>
      <c r="N100">
        <f t="shared" si="8"/>
        <v>105</v>
      </c>
      <c r="O100" s="10">
        <f t="shared" si="9"/>
        <v>63.559999999999995</v>
      </c>
      <c r="P100" t="str">
        <f>VLOOKUP(B100,[1]Sheet1!$A:$F,6,0)</f>
        <v>Ha Nguyen</v>
      </c>
    </row>
    <row r="101" spans="1:16" x14ac:dyDescent="0.35">
      <c r="A101" t="s">
        <v>26</v>
      </c>
      <c r="B101" t="s">
        <v>211</v>
      </c>
      <c r="C101">
        <v>1</v>
      </c>
      <c r="D101" t="s">
        <v>212</v>
      </c>
      <c r="E101" t="s">
        <v>14</v>
      </c>
      <c r="F101">
        <v>348</v>
      </c>
      <c r="G101" t="s">
        <v>15</v>
      </c>
      <c r="H101" s="2">
        <v>0.14000000000000001</v>
      </c>
      <c r="I101" s="4">
        <f t="shared" si="5"/>
        <v>48.720000000000006</v>
      </c>
      <c r="J101" s="7">
        <v>348</v>
      </c>
      <c r="K101">
        <f t="shared" si="6"/>
        <v>34.800000000000004</v>
      </c>
      <c r="L101" s="5">
        <f t="shared" si="7"/>
        <v>83.52000000000001</v>
      </c>
      <c r="M101">
        <v>7750</v>
      </c>
      <c r="N101">
        <f t="shared" si="8"/>
        <v>77.5</v>
      </c>
      <c r="O101" s="4">
        <f t="shared" si="9"/>
        <v>28.779999999999994</v>
      </c>
      <c r="P101" s="9" t="str">
        <f>VLOOKUP(B101,[1]Sheet1!$A:$F,6,0)</f>
        <v>ron larson</v>
      </c>
    </row>
    <row r="102" spans="1:16" x14ac:dyDescent="0.35">
      <c r="A102" t="s">
        <v>11</v>
      </c>
      <c r="B102" t="s">
        <v>213</v>
      </c>
      <c r="C102">
        <v>1</v>
      </c>
      <c r="D102" t="s">
        <v>214</v>
      </c>
      <c r="E102" t="s">
        <v>14</v>
      </c>
      <c r="F102">
        <v>300</v>
      </c>
      <c r="G102" t="s">
        <v>206</v>
      </c>
      <c r="H102" s="2">
        <v>0.12</v>
      </c>
      <c r="I102" s="4">
        <f t="shared" si="5"/>
        <v>36</v>
      </c>
      <c r="J102" s="7">
        <v>300</v>
      </c>
      <c r="K102">
        <f t="shared" si="6"/>
        <v>30</v>
      </c>
      <c r="L102" s="5">
        <f t="shared" si="7"/>
        <v>66</v>
      </c>
      <c r="M102">
        <v>5250</v>
      </c>
      <c r="N102">
        <f t="shared" si="8"/>
        <v>52.5</v>
      </c>
      <c r="O102" s="4">
        <f t="shared" si="9"/>
        <v>16.5</v>
      </c>
      <c r="P102" s="9" t="str">
        <f>VLOOKUP(B102,[1]Sheet1!$A:$F,6,0)</f>
        <v>ron larson</v>
      </c>
    </row>
    <row r="103" spans="1:16" hidden="1" x14ac:dyDescent="0.35">
      <c r="A103" t="s">
        <v>26</v>
      </c>
      <c r="B103" t="s">
        <v>188</v>
      </c>
      <c r="C103">
        <v>1</v>
      </c>
      <c r="D103" t="s">
        <v>189</v>
      </c>
      <c r="E103" t="s">
        <v>14</v>
      </c>
      <c r="F103">
        <v>450</v>
      </c>
      <c r="G103" t="s">
        <v>15</v>
      </c>
      <c r="H103" s="2">
        <v>0.14000000000000001</v>
      </c>
      <c r="I103" s="4">
        <f t="shared" si="5"/>
        <v>63.000000000000007</v>
      </c>
      <c r="J103" s="7">
        <v>450</v>
      </c>
      <c r="K103">
        <f t="shared" si="6"/>
        <v>45</v>
      </c>
      <c r="L103" s="5">
        <f t="shared" si="7"/>
        <v>108</v>
      </c>
      <c r="M103">
        <v>12500</v>
      </c>
      <c r="N103">
        <f t="shared" si="8"/>
        <v>125</v>
      </c>
      <c r="O103" s="10">
        <f t="shared" si="9"/>
        <v>61.999999999999993</v>
      </c>
      <c r="P103" t="str">
        <f>VLOOKUP(B103,[1]Sheet1!$A:$F,6,0)</f>
        <v>Constance Sirtautas</v>
      </c>
    </row>
    <row r="104" spans="1:16" hidden="1" x14ac:dyDescent="0.35">
      <c r="A104" t="s">
        <v>26</v>
      </c>
      <c r="B104" t="s">
        <v>160</v>
      </c>
      <c r="C104">
        <v>1</v>
      </c>
      <c r="D104" t="s">
        <v>161</v>
      </c>
      <c r="E104" t="s">
        <v>14</v>
      </c>
      <c r="F104">
        <v>599</v>
      </c>
      <c r="G104" t="s">
        <v>35</v>
      </c>
      <c r="H104" s="2">
        <v>7.0000000000000007E-2</v>
      </c>
      <c r="I104" s="4">
        <f t="shared" si="5"/>
        <v>41.930000000000007</v>
      </c>
      <c r="J104" s="7">
        <v>599</v>
      </c>
      <c r="K104">
        <f t="shared" si="6"/>
        <v>59.900000000000006</v>
      </c>
      <c r="L104" s="5">
        <f t="shared" si="7"/>
        <v>101.83000000000001</v>
      </c>
      <c r="M104">
        <v>10200</v>
      </c>
      <c r="N104">
        <f t="shared" si="8"/>
        <v>102</v>
      </c>
      <c r="O104" s="10">
        <f t="shared" si="9"/>
        <v>60.069999999999993</v>
      </c>
      <c r="P104" t="str">
        <f>VLOOKUP(B104,[1]Sheet1!$A:$F,6,0)</f>
        <v>Tony MacLeod</v>
      </c>
    </row>
    <row r="105" spans="1:16" hidden="1" x14ac:dyDescent="0.35">
      <c r="A105" t="s">
        <v>16</v>
      </c>
      <c r="B105">
        <v>24</v>
      </c>
      <c r="C105">
        <v>1</v>
      </c>
      <c r="D105" t="s">
        <v>275</v>
      </c>
      <c r="E105" t="s">
        <v>14</v>
      </c>
      <c r="F105">
        <v>160</v>
      </c>
      <c r="G105" t="s">
        <v>276</v>
      </c>
      <c r="H105" s="2">
        <v>0.16</v>
      </c>
      <c r="I105" s="4">
        <f t="shared" si="5"/>
        <v>25.6</v>
      </c>
      <c r="J105">
        <v>160</v>
      </c>
      <c r="K105">
        <f t="shared" si="6"/>
        <v>16</v>
      </c>
      <c r="L105" s="5">
        <f t="shared" si="7"/>
        <v>41.6</v>
      </c>
      <c r="M105">
        <v>7500</v>
      </c>
      <c r="N105">
        <f t="shared" si="8"/>
        <v>75</v>
      </c>
      <c r="O105" s="10">
        <f t="shared" si="9"/>
        <v>49.4</v>
      </c>
      <c r="P105" t="str">
        <f>VLOOKUP(B105,[1]Sheet1!$A:$F,6,0)</f>
        <v>Robert Bierstedt</v>
      </c>
    </row>
    <row r="106" spans="1:16" hidden="1" x14ac:dyDescent="0.35">
      <c r="A106" t="s">
        <v>19</v>
      </c>
      <c r="B106">
        <v>154</v>
      </c>
      <c r="C106">
        <v>1</v>
      </c>
      <c r="D106" t="s">
        <v>299</v>
      </c>
      <c r="E106" t="s">
        <v>14</v>
      </c>
      <c r="F106">
        <v>130</v>
      </c>
      <c r="G106" t="s">
        <v>206</v>
      </c>
      <c r="H106" s="2">
        <v>0.12</v>
      </c>
      <c r="I106" s="4">
        <f t="shared" si="5"/>
        <v>15.6</v>
      </c>
      <c r="J106">
        <v>130</v>
      </c>
      <c r="K106">
        <f t="shared" si="6"/>
        <v>13</v>
      </c>
      <c r="L106" s="5">
        <f t="shared" si="7"/>
        <v>28.6</v>
      </c>
      <c r="M106">
        <v>6500</v>
      </c>
      <c r="N106">
        <f t="shared" si="8"/>
        <v>65</v>
      </c>
      <c r="O106" s="10">
        <f t="shared" si="9"/>
        <v>49.4</v>
      </c>
      <c r="P106" t="str">
        <f>VLOOKUP(B106,[1]Sheet1!$A:$F,6,0)</f>
        <v>Karen Gaines</v>
      </c>
    </row>
    <row r="107" spans="1:16" x14ac:dyDescent="0.35">
      <c r="A107" t="s">
        <v>11</v>
      </c>
      <c r="B107" t="s">
        <v>222</v>
      </c>
      <c r="C107">
        <v>1</v>
      </c>
      <c r="D107" t="s">
        <v>223</v>
      </c>
      <c r="E107" t="s">
        <v>14</v>
      </c>
      <c r="F107">
        <v>260</v>
      </c>
      <c r="G107" t="s">
        <v>35</v>
      </c>
      <c r="H107" s="2">
        <v>7.0000000000000007E-2</v>
      </c>
      <c r="I107" s="4">
        <f t="shared" si="5"/>
        <v>18.200000000000003</v>
      </c>
      <c r="J107" s="7">
        <v>260</v>
      </c>
      <c r="K107">
        <f t="shared" si="6"/>
        <v>26</v>
      </c>
      <c r="L107" s="5">
        <f t="shared" si="7"/>
        <v>44.2</v>
      </c>
      <c r="M107">
        <v>3600</v>
      </c>
      <c r="N107">
        <f t="shared" si="8"/>
        <v>36</v>
      </c>
      <c r="O107" s="4">
        <f t="shared" si="9"/>
        <v>17.799999999999997</v>
      </c>
      <c r="P107" s="9" t="str">
        <f>VLOOKUP(B107,[1]Sheet1!$A:$F,6,0)</f>
        <v>ron larson</v>
      </c>
    </row>
    <row r="108" spans="1:16" x14ac:dyDescent="0.35">
      <c r="A108" t="s">
        <v>11</v>
      </c>
      <c r="B108" t="s">
        <v>224</v>
      </c>
      <c r="C108">
        <v>1</v>
      </c>
      <c r="D108" t="s">
        <v>225</v>
      </c>
      <c r="E108" t="s">
        <v>14</v>
      </c>
      <c r="F108">
        <v>258</v>
      </c>
      <c r="G108" t="s">
        <v>35</v>
      </c>
      <c r="H108" s="2">
        <v>7.0000000000000007E-2</v>
      </c>
      <c r="I108" s="4">
        <f t="shared" si="5"/>
        <v>18.060000000000002</v>
      </c>
      <c r="J108" s="7">
        <v>258</v>
      </c>
      <c r="K108">
        <f t="shared" si="6"/>
        <v>25.8</v>
      </c>
      <c r="L108" s="5">
        <f t="shared" si="7"/>
        <v>43.86</v>
      </c>
      <c r="M108">
        <v>3000</v>
      </c>
      <c r="N108">
        <f t="shared" si="8"/>
        <v>30</v>
      </c>
      <c r="O108" s="4">
        <f t="shared" si="9"/>
        <v>11.939999999999998</v>
      </c>
      <c r="P108" s="9" t="str">
        <f>VLOOKUP(B108,[1]Sheet1!$A:$F,6,0)</f>
        <v>ron larson</v>
      </c>
    </row>
    <row r="109" spans="1:16" x14ac:dyDescent="0.35">
      <c r="A109" t="s">
        <v>11</v>
      </c>
      <c r="B109" t="s">
        <v>226</v>
      </c>
      <c r="C109">
        <v>1</v>
      </c>
      <c r="D109" t="s">
        <v>227</v>
      </c>
      <c r="E109" t="s">
        <v>14</v>
      </c>
      <c r="F109">
        <v>254</v>
      </c>
      <c r="G109" t="s">
        <v>35</v>
      </c>
      <c r="H109" s="2">
        <v>7.0000000000000007E-2</v>
      </c>
      <c r="I109" s="4">
        <f t="shared" si="5"/>
        <v>17.78</v>
      </c>
      <c r="J109" s="7">
        <v>254</v>
      </c>
      <c r="K109">
        <f t="shared" si="6"/>
        <v>25.400000000000002</v>
      </c>
      <c r="L109" s="5">
        <f t="shared" si="7"/>
        <v>43.180000000000007</v>
      </c>
      <c r="M109">
        <v>3100</v>
      </c>
      <c r="N109">
        <f t="shared" si="8"/>
        <v>31</v>
      </c>
      <c r="O109" s="4">
        <f t="shared" si="9"/>
        <v>13.219999999999999</v>
      </c>
      <c r="P109" s="9" t="str">
        <f>VLOOKUP(B109,[1]Sheet1!$A:$F,6,0)</f>
        <v>ron larson</v>
      </c>
    </row>
    <row r="110" spans="1:16" hidden="1" x14ac:dyDescent="0.35">
      <c r="A110" t="s">
        <v>11</v>
      </c>
      <c r="B110" t="s">
        <v>192</v>
      </c>
      <c r="C110">
        <v>1</v>
      </c>
      <c r="D110" t="s">
        <v>193</v>
      </c>
      <c r="E110" t="s">
        <v>14</v>
      </c>
      <c r="F110">
        <v>441</v>
      </c>
      <c r="G110" t="s">
        <v>15</v>
      </c>
      <c r="H110" s="2">
        <v>0.14000000000000001</v>
      </c>
      <c r="I110" s="4">
        <f t="shared" si="5"/>
        <v>61.740000000000009</v>
      </c>
      <c r="J110" s="7">
        <v>441</v>
      </c>
      <c r="K110">
        <f t="shared" si="6"/>
        <v>44.1</v>
      </c>
      <c r="L110" s="5">
        <f t="shared" si="7"/>
        <v>105.84</v>
      </c>
      <c r="M110">
        <v>11025</v>
      </c>
      <c r="N110">
        <f t="shared" si="8"/>
        <v>110.25</v>
      </c>
      <c r="O110" s="10">
        <f t="shared" si="9"/>
        <v>48.509999999999991</v>
      </c>
      <c r="P110" t="str">
        <f>VLOOKUP(B110,[1]Sheet1!$A:$F,6,0)</f>
        <v>mary morgan</v>
      </c>
    </row>
    <row r="111" spans="1:16" hidden="1" x14ac:dyDescent="0.35">
      <c r="A111" t="s">
        <v>19</v>
      </c>
      <c r="B111">
        <v>181</v>
      </c>
      <c r="C111">
        <v>1</v>
      </c>
      <c r="D111" t="s">
        <v>302</v>
      </c>
      <c r="E111" t="s">
        <v>14</v>
      </c>
      <c r="F111">
        <v>130</v>
      </c>
      <c r="G111" t="s">
        <v>206</v>
      </c>
      <c r="H111" s="2">
        <v>0.12</v>
      </c>
      <c r="I111" s="4">
        <f t="shared" si="5"/>
        <v>15.6</v>
      </c>
      <c r="J111">
        <v>130</v>
      </c>
      <c r="K111">
        <f t="shared" si="6"/>
        <v>13</v>
      </c>
      <c r="L111" s="5">
        <f t="shared" si="7"/>
        <v>28.6</v>
      </c>
      <c r="M111">
        <v>6250</v>
      </c>
      <c r="N111">
        <f t="shared" si="8"/>
        <v>62.5</v>
      </c>
      <c r="O111" s="10">
        <f t="shared" si="9"/>
        <v>46.9</v>
      </c>
      <c r="P111" t="str">
        <f>VLOOKUP(B111,[1]Sheet1!$A:$F,6,0)</f>
        <v>Mario Sarmiento</v>
      </c>
    </row>
    <row r="112" spans="1:16" x14ac:dyDescent="0.35">
      <c r="A112" t="s">
        <v>26</v>
      </c>
      <c r="B112" t="s">
        <v>232</v>
      </c>
      <c r="C112">
        <v>1</v>
      </c>
      <c r="D112" t="s">
        <v>233</v>
      </c>
      <c r="E112" t="s">
        <v>14</v>
      </c>
      <c r="F112">
        <v>244</v>
      </c>
      <c r="G112" t="s">
        <v>35</v>
      </c>
      <c r="H112" s="2">
        <v>7.0000000000000007E-2</v>
      </c>
      <c r="I112" s="4">
        <f t="shared" si="5"/>
        <v>17.080000000000002</v>
      </c>
      <c r="J112" s="7">
        <v>244</v>
      </c>
      <c r="K112">
        <f t="shared" si="6"/>
        <v>24.400000000000002</v>
      </c>
      <c r="L112" s="5">
        <f t="shared" si="7"/>
        <v>41.480000000000004</v>
      </c>
      <c r="M112">
        <v>2600</v>
      </c>
      <c r="N112">
        <f t="shared" si="8"/>
        <v>26</v>
      </c>
      <c r="O112" s="4">
        <f t="shared" si="9"/>
        <v>8.9199999999999982</v>
      </c>
      <c r="P112" s="9" t="str">
        <f>VLOOKUP(B112,[1]Sheet1!$A:$F,6,0)</f>
        <v>ron larson</v>
      </c>
    </row>
    <row r="113" spans="1:16" hidden="1" x14ac:dyDescent="0.35">
      <c r="A113" t="s">
        <v>26</v>
      </c>
      <c r="B113" t="s">
        <v>220</v>
      </c>
      <c r="C113">
        <v>1</v>
      </c>
      <c r="D113" t="s">
        <v>221</v>
      </c>
      <c r="E113" t="s">
        <v>14</v>
      </c>
      <c r="F113">
        <v>260</v>
      </c>
      <c r="G113" t="s">
        <v>206</v>
      </c>
      <c r="H113" s="2">
        <v>0.12</v>
      </c>
      <c r="I113" s="4">
        <f t="shared" si="5"/>
        <v>31.2</v>
      </c>
      <c r="J113" s="7">
        <v>260</v>
      </c>
      <c r="K113">
        <f t="shared" si="6"/>
        <v>26</v>
      </c>
      <c r="L113" s="5">
        <f t="shared" si="7"/>
        <v>57.2</v>
      </c>
      <c r="M113">
        <v>7600</v>
      </c>
      <c r="N113">
        <f t="shared" si="8"/>
        <v>76</v>
      </c>
      <c r="O113" s="10">
        <f t="shared" si="9"/>
        <v>44.8</v>
      </c>
      <c r="P113" t="str">
        <f>VLOOKUP(B113,[1]Sheet1!$A:$F,6,0)</f>
        <v>Anna Brooks</v>
      </c>
    </row>
    <row r="114" spans="1:16" x14ac:dyDescent="0.35">
      <c r="A114" t="s">
        <v>26</v>
      </c>
      <c r="B114" t="s">
        <v>236</v>
      </c>
      <c r="C114">
        <v>1</v>
      </c>
      <c r="D114" t="s">
        <v>237</v>
      </c>
      <c r="E114" t="s">
        <v>14</v>
      </c>
      <c r="F114">
        <v>230</v>
      </c>
      <c r="G114" t="s">
        <v>206</v>
      </c>
      <c r="H114" s="2">
        <v>0.12</v>
      </c>
      <c r="I114" s="4">
        <f t="shared" si="5"/>
        <v>27.599999999999998</v>
      </c>
      <c r="J114" s="7">
        <v>230</v>
      </c>
      <c r="K114">
        <f t="shared" si="6"/>
        <v>23</v>
      </c>
      <c r="L114" s="5">
        <f t="shared" si="7"/>
        <v>50.599999999999994</v>
      </c>
      <c r="M114">
        <v>2375</v>
      </c>
      <c r="N114">
        <f t="shared" si="8"/>
        <v>23.75</v>
      </c>
      <c r="O114" s="4">
        <f t="shared" si="9"/>
        <v>-3.8499999999999979</v>
      </c>
      <c r="P114" s="9" t="str">
        <f>VLOOKUP(B114,[1]Sheet1!$A:$F,6,0)</f>
        <v>ron larson</v>
      </c>
    </row>
    <row r="115" spans="1:16" hidden="1" x14ac:dyDescent="0.35">
      <c r="A115" t="s">
        <v>11</v>
      </c>
      <c r="B115">
        <v>212</v>
      </c>
      <c r="C115">
        <v>1</v>
      </c>
      <c r="D115" t="s">
        <v>304</v>
      </c>
      <c r="E115" t="s">
        <v>14</v>
      </c>
      <c r="F115">
        <v>129</v>
      </c>
      <c r="G115" t="s">
        <v>206</v>
      </c>
      <c r="H115" s="2">
        <v>0.12</v>
      </c>
      <c r="I115" s="4">
        <f t="shared" si="5"/>
        <v>15.479999999999999</v>
      </c>
      <c r="J115">
        <v>129</v>
      </c>
      <c r="K115">
        <f t="shared" si="6"/>
        <v>12.9</v>
      </c>
      <c r="L115" s="5">
        <f t="shared" si="7"/>
        <v>28.38</v>
      </c>
      <c r="M115">
        <v>6000</v>
      </c>
      <c r="N115">
        <f t="shared" si="8"/>
        <v>60</v>
      </c>
      <c r="O115" s="10">
        <f t="shared" si="9"/>
        <v>44.52</v>
      </c>
      <c r="P115" t="str">
        <f>VLOOKUP(B115,[1]Sheet1!$A:$F,6,0)</f>
        <v>Katlyn Noravong</v>
      </c>
    </row>
    <row r="116" spans="1:16" hidden="1" x14ac:dyDescent="0.35">
      <c r="A116" t="s">
        <v>11</v>
      </c>
      <c r="B116" t="s">
        <v>249</v>
      </c>
      <c r="C116">
        <v>1</v>
      </c>
      <c r="D116" t="s">
        <v>250</v>
      </c>
      <c r="E116" t="s">
        <v>14</v>
      </c>
      <c r="F116">
        <v>199</v>
      </c>
      <c r="G116" t="s">
        <v>15</v>
      </c>
      <c r="H116" s="2">
        <v>0.14000000000000001</v>
      </c>
      <c r="I116" s="4">
        <f t="shared" si="5"/>
        <v>27.860000000000003</v>
      </c>
      <c r="J116">
        <v>199</v>
      </c>
      <c r="K116">
        <f t="shared" si="6"/>
        <v>19.900000000000002</v>
      </c>
      <c r="L116" s="5">
        <f t="shared" si="7"/>
        <v>47.760000000000005</v>
      </c>
      <c r="M116">
        <v>7000</v>
      </c>
      <c r="N116">
        <f t="shared" si="8"/>
        <v>70</v>
      </c>
      <c r="O116" s="10">
        <f t="shared" si="9"/>
        <v>42.14</v>
      </c>
      <c r="P116" t="str">
        <f>VLOOKUP(B116,[1]Sheet1!$A:$F,6,0)</f>
        <v>Robert Knighton</v>
      </c>
    </row>
    <row r="117" spans="1:16" hidden="1" x14ac:dyDescent="0.35">
      <c r="A117" t="s">
        <v>11</v>
      </c>
      <c r="B117">
        <v>149</v>
      </c>
      <c r="C117">
        <v>1</v>
      </c>
      <c r="D117" t="s">
        <v>248</v>
      </c>
      <c r="E117" t="s">
        <v>14</v>
      </c>
      <c r="F117">
        <v>200</v>
      </c>
      <c r="G117" t="s">
        <v>206</v>
      </c>
      <c r="H117" s="2">
        <v>0.12</v>
      </c>
      <c r="I117" s="4">
        <f t="shared" si="5"/>
        <v>24</v>
      </c>
      <c r="J117">
        <v>200</v>
      </c>
      <c r="K117">
        <f t="shared" si="6"/>
        <v>20</v>
      </c>
      <c r="L117" s="5">
        <f t="shared" si="7"/>
        <v>44</v>
      </c>
      <c r="M117">
        <v>6450</v>
      </c>
      <c r="N117">
        <f t="shared" si="8"/>
        <v>64.5</v>
      </c>
      <c r="O117" s="10">
        <f t="shared" si="9"/>
        <v>40.5</v>
      </c>
      <c r="P117" t="str">
        <f>VLOOKUP(B117,[1]Sheet1!$A:$F,6,0)</f>
        <v>Doug Clabough</v>
      </c>
    </row>
    <row r="118" spans="1:16" hidden="1" x14ac:dyDescent="0.35">
      <c r="A118" t="s">
        <v>26</v>
      </c>
      <c r="B118">
        <v>75</v>
      </c>
      <c r="C118">
        <v>1</v>
      </c>
      <c r="D118" t="s">
        <v>356</v>
      </c>
      <c r="E118" t="s">
        <v>14</v>
      </c>
      <c r="F118">
        <v>79</v>
      </c>
      <c r="G118" t="s">
        <v>35</v>
      </c>
      <c r="H118" s="2">
        <v>7.0000000000000007E-2</v>
      </c>
      <c r="I118" s="4">
        <f t="shared" si="5"/>
        <v>5.53</v>
      </c>
      <c r="J118">
        <v>79</v>
      </c>
      <c r="K118">
        <f t="shared" si="6"/>
        <v>7.9</v>
      </c>
      <c r="L118" s="5">
        <f t="shared" si="7"/>
        <v>13.43</v>
      </c>
      <c r="M118">
        <v>4500</v>
      </c>
      <c r="N118">
        <f t="shared" si="8"/>
        <v>45</v>
      </c>
      <c r="O118" s="10">
        <f t="shared" si="9"/>
        <v>39.47</v>
      </c>
      <c r="P118" t="str">
        <f>VLOOKUP(B118,[1]Sheet1!$A:$F,6,0)</f>
        <v>nelson guandique</v>
      </c>
    </row>
    <row r="119" spans="1:16" hidden="1" x14ac:dyDescent="0.35">
      <c r="A119" t="s">
        <v>26</v>
      </c>
      <c r="B119">
        <v>44</v>
      </c>
      <c r="C119">
        <v>1</v>
      </c>
      <c r="D119" t="s">
        <v>278</v>
      </c>
      <c r="E119" t="s">
        <v>14</v>
      </c>
      <c r="F119">
        <v>160</v>
      </c>
      <c r="G119" t="s">
        <v>276</v>
      </c>
      <c r="H119" s="2">
        <v>0.16</v>
      </c>
      <c r="I119" s="4">
        <f t="shared" si="5"/>
        <v>25.6</v>
      </c>
      <c r="J119">
        <v>160</v>
      </c>
      <c r="K119">
        <f t="shared" si="6"/>
        <v>16</v>
      </c>
      <c r="L119" s="5">
        <f t="shared" si="7"/>
        <v>41.6</v>
      </c>
      <c r="M119">
        <v>6250</v>
      </c>
      <c r="N119">
        <f t="shared" si="8"/>
        <v>62.5</v>
      </c>
      <c r="O119" s="10">
        <f t="shared" si="9"/>
        <v>36.9</v>
      </c>
      <c r="P119" t="str">
        <f>VLOOKUP(B119,[1]Sheet1!$A:$F,6,0)</f>
        <v>JAVIER IGNACIO FERNANDEZ GONZALO</v>
      </c>
    </row>
    <row r="120" spans="1:16" hidden="1" x14ac:dyDescent="0.35">
      <c r="A120" t="s">
        <v>16</v>
      </c>
      <c r="B120">
        <v>113</v>
      </c>
      <c r="C120">
        <v>1</v>
      </c>
      <c r="D120" t="s">
        <v>305</v>
      </c>
      <c r="E120" t="s">
        <v>14</v>
      </c>
      <c r="F120">
        <v>128</v>
      </c>
      <c r="G120" t="s">
        <v>206</v>
      </c>
      <c r="H120" s="2">
        <v>0.12</v>
      </c>
      <c r="I120" s="4">
        <f t="shared" si="5"/>
        <v>15.36</v>
      </c>
      <c r="J120">
        <v>128</v>
      </c>
      <c r="K120">
        <f t="shared" si="6"/>
        <v>12.8</v>
      </c>
      <c r="L120" s="5">
        <f t="shared" si="7"/>
        <v>28.16</v>
      </c>
      <c r="M120">
        <v>5000</v>
      </c>
      <c r="N120">
        <f t="shared" si="8"/>
        <v>50</v>
      </c>
      <c r="O120" s="10">
        <f t="shared" si="9"/>
        <v>34.64</v>
      </c>
      <c r="P120" t="str">
        <f>VLOOKUP(B120,[1]Sheet1!$A:$F,6,0)</f>
        <v>Chris Billips</v>
      </c>
    </row>
    <row r="121" spans="1:16" hidden="1" x14ac:dyDescent="0.35">
      <c r="A121" t="s">
        <v>11</v>
      </c>
      <c r="B121">
        <v>227</v>
      </c>
      <c r="C121">
        <v>1</v>
      </c>
      <c r="D121" t="s">
        <v>374</v>
      </c>
      <c r="E121" t="s">
        <v>14</v>
      </c>
      <c r="F121">
        <v>70</v>
      </c>
      <c r="G121" t="s">
        <v>206</v>
      </c>
      <c r="H121" s="2">
        <v>0.12</v>
      </c>
      <c r="I121" s="4">
        <f t="shared" si="5"/>
        <v>8.4</v>
      </c>
      <c r="J121">
        <v>70</v>
      </c>
      <c r="K121">
        <f t="shared" si="6"/>
        <v>7</v>
      </c>
      <c r="L121" s="5">
        <f t="shared" si="7"/>
        <v>15.4</v>
      </c>
      <c r="M121">
        <v>4300</v>
      </c>
      <c r="N121">
        <f t="shared" si="8"/>
        <v>43</v>
      </c>
      <c r="O121" s="10">
        <f t="shared" si="9"/>
        <v>34.6</v>
      </c>
      <c r="P121" t="str">
        <f>VLOOKUP(B121,[1]Sheet1!$A:$F,6,0)</f>
        <v>Staci Miller</v>
      </c>
    </row>
    <row r="122" spans="1:16" hidden="1" x14ac:dyDescent="0.35">
      <c r="A122" t="s">
        <v>26</v>
      </c>
      <c r="B122" t="s">
        <v>342</v>
      </c>
      <c r="C122">
        <v>1</v>
      </c>
      <c r="D122" t="s">
        <v>343</v>
      </c>
      <c r="E122" t="s">
        <v>14</v>
      </c>
      <c r="F122">
        <v>92</v>
      </c>
      <c r="G122" t="s">
        <v>206</v>
      </c>
      <c r="H122" s="2">
        <v>0.12</v>
      </c>
      <c r="I122" s="4">
        <f t="shared" si="5"/>
        <v>11.04</v>
      </c>
      <c r="J122">
        <v>92</v>
      </c>
      <c r="K122">
        <f t="shared" si="6"/>
        <v>9.2000000000000011</v>
      </c>
      <c r="L122" s="5">
        <f t="shared" si="7"/>
        <v>20.240000000000002</v>
      </c>
      <c r="M122">
        <v>4500</v>
      </c>
      <c r="N122">
        <f t="shared" si="8"/>
        <v>45</v>
      </c>
      <c r="O122" s="10">
        <f t="shared" si="9"/>
        <v>33.96</v>
      </c>
      <c r="P122" t="str">
        <f>VLOOKUP(B122,[1]Sheet1!$A:$F,6,0)</f>
        <v>nelson guandique</v>
      </c>
    </row>
    <row r="123" spans="1:16" hidden="1" x14ac:dyDescent="0.35">
      <c r="A123" t="s">
        <v>16</v>
      </c>
      <c r="B123">
        <v>108</v>
      </c>
      <c r="C123">
        <v>1</v>
      </c>
      <c r="D123" t="s">
        <v>392</v>
      </c>
      <c r="E123" t="s">
        <v>14</v>
      </c>
      <c r="F123">
        <v>60</v>
      </c>
      <c r="G123" t="s">
        <v>25</v>
      </c>
      <c r="H123" s="2">
        <v>0.2</v>
      </c>
      <c r="I123" s="4">
        <f t="shared" si="5"/>
        <v>12</v>
      </c>
      <c r="J123">
        <v>60</v>
      </c>
      <c r="K123">
        <f t="shared" si="6"/>
        <v>6</v>
      </c>
      <c r="L123" s="5">
        <f t="shared" si="7"/>
        <v>18</v>
      </c>
      <c r="M123">
        <v>4500</v>
      </c>
      <c r="N123">
        <f t="shared" si="8"/>
        <v>45</v>
      </c>
      <c r="O123" s="10">
        <f t="shared" si="9"/>
        <v>33</v>
      </c>
      <c r="P123" t="str">
        <f>VLOOKUP(B123,[1]Sheet1!$A:$F,6,0)</f>
        <v>Staci Miller</v>
      </c>
    </row>
    <row r="124" spans="1:16" hidden="1" x14ac:dyDescent="0.35">
      <c r="A124" t="s">
        <v>26</v>
      </c>
      <c r="B124" t="s">
        <v>327</v>
      </c>
      <c r="C124">
        <v>1</v>
      </c>
      <c r="D124" t="s">
        <v>328</v>
      </c>
      <c r="E124" t="s">
        <v>14</v>
      </c>
      <c r="F124">
        <v>102</v>
      </c>
      <c r="G124" t="s">
        <v>35</v>
      </c>
      <c r="H124" s="2">
        <v>7.0000000000000007E-2</v>
      </c>
      <c r="I124" s="4">
        <f t="shared" si="5"/>
        <v>7.1400000000000006</v>
      </c>
      <c r="J124">
        <v>102</v>
      </c>
      <c r="K124">
        <f t="shared" si="6"/>
        <v>10.200000000000001</v>
      </c>
      <c r="L124" s="5">
        <f t="shared" si="7"/>
        <v>17.340000000000003</v>
      </c>
      <c r="M124">
        <v>4000</v>
      </c>
      <c r="N124">
        <f t="shared" si="8"/>
        <v>40</v>
      </c>
      <c r="O124" s="10">
        <f t="shared" si="9"/>
        <v>32.86</v>
      </c>
      <c r="P124" t="str">
        <f>VLOOKUP(B124,[1]Sheet1!$A:$F,6,0)</f>
        <v>Ademola Lawal</v>
      </c>
    </row>
    <row r="125" spans="1:16" hidden="1" x14ac:dyDescent="0.35">
      <c r="A125" t="s">
        <v>11</v>
      </c>
      <c r="B125">
        <v>139</v>
      </c>
      <c r="C125">
        <v>1</v>
      </c>
      <c r="D125" t="s">
        <v>417</v>
      </c>
      <c r="E125" t="s">
        <v>14</v>
      </c>
      <c r="F125">
        <v>48</v>
      </c>
      <c r="G125" t="s">
        <v>35</v>
      </c>
      <c r="H125" s="2">
        <v>7.0000000000000007E-2</v>
      </c>
      <c r="I125" s="4">
        <f t="shared" si="5"/>
        <v>3.3600000000000003</v>
      </c>
      <c r="J125">
        <v>48</v>
      </c>
      <c r="K125">
        <f t="shared" si="6"/>
        <v>4.8000000000000007</v>
      </c>
      <c r="L125" s="5">
        <f t="shared" si="7"/>
        <v>8.16</v>
      </c>
      <c r="M125">
        <v>3600</v>
      </c>
      <c r="N125">
        <f t="shared" si="8"/>
        <v>36</v>
      </c>
      <c r="O125" s="10">
        <f t="shared" si="9"/>
        <v>32.64</v>
      </c>
      <c r="P125" t="str">
        <f>VLOOKUP(B125,[1]Sheet1!$A:$F,6,0)</f>
        <v>Matt Montes</v>
      </c>
    </row>
    <row r="126" spans="1:16" hidden="1" x14ac:dyDescent="0.35">
      <c r="A126" t="s">
        <v>19</v>
      </c>
      <c r="B126">
        <v>157</v>
      </c>
      <c r="C126">
        <v>1</v>
      </c>
      <c r="D126" t="s">
        <v>300</v>
      </c>
      <c r="E126" t="s">
        <v>14</v>
      </c>
      <c r="F126">
        <v>130</v>
      </c>
      <c r="G126" t="s">
        <v>276</v>
      </c>
      <c r="H126" s="2">
        <v>0.16</v>
      </c>
      <c r="I126" s="4">
        <f t="shared" si="5"/>
        <v>20.8</v>
      </c>
      <c r="J126">
        <v>130</v>
      </c>
      <c r="K126">
        <f t="shared" si="6"/>
        <v>13</v>
      </c>
      <c r="L126" s="5">
        <f t="shared" si="7"/>
        <v>33.799999999999997</v>
      </c>
      <c r="M126">
        <v>5325</v>
      </c>
      <c r="N126">
        <f t="shared" si="8"/>
        <v>53.25</v>
      </c>
      <c r="O126" s="10">
        <f t="shared" si="9"/>
        <v>32.450000000000003</v>
      </c>
      <c r="P126" t="str">
        <f>VLOOKUP(B126,[1]Sheet1!$A:$F,6,0)</f>
        <v>Margaret Lynch-Barone</v>
      </c>
    </row>
    <row r="127" spans="1:16" x14ac:dyDescent="0.35">
      <c r="A127" t="s">
        <v>11</v>
      </c>
      <c r="B127" t="s">
        <v>252</v>
      </c>
      <c r="C127">
        <v>1</v>
      </c>
      <c r="D127" t="s">
        <v>253</v>
      </c>
      <c r="E127" t="s">
        <v>14</v>
      </c>
      <c r="F127">
        <v>192</v>
      </c>
      <c r="G127" t="s">
        <v>35</v>
      </c>
      <c r="H127" s="2">
        <v>7.0000000000000007E-2</v>
      </c>
      <c r="I127" s="4">
        <f t="shared" si="5"/>
        <v>13.440000000000001</v>
      </c>
      <c r="J127">
        <v>192</v>
      </c>
      <c r="K127">
        <f t="shared" si="6"/>
        <v>19.200000000000003</v>
      </c>
      <c r="L127" s="5">
        <f t="shared" si="7"/>
        <v>32.64</v>
      </c>
      <c r="M127">
        <v>3100</v>
      </c>
      <c r="N127">
        <f t="shared" si="8"/>
        <v>31</v>
      </c>
      <c r="O127" s="4">
        <f t="shared" si="9"/>
        <v>17.559999999999999</v>
      </c>
      <c r="P127" s="9" t="str">
        <f>VLOOKUP(B127,[1]Sheet1!$A:$F,6,0)</f>
        <v>ron larson</v>
      </c>
    </row>
    <row r="128" spans="1:16" hidden="1" x14ac:dyDescent="0.35">
      <c r="A128" t="s">
        <v>11</v>
      </c>
      <c r="B128">
        <v>204</v>
      </c>
      <c r="C128">
        <v>1</v>
      </c>
      <c r="D128" t="s">
        <v>280</v>
      </c>
      <c r="E128" t="s">
        <v>14</v>
      </c>
      <c r="F128">
        <v>160</v>
      </c>
      <c r="G128" t="s">
        <v>206</v>
      </c>
      <c r="H128" s="2">
        <v>0.12</v>
      </c>
      <c r="I128" s="4">
        <f t="shared" si="5"/>
        <v>19.2</v>
      </c>
      <c r="J128">
        <v>160</v>
      </c>
      <c r="K128">
        <f t="shared" si="6"/>
        <v>16</v>
      </c>
      <c r="L128" s="5">
        <f t="shared" si="7"/>
        <v>35.200000000000003</v>
      </c>
      <c r="M128">
        <v>4900</v>
      </c>
      <c r="N128">
        <f t="shared" si="8"/>
        <v>49</v>
      </c>
      <c r="O128" s="10">
        <f t="shared" si="9"/>
        <v>29.8</v>
      </c>
      <c r="P128" t="str">
        <f>VLOOKUP(B128,[1]Sheet1!$A:$F,6,0)</f>
        <v>Luis Gonzalez</v>
      </c>
    </row>
    <row r="129" spans="1:16" hidden="1" x14ac:dyDescent="0.35">
      <c r="A129" t="s">
        <v>11</v>
      </c>
      <c r="B129">
        <v>147</v>
      </c>
      <c r="C129">
        <v>1</v>
      </c>
      <c r="D129" t="s">
        <v>326</v>
      </c>
      <c r="E129" t="s">
        <v>14</v>
      </c>
      <c r="F129">
        <v>103</v>
      </c>
      <c r="G129" t="s">
        <v>206</v>
      </c>
      <c r="H129" s="2">
        <v>0.12</v>
      </c>
      <c r="I129" s="4">
        <f t="shared" si="5"/>
        <v>12.36</v>
      </c>
      <c r="J129">
        <v>103</v>
      </c>
      <c r="K129">
        <f t="shared" si="6"/>
        <v>10.3</v>
      </c>
      <c r="L129" s="5">
        <f t="shared" si="7"/>
        <v>22.66</v>
      </c>
      <c r="M129">
        <v>4100</v>
      </c>
      <c r="N129">
        <f t="shared" si="8"/>
        <v>41</v>
      </c>
      <c r="O129" s="10">
        <f t="shared" si="9"/>
        <v>28.64</v>
      </c>
      <c r="P129" t="str">
        <f>VLOOKUP(B129,[1]Sheet1!$A:$F,6,0)</f>
        <v>robert dorland</v>
      </c>
    </row>
    <row r="130" spans="1:16" x14ac:dyDescent="0.35">
      <c r="A130" t="s">
        <v>16</v>
      </c>
      <c r="B130" t="s">
        <v>257</v>
      </c>
      <c r="C130">
        <v>1</v>
      </c>
      <c r="D130" t="s">
        <v>258</v>
      </c>
      <c r="E130" t="s">
        <v>14</v>
      </c>
      <c r="F130">
        <v>180</v>
      </c>
      <c r="G130" t="s">
        <v>15</v>
      </c>
      <c r="H130" s="2">
        <v>0.14000000000000001</v>
      </c>
      <c r="I130" s="4">
        <f t="shared" ref="I130:I193" si="10">J130*H130</f>
        <v>25.200000000000003</v>
      </c>
      <c r="J130">
        <v>180</v>
      </c>
      <c r="K130">
        <f t="shared" ref="K130:K193" si="11">J130*10%</f>
        <v>18</v>
      </c>
      <c r="L130" s="5">
        <f t="shared" ref="L130:L193" si="12">I130+K130</f>
        <v>43.2</v>
      </c>
      <c r="M130">
        <v>1750</v>
      </c>
      <c r="N130">
        <f t="shared" ref="N130:N193" si="13">M130/100</f>
        <v>17.5</v>
      </c>
      <c r="O130" s="4">
        <f t="shared" ref="O130:O193" si="14">N130-I130</f>
        <v>-7.7000000000000028</v>
      </c>
      <c r="P130" s="9" t="str">
        <f>VLOOKUP(B130,[1]Sheet1!$A:$F,6,0)</f>
        <v>ron larson</v>
      </c>
    </row>
    <row r="131" spans="1:16" hidden="1" x14ac:dyDescent="0.35">
      <c r="A131" t="s">
        <v>19</v>
      </c>
      <c r="B131">
        <v>190</v>
      </c>
      <c r="C131">
        <v>1</v>
      </c>
      <c r="D131" t="s">
        <v>410</v>
      </c>
      <c r="E131" t="s">
        <v>14</v>
      </c>
      <c r="F131">
        <v>50</v>
      </c>
      <c r="G131" t="s">
        <v>35</v>
      </c>
      <c r="H131" s="2">
        <v>7.0000000000000007E-2</v>
      </c>
      <c r="I131" s="4">
        <f t="shared" si="10"/>
        <v>3.5000000000000004</v>
      </c>
      <c r="J131">
        <v>50</v>
      </c>
      <c r="K131">
        <f t="shared" si="11"/>
        <v>5</v>
      </c>
      <c r="L131" s="5">
        <f t="shared" si="12"/>
        <v>8.5</v>
      </c>
      <c r="M131">
        <v>3200</v>
      </c>
      <c r="N131">
        <f t="shared" si="13"/>
        <v>32</v>
      </c>
      <c r="O131" s="10">
        <f t="shared" si="14"/>
        <v>28.5</v>
      </c>
      <c r="P131" t="str">
        <f>VLOOKUP(B131,[1]Sheet1!$A:$F,6,0)</f>
        <v>Daniel Poland</v>
      </c>
    </row>
    <row r="132" spans="1:16" x14ac:dyDescent="0.35">
      <c r="A132" t="s">
        <v>19</v>
      </c>
      <c r="B132" t="s">
        <v>260</v>
      </c>
      <c r="C132">
        <v>1</v>
      </c>
      <c r="D132" t="s">
        <v>258</v>
      </c>
      <c r="E132" t="s">
        <v>14</v>
      </c>
      <c r="F132">
        <v>180</v>
      </c>
      <c r="G132" t="s">
        <v>15</v>
      </c>
      <c r="H132" s="2">
        <v>0.14000000000000001</v>
      </c>
      <c r="I132" s="4">
        <f t="shared" si="10"/>
        <v>25.200000000000003</v>
      </c>
      <c r="J132">
        <v>180</v>
      </c>
      <c r="K132">
        <f t="shared" si="11"/>
        <v>18</v>
      </c>
      <c r="L132" s="5">
        <f t="shared" si="12"/>
        <v>43.2</v>
      </c>
      <c r="M132">
        <v>1850</v>
      </c>
      <c r="N132">
        <f t="shared" si="13"/>
        <v>18.5</v>
      </c>
      <c r="O132" s="4">
        <f t="shared" si="14"/>
        <v>-6.7000000000000028</v>
      </c>
      <c r="P132" s="9" t="str">
        <f>VLOOKUP(B132,[1]Sheet1!$A:$F,6,0)</f>
        <v>ron larson</v>
      </c>
    </row>
    <row r="133" spans="1:16" hidden="1" x14ac:dyDescent="0.35">
      <c r="A133" t="s">
        <v>11</v>
      </c>
      <c r="B133">
        <v>230</v>
      </c>
      <c r="C133">
        <v>1</v>
      </c>
      <c r="D133" t="s">
        <v>264</v>
      </c>
      <c r="E133" t="s">
        <v>14</v>
      </c>
      <c r="F133">
        <v>180</v>
      </c>
      <c r="G133" t="s">
        <v>206</v>
      </c>
      <c r="H133" s="2">
        <v>0.12</v>
      </c>
      <c r="I133" s="4">
        <f t="shared" si="10"/>
        <v>21.599999999999998</v>
      </c>
      <c r="J133">
        <v>180</v>
      </c>
      <c r="K133">
        <f t="shared" si="11"/>
        <v>18</v>
      </c>
      <c r="L133" s="5">
        <f t="shared" si="12"/>
        <v>39.599999999999994</v>
      </c>
      <c r="M133">
        <v>5000</v>
      </c>
      <c r="N133">
        <f t="shared" si="13"/>
        <v>50</v>
      </c>
      <c r="O133" s="10">
        <f t="shared" si="14"/>
        <v>28.400000000000002</v>
      </c>
      <c r="P133" t="str">
        <f>VLOOKUP(B133,[1]Sheet1!$A:$F,6,0)</f>
        <v>Robert Miranda</v>
      </c>
    </row>
    <row r="134" spans="1:16" hidden="1" x14ac:dyDescent="0.35">
      <c r="A134" t="s">
        <v>19</v>
      </c>
      <c r="B134" t="s">
        <v>234</v>
      </c>
      <c r="C134">
        <v>1</v>
      </c>
      <c r="D134" t="s">
        <v>235</v>
      </c>
      <c r="E134" t="s">
        <v>14</v>
      </c>
      <c r="F134">
        <v>240</v>
      </c>
      <c r="G134" t="s">
        <v>206</v>
      </c>
      <c r="H134" s="2">
        <v>0.12</v>
      </c>
      <c r="I134" s="4">
        <f t="shared" si="10"/>
        <v>28.799999999999997</v>
      </c>
      <c r="J134" s="7">
        <v>240</v>
      </c>
      <c r="K134">
        <f t="shared" si="11"/>
        <v>24</v>
      </c>
      <c r="L134" s="5">
        <f t="shared" si="12"/>
        <v>52.8</v>
      </c>
      <c r="M134">
        <v>5689</v>
      </c>
      <c r="N134">
        <f t="shared" si="13"/>
        <v>56.89</v>
      </c>
      <c r="O134" s="10">
        <f t="shared" si="14"/>
        <v>28.090000000000003</v>
      </c>
      <c r="P134" t="str">
        <f>VLOOKUP(B134,[1]Sheet1!$A:$F,6,0)</f>
        <v>Beth Wise</v>
      </c>
    </row>
    <row r="135" spans="1:16" hidden="1" x14ac:dyDescent="0.35">
      <c r="A135" t="s">
        <v>11</v>
      </c>
      <c r="B135">
        <v>134</v>
      </c>
      <c r="C135">
        <v>1</v>
      </c>
      <c r="D135" t="s">
        <v>308</v>
      </c>
      <c r="E135" t="s">
        <v>14</v>
      </c>
      <c r="F135">
        <v>126</v>
      </c>
      <c r="G135" t="s">
        <v>206</v>
      </c>
      <c r="H135" s="2">
        <v>0.12</v>
      </c>
      <c r="I135" s="4">
        <f t="shared" si="10"/>
        <v>15.12</v>
      </c>
      <c r="J135">
        <v>126</v>
      </c>
      <c r="K135">
        <f t="shared" si="11"/>
        <v>12.600000000000001</v>
      </c>
      <c r="L135" s="5">
        <f t="shared" si="12"/>
        <v>27.72</v>
      </c>
      <c r="M135">
        <v>4200</v>
      </c>
      <c r="N135">
        <f t="shared" si="13"/>
        <v>42</v>
      </c>
      <c r="O135" s="10">
        <f t="shared" si="14"/>
        <v>26.880000000000003</v>
      </c>
      <c r="P135" t="str">
        <f>VLOOKUP(B135,[1]Sheet1!$A:$F,6,0)</f>
        <v>freddie hejjo</v>
      </c>
    </row>
    <row r="136" spans="1:16" x14ac:dyDescent="0.35">
      <c r="A136" t="s">
        <v>11</v>
      </c>
      <c r="B136" t="s">
        <v>265</v>
      </c>
      <c r="C136">
        <v>1</v>
      </c>
      <c r="D136" t="s">
        <v>266</v>
      </c>
      <c r="E136" t="s">
        <v>14</v>
      </c>
      <c r="F136">
        <v>175</v>
      </c>
      <c r="G136" t="s">
        <v>15</v>
      </c>
      <c r="H136" s="2">
        <v>0.14000000000000001</v>
      </c>
      <c r="I136" s="4">
        <f t="shared" si="10"/>
        <v>24.500000000000004</v>
      </c>
      <c r="J136">
        <v>175</v>
      </c>
      <c r="K136">
        <f t="shared" si="11"/>
        <v>17.5</v>
      </c>
      <c r="L136" s="5">
        <f t="shared" si="12"/>
        <v>42</v>
      </c>
      <c r="M136">
        <v>4300</v>
      </c>
      <c r="N136">
        <f t="shared" si="13"/>
        <v>43</v>
      </c>
      <c r="O136" s="4">
        <f t="shared" si="14"/>
        <v>18.499999999999996</v>
      </c>
      <c r="P136" s="9" t="str">
        <f>VLOOKUP(B136,[1]Sheet1!$A:$F,6,0)</f>
        <v>ron larson</v>
      </c>
    </row>
    <row r="137" spans="1:16" hidden="1" x14ac:dyDescent="0.35">
      <c r="A137" t="s">
        <v>26</v>
      </c>
      <c r="B137">
        <v>358</v>
      </c>
      <c r="C137">
        <v>1</v>
      </c>
      <c r="D137" t="s">
        <v>311</v>
      </c>
      <c r="E137" t="s">
        <v>14</v>
      </c>
      <c r="F137">
        <v>120</v>
      </c>
      <c r="G137" t="s">
        <v>206</v>
      </c>
      <c r="H137" s="2">
        <v>0.12</v>
      </c>
      <c r="I137" s="4">
        <f t="shared" si="10"/>
        <v>14.399999999999999</v>
      </c>
      <c r="J137">
        <v>120</v>
      </c>
      <c r="K137">
        <f t="shared" si="11"/>
        <v>12</v>
      </c>
      <c r="L137" s="5">
        <f t="shared" si="12"/>
        <v>26.4</v>
      </c>
      <c r="M137">
        <v>4100</v>
      </c>
      <c r="N137">
        <f t="shared" si="13"/>
        <v>41</v>
      </c>
      <c r="O137" s="10">
        <f t="shared" si="14"/>
        <v>26.6</v>
      </c>
      <c r="P137" t="str">
        <f>VLOOKUP(B137,[1]Sheet1!$A:$F,6,0)</f>
        <v>Ademola Lawal</v>
      </c>
    </row>
    <row r="138" spans="1:16" hidden="1" x14ac:dyDescent="0.35">
      <c r="A138" t="s">
        <v>19</v>
      </c>
      <c r="B138">
        <v>172</v>
      </c>
      <c r="C138">
        <v>1</v>
      </c>
      <c r="D138" t="s">
        <v>348</v>
      </c>
      <c r="E138" t="s">
        <v>14</v>
      </c>
      <c r="F138">
        <v>83</v>
      </c>
      <c r="G138" t="s">
        <v>206</v>
      </c>
      <c r="H138" s="2">
        <v>0.12</v>
      </c>
      <c r="I138" s="4">
        <f t="shared" si="10"/>
        <v>9.9599999999999991</v>
      </c>
      <c r="J138">
        <v>83</v>
      </c>
      <c r="K138">
        <f t="shared" si="11"/>
        <v>8.3000000000000007</v>
      </c>
      <c r="L138" s="5">
        <f t="shared" si="12"/>
        <v>18.259999999999998</v>
      </c>
      <c r="M138">
        <v>3400</v>
      </c>
      <c r="N138">
        <f t="shared" si="13"/>
        <v>34</v>
      </c>
      <c r="O138" s="10">
        <f t="shared" si="14"/>
        <v>24.04</v>
      </c>
      <c r="P138" t="str">
        <f>VLOOKUP(B138,[1]Sheet1!$A:$F,6,0)</f>
        <v>Devonda Davis</v>
      </c>
    </row>
    <row r="139" spans="1:16" hidden="1" x14ac:dyDescent="0.35">
      <c r="A139" t="s">
        <v>26</v>
      </c>
      <c r="B139" t="s">
        <v>283</v>
      </c>
      <c r="C139">
        <v>1</v>
      </c>
      <c r="D139" t="s">
        <v>284</v>
      </c>
      <c r="E139" t="s">
        <v>14</v>
      </c>
      <c r="F139">
        <v>150</v>
      </c>
      <c r="G139" t="s">
        <v>206</v>
      </c>
      <c r="H139" s="2">
        <v>0.12</v>
      </c>
      <c r="I139" s="4">
        <f t="shared" si="10"/>
        <v>18</v>
      </c>
      <c r="J139">
        <v>150</v>
      </c>
      <c r="K139">
        <f t="shared" si="11"/>
        <v>15</v>
      </c>
      <c r="L139" s="5">
        <f t="shared" si="12"/>
        <v>33</v>
      </c>
      <c r="M139">
        <v>4200</v>
      </c>
      <c r="N139">
        <f t="shared" si="13"/>
        <v>42</v>
      </c>
      <c r="O139" s="10">
        <f t="shared" si="14"/>
        <v>24</v>
      </c>
      <c r="P139" t="str">
        <f>VLOOKUP(B139,[1]Sheet1!$A:$F,6,0)</f>
        <v>Ademola Lawal</v>
      </c>
    </row>
    <row r="140" spans="1:16" hidden="1" x14ac:dyDescent="0.35">
      <c r="A140" t="s">
        <v>11</v>
      </c>
      <c r="B140">
        <v>206</v>
      </c>
      <c r="C140">
        <v>1</v>
      </c>
      <c r="D140" t="s">
        <v>338</v>
      </c>
      <c r="E140" t="s">
        <v>14</v>
      </c>
      <c r="F140">
        <v>100</v>
      </c>
      <c r="G140" t="s">
        <v>206</v>
      </c>
      <c r="H140" s="2">
        <v>0.12</v>
      </c>
      <c r="I140" s="4">
        <f t="shared" si="10"/>
        <v>12</v>
      </c>
      <c r="J140">
        <v>100</v>
      </c>
      <c r="K140">
        <f t="shared" si="11"/>
        <v>10</v>
      </c>
      <c r="L140" s="5">
        <f t="shared" si="12"/>
        <v>22</v>
      </c>
      <c r="M140">
        <v>3600</v>
      </c>
      <c r="N140">
        <f t="shared" si="13"/>
        <v>36</v>
      </c>
      <c r="O140" s="10">
        <f t="shared" si="14"/>
        <v>24</v>
      </c>
      <c r="P140" t="str">
        <f>VLOOKUP(B140,[1]Sheet1!$A:$F,6,0)</f>
        <v>Noel Cardenas</v>
      </c>
    </row>
    <row r="141" spans="1:16" hidden="1" x14ac:dyDescent="0.35">
      <c r="A141" t="s">
        <v>26</v>
      </c>
      <c r="B141">
        <v>71</v>
      </c>
      <c r="C141">
        <v>1</v>
      </c>
      <c r="D141" t="s">
        <v>406</v>
      </c>
      <c r="E141" t="s">
        <v>14</v>
      </c>
      <c r="F141">
        <v>51</v>
      </c>
      <c r="G141" t="s">
        <v>206</v>
      </c>
      <c r="H141" s="2">
        <v>0.12</v>
      </c>
      <c r="I141" s="4">
        <f t="shared" si="10"/>
        <v>6.12</v>
      </c>
      <c r="J141">
        <v>51</v>
      </c>
      <c r="K141">
        <f t="shared" si="11"/>
        <v>5.1000000000000005</v>
      </c>
      <c r="L141" s="5">
        <f t="shared" si="12"/>
        <v>11.22</v>
      </c>
      <c r="M141">
        <v>3000</v>
      </c>
      <c r="N141">
        <f t="shared" si="13"/>
        <v>30</v>
      </c>
      <c r="O141" s="10">
        <f t="shared" si="14"/>
        <v>23.88</v>
      </c>
      <c r="P141" t="str">
        <f>VLOOKUP(B141,[1]Sheet1!$A:$F,6,0)</f>
        <v>Bobbie - Shannon Howard</v>
      </c>
    </row>
    <row r="142" spans="1:16" hidden="1" x14ac:dyDescent="0.35">
      <c r="A142" t="s">
        <v>16</v>
      </c>
      <c r="B142">
        <v>120</v>
      </c>
      <c r="C142">
        <v>1</v>
      </c>
      <c r="D142" t="s">
        <v>330</v>
      </c>
      <c r="E142" t="s">
        <v>14</v>
      </c>
      <c r="F142">
        <v>100</v>
      </c>
      <c r="G142" t="s">
        <v>206</v>
      </c>
      <c r="H142" s="2">
        <v>0.12</v>
      </c>
      <c r="I142" s="4">
        <f t="shared" si="10"/>
        <v>12</v>
      </c>
      <c r="J142">
        <v>100</v>
      </c>
      <c r="K142">
        <f t="shared" si="11"/>
        <v>10</v>
      </c>
      <c r="L142" s="5">
        <f t="shared" si="12"/>
        <v>22</v>
      </c>
      <c r="M142">
        <v>3500</v>
      </c>
      <c r="N142">
        <f t="shared" si="13"/>
        <v>35</v>
      </c>
      <c r="O142" s="10">
        <f t="shared" si="14"/>
        <v>23</v>
      </c>
      <c r="P142" t="str">
        <f>VLOOKUP(B142,[1]Sheet1!$A:$F,6,0)</f>
        <v>Laurie Lavoie</v>
      </c>
    </row>
    <row r="143" spans="1:16" hidden="1" x14ac:dyDescent="0.35">
      <c r="A143" t="s">
        <v>16</v>
      </c>
      <c r="B143">
        <v>115</v>
      </c>
      <c r="C143">
        <v>1</v>
      </c>
      <c r="D143" t="s">
        <v>366</v>
      </c>
      <c r="E143" t="s">
        <v>14</v>
      </c>
      <c r="F143">
        <v>70</v>
      </c>
      <c r="G143" t="s">
        <v>206</v>
      </c>
      <c r="H143" s="2">
        <v>0.12</v>
      </c>
      <c r="I143" s="4">
        <f t="shared" si="10"/>
        <v>8.4</v>
      </c>
      <c r="J143">
        <v>70</v>
      </c>
      <c r="K143">
        <f t="shared" si="11"/>
        <v>7</v>
      </c>
      <c r="L143" s="5">
        <f t="shared" si="12"/>
        <v>15.4</v>
      </c>
      <c r="M143">
        <v>3050</v>
      </c>
      <c r="N143">
        <f t="shared" si="13"/>
        <v>30.5</v>
      </c>
      <c r="O143" s="10">
        <f t="shared" si="14"/>
        <v>22.1</v>
      </c>
      <c r="P143" t="str">
        <f>VLOOKUP(B143,[1]Sheet1!$A:$F,6,0)</f>
        <v>Thanh Tan Ngo</v>
      </c>
    </row>
    <row r="144" spans="1:16" hidden="1" x14ac:dyDescent="0.35">
      <c r="A144" t="s">
        <v>19</v>
      </c>
      <c r="B144">
        <v>175</v>
      </c>
      <c r="C144">
        <v>1</v>
      </c>
      <c r="D144" t="s">
        <v>243</v>
      </c>
      <c r="E144" t="s">
        <v>14</v>
      </c>
      <c r="F144">
        <v>200</v>
      </c>
      <c r="G144" t="s">
        <v>206</v>
      </c>
      <c r="H144" s="2">
        <v>0.12</v>
      </c>
      <c r="I144" s="4">
        <f t="shared" si="10"/>
        <v>24</v>
      </c>
      <c r="J144">
        <v>200</v>
      </c>
      <c r="K144">
        <f t="shared" si="11"/>
        <v>20</v>
      </c>
      <c r="L144" s="5">
        <f t="shared" si="12"/>
        <v>44</v>
      </c>
      <c r="M144">
        <v>4600</v>
      </c>
      <c r="N144">
        <f t="shared" si="13"/>
        <v>46</v>
      </c>
      <c r="O144" s="10">
        <f t="shared" si="14"/>
        <v>22</v>
      </c>
      <c r="P144" t="str">
        <f>VLOOKUP(B144,[1]Sheet1!$A:$F,6,0)</f>
        <v>Thanh Tan Ngo</v>
      </c>
    </row>
    <row r="145" spans="1:16" hidden="1" x14ac:dyDescent="0.35">
      <c r="A145" t="s">
        <v>26</v>
      </c>
      <c r="B145">
        <v>45</v>
      </c>
      <c r="C145">
        <v>1</v>
      </c>
      <c r="D145" t="s">
        <v>361</v>
      </c>
      <c r="E145" t="s">
        <v>14</v>
      </c>
      <c r="F145">
        <v>74</v>
      </c>
      <c r="G145" t="s">
        <v>276</v>
      </c>
      <c r="H145" s="2">
        <v>0.16</v>
      </c>
      <c r="I145" s="4">
        <f t="shared" si="10"/>
        <v>11.84</v>
      </c>
      <c r="J145">
        <v>74</v>
      </c>
      <c r="K145">
        <f t="shared" si="11"/>
        <v>7.4</v>
      </c>
      <c r="L145" s="5">
        <f t="shared" si="12"/>
        <v>19.240000000000002</v>
      </c>
      <c r="M145">
        <v>3350</v>
      </c>
      <c r="N145">
        <f t="shared" si="13"/>
        <v>33.5</v>
      </c>
      <c r="O145" s="10">
        <f t="shared" si="14"/>
        <v>21.66</v>
      </c>
      <c r="P145" t="str">
        <f>VLOOKUP(B145,[1]Sheet1!$A:$F,6,0)</f>
        <v>Victor Cardenas</v>
      </c>
    </row>
    <row r="146" spans="1:16" hidden="1" x14ac:dyDescent="0.35">
      <c r="A146" t="s">
        <v>16</v>
      </c>
      <c r="B146">
        <v>116</v>
      </c>
      <c r="C146">
        <v>1</v>
      </c>
      <c r="D146" t="s">
        <v>309</v>
      </c>
      <c r="E146" t="s">
        <v>14</v>
      </c>
      <c r="F146">
        <v>120</v>
      </c>
      <c r="G146" t="s">
        <v>206</v>
      </c>
      <c r="H146" s="2">
        <v>0.12</v>
      </c>
      <c r="I146" s="4">
        <f t="shared" si="10"/>
        <v>14.399999999999999</v>
      </c>
      <c r="J146">
        <v>120</v>
      </c>
      <c r="K146">
        <f t="shared" si="11"/>
        <v>12</v>
      </c>
      <c r="L146" s="5">
        <f t="shared" si="12"/>
        <v>26.4</v>
      </c>
      <c r="M146">
        <v>3600</v>
      </c>
      <c r="N146">
        <f t="shared" si="13"/>
        <v>36</v>
      </c>
      <c r="O146" s="10">
        <f t="shared" si="14"/>
        <v>21.6</v>
      </c>
      <c r="P146" t="str">
        <f>VLOOKUP(B146,[1]Sheet1!$A:$F,6,0)</f>
        <v>Ademola Lawal</v>
      </c>
    </row>
    <row r="147" spans="1:16" hidden="1" x14ac:dyDescent="0.35">
      <c r="A147" t="s">
        <v>16</v>
      </c>
      <c r="B147">
        <v>117</v>
      </c>
      <c r="C147">
        <v>1</v>
      </c>
      <c r="D147" t="s">
        <v>267</v>
      </c>
      <c r="E147" t="s">
        <v>14</v>
      </c>
      <c r="F147">
        <v>170</v>
      </c>
      <c r="G147" t="s">
        <v>206</v>
      </c>
      <c r="H147" s="2">
        <v>0.12</v>
      </c>
      <c r="I147" s="4">
        <f t="shared" si="10"/>
        <v>20.399999999999999</v>
      </c>
      <c r="J147">
        <v>170</v>
      </c>
      <c r="K147">
        <f t="shared" si="11"/>
        <v>17</v>
      </c>
      <c r="L147" s="5">
        <f t="shared" si="12"/>
        <v>37.4</v>
      </c>
      <c r="M147">
        <v>4100</v>
      </c>
      <c r="N147">
        <f t="shared" si="13"/>
        <v>41</v>
      </c>
      <c r="O147" s="10">
        <f t="shared" si="14"/>
        <v>20.6</v>
      </c>
      <c r="P147" t="str">
        <f>VLOOKUP(B147,[1]Sheet1!$A:$F,6,0)</f>
        <v>Michael Araiza</v>
      </c>
    </row>
    <row r="148" spans="1:16" hidden="1" x14ac:dyDescent="0.35">
      <c r="A148" t="s">
        <v>19</v>
      </c>
      <c r="B148">
        <v>8</v>
      </c>
      <c r="C148">
        <v>1</v>
      </c>
      <c r="D148" t="s">
        <v>394</v>
      </c>
      <c r="E148" t="s">
        <v>14</v>
      </c>
      <c r="F148">
        <v>60</v>
      </c>
      <c r="G148" t="s">
        <v>276</v>
      </c>
      <c r="H148" s="2">
        <v>0.16</v>
      </c>
      <c r="I148" s="4">
        <f t="shared" si="10"/>
        <v>9.6</v>
      </c>
      <c r="J148">
        <v>60</v>
      </c>
      <c r="K148">
        <f t="shared" si="11"/>
        <v>6</v>
      </c>
      <c r="L148" s="5">
        <f t="shared" si="12"/>
        <v>15.6</v>
      </c>
      <c r="M148">
        <v>3000</v>
      </c>
      <c r="N148">
        <f t="shared" si="13"/>
        <v>30</v>
      </c>
      <c r="O148" s="10">
        <f t="shared" si="14"/>
        <v>20.399999999999999</v>
      </c>
      <c r="P148" t="str">
        <f>VLOOKUP(B148,[1]Sheet1!$A:$F,6,0)</f>
        <v>Bill Owen</v>
      </c>
    </row>
    <row r="149" spans="1:16" hidden="1" x14ac:dyDescent="0.35">
      <c r="A149" t="s">
        <v>11</v>
      </c>
      <c r="B149">
        <v>133</v>
      </c>
      <c r="C149">
        <v>1</v>
      </c>
      <c r="D149" t="s">
        <v>401</v>
      </c>
      <c r="E149" t="s">
        <v>14</v>
      </c>
      <c r="F149">
        <v>55</v>
      </c>
      <c r="G149" t="s">
        <v>25</v>
      </c>
      <c r="H149" s="2">
        <v>0.2</v>
      </c>
      <c r="I149" s="4">
        <f t="shared" si="10"/>
        <v>11</v>
      </c>
      <c r="J149">
        <v>55</v>
      </c>
      <c r="K149">
        <f t="shared" si="11"/>
        <v>5.5</v>
      </c>
      <c r="L149" s="5">
        <f t="shared" si="12"/>
        <v>16.5</v>
      </c>
      <c r="M149">
        <v>3100</v>
      </c>
      <c r="N149">
        <f t="shared" si="13"/>
        <v>31</v>
      </c>
      <c r="O149" s="10">
        <f t="shared" si="14"/>
        <v>20</v>
      </c>
      <c r="P149" t="str">
        <f>VLOOKUP(B149,[1]Sheet1!$A:$F,6,0)</f>
        <v>Adalberto Jasso</v>
      </c>
    </row>
    <row r="150" spans="1:16" hidden="1" x14ac:dyDescent="0.35">
      <c r="A150" t="s">
        <v>19</v>
      </c>
      <c r="B150">
        <v>171</v>
      </c>
      <c r="C150">
        <v>1</v>
      </c>
      <c r="D150" t="s">
        <v>368</v>
      </c>
      <c r="E150" t="s">
        <v>14</v>
      </c>
      <c r="F150">
        <v>70</v>
      </c>
      <c r="G150" t="s">
        <v>206</v>
      </c>
      <c r="H150" s="2">
        <v>0.12</v>
      </c>
      <c r="I150" s="4">
        <f t="shared" si="10"/>
        <v>8.4</v>
      </c>
      <c r="J150">
        <v>70</v>
      </c>
      <c r="K150">
        <f t="shared" si="11"/>
        <v>7</v>
      </c>
      <c r="L150" s="5">
        <f t="shared" si="12"/>
        <v>15.4</v>
      </c>
      <c r="M150">
        <v>2800</v>
      </c>
      <c r="N150">
        <f t="shared" si="13"/>
        <v>28</v>
      </c>
      <c r="O150" s="10">
        <f t="shared" si="14"/>
        <v>19.600000000000001</v>
      </c>
      <c r="P150" t="str">
        <f>VLOOKUP(B150,[1]Sheet1!$A:$F,6,0)</f>
        <v>Garland Kubecka</v>
      </c>
    </row>
    <row r="151" spans="1:16" hidden="1" x14ac:dyDescent="0.35">
      <c r="A151" t="s">
        <v>11</v>
      </c>
      <c r="B151">
        <v>214</v>
      </c>
      <c r="C151">
        <v>1</v>
      </c>
      <c r="D151" t="s">
        <v>390</v>
      </c>
      <c r="E151" t="s">
        <v>14</v>
      </c>
      <c r="F151">
        <v>62</v>
      </c>
      <c r="G151" t="s">
        <v>206</v>
      </c>
      <c r="H151" s="2">
        <v>0.12</v>
      </c>
      <c r="I151" s="4">
        <f t="shared" si="10"/>
        <v>7.4399999999999995</v>
      </c>
      <c r="J151">
        <v>62</v>
      </c>
      <c r="K151">
        <f t="shared" si="11"/>
        <v>6.2</v>
      </c>
      <c r="L151" s="5">
        <f t="shared" si="12"/>
        <v>13.64</v>
      </c>
      <c r="M151">
        <v>2699</v>
      </c>
      <c r="N151">
        <f t="shared" si="13"/>
        <v>26.99</v>
      </c>
      <c r="O151" s="10">
        <f t="shared" si="14"/>
        <v>19.549999999999997</v>
      </c>
      <c r="P151" t="str">
        <f>VLOOKUP(B151,[1]Sheet1!$A:$F,6,0)</f>
        <v>nelson guandique</v>
      </c>
    </row>
    <row r="152" spans="1:16" hidden="1" x14ac:dyDescent="0.35">
      <c r="A152" t="s">
        <v>16</v>
      </c>
      <c r="B152">
        <v>110</v>
      </c>
      <c r="C152">
        <v>1</v>
      </c>
      <c r="D152" t="s">
        <v>298</v>
      </c>
      <c r="E152" t="s">
        <v>14</v>
      </c>
      <c r="F152">
        <v>130</v>
      </c>
      <c r="G152" t="s">
        <v>206</v>
      </c>
      <c r="H152" s="2">
        <v>0.12</v>
      </c>
      <c r="I152" s="4">
        <f t="shared" si="10"/>
        <v>15.6</v>
      </c>
      <c r="J152">
        <v>130</v>
      </c>
      <c r="K152">
        <f t="shared" si="11"/>
        <v>13</v>
      </c>
      <c r="L152" s="5">
        <f t="shared" si="12"/>
        <v>28.6</v>
      </c>
      <c r="M152">
        <v>3500</v>
      </c>
      <c r="N152">
        <f t="shared" si="13"/>
        <v>35</v>
      </c>
      <c r="O152" s="10">
        <f t="shared" si="14"/>
        <v>19.399999999999999</v>
      </c>
      <c r="P152" t="str">
        <f>VLOOKUP(B152,[1]Sheet1!$A:$F,6,0)</f>
        <v>Anna Brooks</v>
      </c>
    </row>
    <row r="153" spans="1:16" x14ac:dyDescent="0.35">
      <c r="A153" t="s">
        <v>16</v>
      </c>
      <c r="B153">
        <v>111</v>
      </c>
      <c r="C153">
        <v>1</v>
      </c>
      <c r="D153" t="s">
        <v>286</v>
      </c>
      <c r="E153" t="s">
        <v>14</v>
      </c>
      <c r="F153">
        <v>149</v>
      </c>
      <c r="G153" t="s">
        <v>206</v>
      </c>
      <c r="H153" s="2">
        <v>0.12</v>
      </c>
      <c r="I153" s="4">
        <f t="shared" si="10"/>
        <v>17.88</v>
      </c>
      <c r="J153">
        <v>149</v>
      </c>
      <c r="K153">
        <f t="shared" si="11"/>
        <v>14.9</v>
      </c>
      <c r="L153" s="5">
        <f t="shared" si="12"/>
        <v>32.78</v>
      </c>
      <c r="M153">
        <v>1750</v>
      </c>
      <c r="N153">
        <f t="shared" si="13"/>
        <v>17.5</v>
      </c>
      <c r="O153" s="4">
        <f t="shared" si="14"/>
        <v>-0.37999999999999901</v>
      </c>
      <c r="P153" s="9" t="str">
        <f>VLOOKUP(B153,[1]Sheet1!$A:$F,6,0)</f>
        <v>ron larson</v>
      </c>
    </row>
    <row r="154" spans="1:16" hidden="1" x14ac:dyDescent="0.35">
      <c r="A154" t="s">
        <v>26</v>
      </c>
      <c r="B154" t="s">
        <v>218</v>
      </c>
      <c r="C154">
        <v>1</v>
      </c>
      <c r="D154" t="s">
        <v>219</v>
      </c>
      <c r="E154" t="s">
        <v>14</v>
      </c>
      <c r="F154">
        <v>260</v>
      </c>
      <c r="G154" t="s">
        <v>206</v>
      </c>
      <c r="H154" s="2">
        <v>0.12</v>
      </c>
      <c r="I154" s="4">
        <f t="shared" si="10"/>
        <v>31.2</v>
      </c>
      <c r="J154" s="7">
        <v>260</v>
      </c>
      <c r="K154">
        <f t="shared" si="11"/>
        <v>26</v>
      </c>
      <c r="L154" s="5">
        <f t="shared" si="12"/>
        <v>57.2</v>
      </c>
      <c r="M154">
        <v>5000</v>
      </c>
      <c r="N154">
        <f t="shared" si="13"/>
        <v>50</v>
      </c>
      <c r="O154" s="10">
        <f t="shared" si="14"/>
        <v>18.8</v>
      </c>
      <c r="P154" t="str">
        <f>VLOOKUP(B154,[1]Sheet1!$A:$F,6,0)</f>
        <v>James Money</v>
      </c>
    </row>
    <row r="155" spans="1:16" hidden="1" x14ac:dyDescent="0.35">
      <c r="A155" t="s">
        <v>19</v>
      </c>
      <c r="B155">
        <v>99</v>
      </c>
      <c r="C155">
        <v>1</v>
      </c>
      <c r="D155" t="s">
        <v>320</v>
      </c>
      <c r="E155" t="s">
        <v>14</v>
      </c>
      <c r="F155">
        <v>110</v>
      </c>
      <c r="G155" t="s">
        <v>206</v>
      </c>
      <c r="H155" s="2">
        <v>0.12</v>
      </c>
      <c r="I155" s="4">
        <f t="shared" si="10"/>
        <v>13.2</v>
      </c>
      <c r="J155">
        <v>110</v>
      </c>
      <c r="K155">
        <f t="shared" si="11"/>
        <v>11</v>
      </c>
      <c r="L155" s="5">
        <f t="shared" si="12"/>
        <v>24.2</v>
      </c>
      <c r="M155">
        <v>3200</v>
      </c>
      <c r="N155">
        <f t="shared" si="13"/>
        <v>32</v>
      </c>
      <c r="O155" s="10">
        <f t="shared" si="14"/>
        <v>18.8</v>
      </c>
      <c r="P155" t="str">
        <f>VLOOKUP(B155,[1]Sheet1!$A:$F,6,0)</f>
        <v>Clifton Self</v>
      </c>
    </row>
    <row r="156" spans="1:16" hidden="1" x14ac:dyDescent="0.35">
      <c r="A156" t="s">
        <v>11</v>
      </c>
      <c r="B156">
        <v>202</v>
      </c>
      <c r="C156">
        <v>1</v>
      </c>
      <c r="D156" t="s">
        <v>377</v>
      </c>
      <c r="E156" t="s">
        <v>14</v>
      </c>
      <c r="F156">
        <v>69</v>
      </c>
      <c r="G156" t="s">
        <v>206</v>
      </c>
      <c r="H156" s="2">
        <v>0.12</v>
      </c>
      <c r="I156" s="4">
        <f t="shared" si="10"/>
        <v>8.2799999999999994</v>
      </c>
      <c r="J156">
        <v>69</v>
      </c>
      <c r="K156">
        <f t="shared" si="11"/>
        <v>6.9</v>
      </c>
      <c r="L156" s="5">
        <f t="shared" si="12"/>
        <v>15.18</v>
      </c>
      <c r="M156">
        <v>2700</v>
      </c>
      <c r="N156">
        <f t="shared" si="13"/>
        <v>27</v>
      </c>
      <c r="O156" s="10">
        <f t="shared" si="14"/>
        <v>18.72</v>
      </c>
      <c r="P156" t="str">
        <f>VLOOKUP(B156,[1]Sheet1!$A:$F,6,0)</f>
        <v>Thanh Tan Ngo</v>
      </c>
    </row>
    <row r="157" spans="1:16" hidden="1" x14ac:dyDescent="0.35">
      <c r="A157" t="s">
        <v>16</v>
      </c>
      <c r="B157">
        <v>119</v>
      </c>
      <c r="C157">
        <v>1</v>
      </c>
      <c r="D157" t="s">
        <v>367</v>
      </c>
      <c r="E157" t="s">
        <v>14</v>
      </c>
      <c r="F157">
        <v>70</v>
      </c>
      <c r="G157" t="s">
        <v>206</v>
      </c>
      <c r="H157" s="2">
        <v>0.12</v>
      </c>
      <c r="I157" s="4">
        <f t="shared" si="10"/>
        <v>8.4</v>
      </c>
      <c r="J157">
        <v>70</v>
      </c>
      <c r="K157">
        <f t="shared" si="11"/>
        <v>7</v>
      </c>
      <c r="L157" s="5">
        <f t="shared" si="12"/>
        <v>15.4</v>
      </c>
      <c r="M157">
        <v>2600</v>
      </c>
      <c r="N157">
        <f t="shared" si="13"/>
        <v>26</v>
      </c>
      <c r="O157" s="10">
        <f t="shared" si="14"/>
        <v>17.600000000000001</v>
      </c>
      <c r="P157" t="str">
        <f>VLOOKUP(B157,[1]Sheet1!$A:$F,6,0)</f>
        <v>Sandra Escobar</v>
      </c>
    </row>
    <row r="158" spans="1:16" hidden="1" x14ac:dyDescent="0.35">
      <c r="A158" t="s">
        <v>19</v>
      </c>
      <c r="B158">
        <v>187</v>
      </c>
      <c r="C158">
        <v>1</v>
      </c>
      <c r="D158" t="s">
        <v>333</v>
      </c>
      <c r="E158" t="s">
        <v>14</v>
      </c>
      <c r="F158">
        <v>70</v>
      </c>
      <c r="G158" t="s">
        <v>206</v>
      </c>
      <c r="H158" s="2">
        <v>0.12</v>
      </c>
      <c r="I158" s="4">
        <f t="shared" si="10"/>
        <v>8.4</v>
      </c>
      <c r="J158">
        <v>70</v>
      </c>
      <c r="K158">
        <f t="shared" si="11"/>
        <v>7</v>
      </c>
      <c r="L158" s="5">
        <f t="shared" si="12"/>
        <v>15.4</v>
      </c>
      <c r="M158">
        <v>2600</v>
      </c>
      <c r="N158">
        <f t="shared" si="13"/>
        <v>26</v>
      </c>
      <c r="O158" s="10">
        <f t="shared" si="14"/>
        <v>17.600000000000001</v>
      </c>
      <c r="P158" t="str">
        <f>VLOOKUP(B158,[1]Sheet1!$A:$F,6,0)</f>
        <v>nelson guandique</v>
      </c>
    </row>
    <row r="159" spans="1:16" hidden="1" x14ac:dyDescent="0.35">
      <c r="A159" t="s">
        <v>11</v>
      </c>
      <c r="B159">
        <v>228</v>
      </c>
      <c r="C159">
        <v>1</v>
      </c>
      <c r="D159" t="s">
        <v>344</v>
      </c>
      <c r="E159" t="s">
        <v>14</v>
      </c>
      <c r="F159">
        <v>89</v>
      </c>
      <c r="G159" t="s">
        <v>35</v>
      </c>
      <c r="H159" s="2">
        <v>7.0000000000000007E-2</v>
      </c>
      <c r="I159" s="4">
        <f t="shared" si="10"/>
        <v>6.23</v>
      </c>
      <c r="J159">
        <v>89</v>
      </c>
      <c r="K159">
        <f t="shared" si="11"/>
        <v>8.9</v>
      </c>
      <c r="L159" s="5">
        <f t="shared" si="12"/>
        <v>15.13</v>
      </c>
      <c r="M159">
        <v>2375</v>
      </c>
      <c r="N159">
        <f t="shared" si="13"/>
        <v>23.75</v>
      </c>
      <c r="O159" s="10">
        <f t="shared" si="14"/>
        <v>17.52</v>
      </c>
      <c r="P159" t="str">
        <f>VLOOKUP(B159,[1]Sheet1!$A:$F,6,0)</f>
        <v>Sandra Escobar</v>
      </c>
    </row>
    <row r="160" spans="1:16" hidden="1" x14ac:dyDescent="0.35">
      <c r="A160" t="s">
        <v>19</v>
      </c>
      <c r="B160">
        <v>167</v>
      </c>
      <c r="C160">
        <v>1</v>
      </c>
      <c r="D160" t="s">
        <v>419</v>
      </c>
      <c r="E160" t="s">
        <v>14</v>
      </c>
      <c r="F160">
        <v>46</v>
      </c>
      <c r="G160" t="s">
        <v>206</v>
      </c>
      <c r="H160" s="2">
        <v>0.12</v>
      </c>
      <c r="I160" s="4">
        <f t="shared" si="10"/>
        <v>5.52</v>
      </c>
      <c r="J160">
        <v>46</v>
      </c>
      <c r="K160">
        <f t="shared" si="11"/>
        <v>4.6000000000000005</v>
      </c>
      <c r="L160" s="5">
        <f t="shared" si="12"/>
        <v>10.120000000000001</v>
      </c>
      <c r="M160">
        <v>2300</v>
      </c>
      <c r="N160">
        <f t="shared" si="13"/>
        <v>23</v>
      </c>
      <c r="O160" s="10">
        <f t="shared" si="14"/>
        <v>17.48</v>
      </c>
      <c r="P160" t="str">
        <f>VLOOKUP(B160,[1]Sheet1!$A:$F,6,0)</f>
        <v>Julie Phillips</v>
      </c>
    </row>
    <row r="161" spans="1:16" hidden="1" x14ac:dyDescent="0.35">
      <c r="A161" t="s">
        <v>11</v>
      </c>
      <c r="B161">
        <v>207</v>
      </c>
      <c r="C161">
        <v>1</v>
      </c>
      <c r="D161" t="s">
        <v>439</v>
      </c>
      <c r="E161" t="s">
        <v>14</v>
      </c>
      <c r="F161">
        <v>36</v>
      </c>
      <c r="G161" t="s">
        <v>206</v>
      </c>
      <c r="H161" s="2">
        <v>0.12</v>
      </c>
      <c r="I161" s="4">
        <f t="shared" si="10"/>
        <v>4.32</v>
      </c>
      <c r="J161">
        <v>36</v>
      </c>
      <c r="K161">
        <f t="shared" si="11"/>
        <v>3.6</v>
      </c>
      <c r="L161" s="5">
        <f t="shared" si="12"/>
        <v>7.92</v>
      </c>
      <c r="M161">
        <v>2100</v>
      </c>
      <c r="N161">
        <f t="shared" si="13"/>
        <v>21</v>
      </c>
      <c r="O161" s="10">
        <f t="shared" si="14"/>
        <v>16.68</v>
      </c>
      <c r="P161" t="str">
        <f>VLOOKUP(B161,[1]Sheet1!$A:$F,6,0)</f>
        <v>Cheryl Markham</v>
      </c>
    </row>
    <row r="162" spans="1:16" hidden="1" x14ac:dyDescent="0.35">
      <c r="A162" t="s">
        <v>11</v>
      </c>
      <c r="B162">
        <v>137</v>
      </c>
      <c r="C162">
        <v>1</v>
      </c>
      <c r="D162" t="s">
        <v>294</v>
      </c>
      <c r="E162" t="s">
        <v>14</v>
      </c>
      <c r="F162">
        <v>137</v>
      </c>
      <c r="G162" t="s">
        <v>35</v>
      </c>
      <c r="H162" s="2">
        <v>7.0000000000000007E-2</v>
      </c>
      <c r="I162" s="4">
        <f t="shared" si="10"/>
        <v>9.5900000000000016</v>
      </c>
      <c r="J162">
        <v>137</v>
      </c>
      <c r="K162">
        <f t="shared" si="11"/>
        <v>13.700000000000001</v>
      </c>
      <c r="L162" s="5">
        <f t="shared" si="12"/>
        <v>23.290000000000003</v>
      </c>
      <c r="M162">
        <v>2600</v>
      </c>
      <c r="N162">
        <f t="shared" si="13"/>
        <v>26</v>
      </c>
      <c r="O162" s="10">
        <f t="shared" si="14"/>
        <v>16.409999999999997</v>
      </c>
      <c r="P162" t="str">
        <f>VLOOKUP(B162,[1]Sheet1!$A:$F,6,0)</f>
        <v>Cheryl Markham</v>
      </c>
    </row>
    <row r="163" spans="1:16" hidden="1" x14ac:dyDescent="0.35">
      <c r="A163" t="s">
        <v>11</v>
      </c>
      <c r="B163">
        <v>222</v>
      </c>
      <c r="C163">
        <v>1</v>
      </c>
      <c r="D163" t="s">
        <v>324</v>
      </c>
      <c r="E163" t="s">
        <v>14</v>
      </c>
      <c r="F163">
        <v>110</v>
      </c>
      <c r="G163" t="s">
        <v>206</v>
      </c>
      <c r="H163" s="2">
        <v>0.12</v>
      </c>
      <c r="I163" s="4">
        <f t="shared" si="10"/>
        <v>13.2</v>
      </c>
      <c r="J163">
        <v>110</v>
      </c>
      <c r="K163">
        <f t="shared" si="11"/>
        <v>11</v>
      </c>
      <c r="L163" s="5">
        <f t="shared" si="12"/>
        <v>24.2</v>
      </c>
      <c r="M163">
        <v>2900</v>
      </c>
      <c r="N163">
        <f t="shared" si="13"/>
        <v>29</v>
      </c>
      <c r="O163" s="10">
        <f t="shared" si="14"/>
        <v>15.8</v>
      </c>
      <c r="P163" t="str">
        <f>VLOOKUP(B163,[1]Sheet1!$A:$F,6,0)</f>
        <v>Regina Tobar</v>
      </c>
    </row>
    <row r="164" spans="1:16" hidden="1" x14ac:dyDescent="0.35">
      <c r="A164" t="s">
        <v>11</v>
      </c>
      <c r="B164">
        <v>148</v>
      </c>
      <c r="C164">
        <v>1</v>
      </c>
      <c r="D164" t="s">
        <v>365</v>
      </c>
      <c r="E164" t="s">
        <v>14</v>
      </c>
      <c r="F164">
        <v>71</v>
      </c>
      <c r="G164" t="s">
        <v>206</v>
      </c>
      <c r="H164" s="2">
        <v>0.12</v>
      </c>
      <c r="I164" s="4">
        <f t="shared" si="10"/>
        <v>8.52</v>
      </c>
      <c r="J164">
        <v>71</v>
      </c>
      <c r="K164">
        <f t="shared" si="11"/>
        <v>7.1000000000000005</v>
      </c>
      <c r="L164" s="5">
        <f t="shared" si="12"/>
        <v>15.620000000000001</v>
      </c>
      <c r="M164">
        <v>2400</v>
      </c>
      <c r="N164">
        <f t="shared" si="13"/>
        <v>24</v>
      </c>
      <c r="O164" s="10">
        <f t="shared" si="14"/>
        <v>15.48</v>
      </c>
      <c r="P164" t="str">
        <f>VLOOKUP(B164,[1]Sheet1!$A:$F,6,0)</f>
        <v>SHAUN BROWNE</v>
      </c>
    </row>
    <row r="165" spans="1:16" hidden="1" x14ac:dyDescent="0.35">
      <c r="A165" t="s">
        <v>19</v>
      </c>
      <c r="B165">
        <v>164</v>
      </c>
      <c r="C165">
        <v>1</v>
      </c>
      <c r="D165" t="s">
        <v>301</v>
      </c>
      <c r="E165" t="s">
        <v>14</v>
      </c>
      <c r="F165">
        <v>130</v>
      </c>
      <c r="G165" t="s">
        <v>206</v>
      </c>
      <c r="H165" s="2">
        <v>0.12</v>
      </c>
      <c r="I165" s="4">
        <f t="shared" si="10"/>
        <v>15.6</v>
      </c>
      <c r="J165">
        <v>130</v>
      </c>
      <c r="K165">
        <f t="shared" si="11"/>
        <v>13</v>
      </c>
      <c r="L165" s="5">
        <f t="shared" si="12"/>
        <v>28.6</v>
      </c>
      <c r="M165">
        <v>3100</v>
      </c>
      <c r="N165">
        <f t="shared" si="13"/>
        <v>31</v>
      </c>
      <c r="O165" s="10">
        <f t="shared" si="14"/>
        <v>15.4</v>
      </c>
      <c r="P165" t="str">
        <f>VLOOKUP(B165,[1]Sheet1!$A:$F,6,0)</f>
        <v>Angel Perez</v>
      </c>
    </row>
    <row r="166" spans="1:16" hidden="1" x14ac:dyDescent="0.35">
      <c r="A166" t="s">
        <v>11</v>
      </c>
      <c r="B166">
        <v>224</v>
      </c>
      <c r="C166">
        <v>1</v>
      </c>
      <c r="D166" t="s">
        <v>384</v>
      </c>
      <c r="E166" t="s">
        <v>14</v>
      </c>
      <c r="F166">
        <v>66</v>
      </c>
      <c r="G166" t="s">
        <v>206</v>
      </c>
      <c r="H166" s="2">
        <v>0.12</v>
      </c>
      <c r="I166" s="4">
        <f t="shared" si="10"/>
        <v>7.92</v>
      </c>
      <c r="J166">
        <v>66</v>
      </c>
      <c r="K166">
        <f t="shared" si="11"/>
        <v>6.6000000000000005</v>
      </c>
      <c r="L166" s="5">
        <f t="shared" si="12"/>
        <v>14.52</v>
      </c>
      <c r="M166">
        <v>2300</v>
      </c>
      <c r="N166">
        <f t="shared" si="13"/>
        <v>23</v>
      </c>
      <c r="O166" s="10">
        <f t="shared" si="14"/>
        <v>15.08</v>
      </c>
      <c r="P166" t="str">
        <f>VLOOKUP(B166,[1]Sheet1!$A:$F,6,0)</f>
        <v>Patricia Gottberg</v>
      </c>
    </row>
    <row r="167" spans="1:16" hidden="1" x14ac:dyDescent="0.35">
      <c r="A167" t="s">
        <v>26</v>
      </c>
      <c r="B167">
        <v>60</v>
      </c>
      <c r="C167">
        <v>1</v>
      </c>
      <c r="D167" t="s">
        <v>396</v>
      </c>
      <c r="E167" t="s">
        <v>14</v>
      </c>
      <c r="F167">
        <v>60</v>
      </c>
      <c r="G167" t="s">
        <v>15</v>
      </c>
      <c r="H167" s="2">
        <v>0.14000000000000001</v>
      </c>
      <c r="I167" s="4">
        <f t="shared" si="10"/>
        <v>8.4</v>
      </c>
      <c r="J167">
        <v>60</v>
      </c>
      <c r="K167">
        <f t="shared" si="11"/>
        <v>6</v>
      </c>
      <c r="L167" s="5">
        <f t="shared" si="12"/>
        <v>14.4</v>
      </c>
      <c r="M167">
        <v>2300</v>
      </c>
      <c r="N167">
        <f t="shared" si="13"/>
        <v>23</v>
      </c>
      <c r="O167" s="10">
        <f t="shared" si="14"/>
        <v>14.6</v>
      </c>
      <c r="P167" t="str">
        <f>VLOOKUP(B167,[1]Sheet1!$A:$F,6,0)</f>
        <v>danny cano</v>
      </c>
    </row>
    <row r="168" spans="1:16" hidden="1" x14ac:dyDescent="0.35">
      <c r="A168" t="s">
        <v>19</v>
      </c>
      <c r="B168">
        <v>10</v>
      </c>
      <c r="C168">
        <v>1</v>
      </c>
      <c r="D168" t="s">
        <v>331</v>
      </c>
      <c r="E168" t="s">
        <v>14</v>
      </c>
      <c r="F168">
        <v>100</v>
      </c>
      <c r="G168" t="s">
        <v>276</v>
      </c>
      <c r="H168" s="2">
        <v>0.16</v>
      </c>
      <c r="I168" s="4">
        <f t="shared" si="10"/>
        <v>16</v>
      </c>
      <c r="J168">
        <v>100</v>
      </c>
      <c r="K168">
        <f t="shared" si="11"/>
        <v>10</v>
      </c>
      <c r="L168" s="5">
        <f t="shared" si="12"/>
        <v>26</v>
      </c>
      <c r="M168">
        <v>3000</v>
      </c>
      <c r="N168">
        <f t="shared" si="13"/>
        <v>30</v>
      </c>
      <c r="O168" s="10">
        <f t="shared" si="14"/>
        <v>14</v>
      </c>
      <c r="P168" t="str">
        <f>VLOOKUP(B168,[1]Sheet1!$A:$F,6,0)</f>
        <v>SHAUN BROWNE</v>
      </c>
    </row>
    <row r="169" spans="1:16" hidden="1" x14ac:dyDescent="0.35">
      <c r="A169" t="s">
        <v>26</v>
      </c>
      <c r="B169">
        <v>356</v>
      </c>
      <c r="C169">
        <v>1</v>
      </c>
      <c r="D169" t="s">
        <v>333</v>
      </c>
      <c r="E169" t="s">
        <v>14</v>
      </c>
      <c r="F169">
        <v>100</v>
      </c>
      <c r="G169" t="s">
        <v>206</v>
      </c>
      <c r="H169" s="2">
        <v>0.12</v>
      </c>
      <c r="I169" s="4">
        <f t="shared" si="10"/>
        <v>12</v>
      </c>
      <c r="J169">
        <v>100</v>
      </c>
      <c r="K169">
        <f t="shared" si="11"/>
        <v>10</v>
      </c>
      <c r="L169" s="5">
        <f t="shared" si="12"/>
        <v>22</v>
      </c>
      <c r="M169">
        <v>2600</v>
      </c>
      <c r="N169">
        <f t="shared" si="13"/>
        <v>26</v>
      </c>
      <c r="O169" s="10">
        <f t="shared" si="14"/>
        <v>14</v>
      </c>
      <c r="P169" t="str">
        <f>VLOOKUP(B169,[1]Sheet1!$A:$F,6,0)</f>
        <v>JAVIER IGNACIO FERNANDEZ GONZALO</v>
      </c>
    </row>
    <row r="170" spans="1:16" hidden="1" x14ac:dyDescent="0.35">
      <c r="A170" t="s">
        <v>19</v>
      </c>
      <c r="B170">
        <v>178</v>
      </c>
      <c r="C170">
        <v>1</v>
      </c>
      <c r="D170" t="s">
        <v>377</v>
      </c>
      <c r="E170" t="s">
        <v>14</v>
      </c>
      <c r="F170">
        <v>69</v>
      </c>
      <c r="G170" t="s">
        <v>206</v>
      </c>
      <c r="H170" s="2">
        <v>0.12</v>
      </c>
      <c r="I170" s="4">
        <f t="shared" si="10"/>
        <v>8.2799999999999994</v>
      </c>
      <c r="J170">
        <v>69</v>
      </c>
      <c r="K170">
        <f t="shared" si="11"/>
        <v>6.9</v>
      </c>
      <c r="L170" s="5">
        <f t="shared" si="12"/>
        <v>15.18</v>
      </c>
      <c r="M170">
        <v>2200</v>
      </c>
      <c r="N170">
        <f t="shared" si="13"/>
        <v>22</v>
      </c>
      <c r="O170" s="10">
        <f t="shared" si="14"/>
        <v>13.72</v>
      </c>
      <c r="P170" t="str">
        <f>VLOOKUP(B170,[1]Sheet1!$A:$F,6,0)</f>
        <v>Cheryl Markham</v>
      </c>
    </row>
    <row r="171" spans="1:16" hidden="1" x14ac:dyDescent="0.35">
      <c r="A171" t="s">
        <v>19</v>
      </c>
      <c r="B171">
        <v>96</v>
      </c>
      <c r="C171">
        <v>1</v>
      </c>
      <c r="D171" t="s">
        <v>404</v>
      </c>
      <c r="E171" t="s">
        <v>14</v>
      </c>
      <c r="F171">
        <v>53</v>
      </c>
      <c r="G171" t="s">
        <v>206</v>
      </c>
      <c r="H171" s="2">
        <v>0.12</v>
      </c>
      <c r="I171" s="4">
        <f t="shared" si="10"/>
        <v>6.3599999999999994</v>
      </c>
      <c r="J171">
        <v>53</v>
      </c>
      <c r="K171">
        <f t="shared" si="11"/>
        <v>5.3000000000000007</v>
      </c>
      <c r="L171" s="5">
        <f t="shared" si="12"/>
        <v>11.66</v>
      </c>
      <c r="M171">
        <v>2000</v>
      </c>
      <c r="N171">
        <f t="shared" si="13"/>
        <v>20</v>
      </c>
      <c r="O171" s="10">
        <f t="shared" si="14"/>
        <v>13.64</v>
      </c>
      <c r="P171" t="str">
        <f>VLOOKUP(B171,[1]Sheet1!$A:$F,6,0)</f>
        <v>Jeremy Lemmons</v>
      </c>
    </row>
    <row r="172" spans="1:16" hidden="1" x14ac:dyDescent="0.35">
      <c r="A172" t="s">
        <v>26</v>
      </c>
      <c r="B172">
        <v>68</v>
      </c>
      <c r="C172">
        <v>1</v>
      </c>
      <c r="D172" t="s">
        <v>364</v>
      </c>
      <c r="E172" t="s">
        <v>14</v>
      </c>
      <c r="F172">
        <v>72</v>
      </c>
      <c r="G172" t="s">
        <v>206</v>
      </c>
      <c r="H172" s="2">
        <v>0.12</v>
      </c>
      <c r="I172" s="4">
        <f t="shared" si="10"/>
        <v>8.64</v>
      </c>
      <c r="J172">
        <v>72</v>
      </c>
      <c r="K172">
        <f t="shared" si="11"/>
        <v>7.2</v>
      </c>
      <c r="L172" s="5">
        <f t="shared" si="12"/>
        <v>15.84</v>
      </c>
      <c r="M172">
        <v>2200</v>
      </c>
      <c r="N172">
        <f t="shared" si="13"/>
        <v>22</v>
      </c>
      <c r="O172" s="10">
        <f t="shared" si="14"/>
        <v>13.36</v>
      </c>
      <c r="P172" t="str">
        <f>VLOOKUP(B172,[1]Sheet1!$A:$F,6,0)</f>
        <v>freddie hejjo</v>
      </c>
    </row>
    <row r="173" spans="1:16" hidden="1" x14ac:dyDescent="0.35">
      <c r="A173" t="s">
        <v>19</v>
      </c>
      <c r="B173">
        <v>377</v>
      </c>
      <c r="C173">
        <v>1</v>
      </c>
      <c r="D173" t="s">
        <v>471</v>
      </c>
      <c r="E173" t="s">
        <v>14</v>
      </c>
      <c r="F173">
        <v>20</v>
      </c>
      <c r="G173" t="s">
        <v>206</v>
      </c>
      <c r="H173" s="2">
        <v>0.12</v>
      </c>
      <c r="I173" s="4">
        <f t="shared" si="10"/>
        <v>2.4</v>
      </c>
      <c r="J173">
        <v>20</v>
      </c>
      <c r="K173">
        <f t="shared" si="11"/>
        <v>2</v>
      </c>
      <c r="L173" s="5">
        <f t="shared" si="12"/>
        <v>4.4000000000000004</v>
      </c>
      <c r="M173">
        <v>1550</v>
      </c>
      <c r="N173">
        <f t="shared" si="13"/>
        <v>15.5</v>
      </c>
      <c r="O173" s="10">
        <f t="shared" si="14"/>
        <v>13.1</v>
      </c>
      <c r="P173" t="str">
        <f>VLOOKUP(B173,[1]Sheet1!$A:$F,6,0)</f>
        <v>Margaret Lynch-Barone</v>
      </c>
    </row>
    <row r="174" spans="1:16" hidden="1" x14ac:dyDescent="0.35">
      <c r="A174" t="s">
        <v>26</v>
      </c>
      <c r="B174">
        <v>61</v>
      </c>
      <c r="C174">
        <v>1</v>
      </c>
      <c r="D174" t="s">
        <v>397</v>
      </c>
      <c r="E174" t="s">
        <v>14</v>
      </c>
      <c r="F174">
        <v>60</v>
      </c>
      <c r="G174" t="s">
        <v>25</v>
      </c>
      <c r="H174" s="2">
        <v>0.2</v>
      </c>
      <c r="I174" s="4">
        <f t="shared" si="10"/>
        <v>12</v>
      </c>
      <c r="J174">
        <v>60</v>
      </c>
      <c r="K174">
        <f t="shared" si="11"/>
        <v>6</v>
      </c>
      <c r="L174" s="5">
        <f t="shared" si="12"/>
        <v>18</v>
      </c>
      <c r="M174">
        <v>2500</v>
      </c>
      <c r="N174">
        <f t="shared" si="13"/>
        <v>25</v>
      </c>
      <c r="O174" s="10">
        <f t="shared" si="14"/>
        <v>13</v>
      </c>
      <c r="P174" t="str">
        <f>VLOOKUP(B174,[1]Sheet1!$A:$F,6,0)</f>
        <v>Jessica Fleming</v>
      </c>
    </row>
    <row r="175" spans="1:16" hidden="1" x14ac:dyDescent="0.35">
      <c r="A175" t="s">
        <v>16</v>
      </c>
      <c r="B175">
        <v>18</v>
      </c>
      <c r="C175">
        <v>1</v>
      </c>
      <c r="D175" t="s">
        <v>375</v>
      </c>
      <c r="E175" t="s">
        <v>14</v>
      </c>
      <c r="F175">
        <v>69</v>
      </c>
      <c r="G175" t="s">
        <v>276</v>
      </c>
      <c r="H175" s="2">
        <v>0.16</v>
      </c>
      <c r="I175" s="4">
        <f t="shared" si="10"/>
        <v>11.040000000000001</v>
      </c>
      <c r="J175">
        <v>69</v>
      </c>
      <c r="K175">
        <f t="shared" si="11"/>
        <v>6.9</v>
      </c>
      <c r="L175" s="5">
        <f t="shared" si="12"/>
        <v>17.940000000000001</v>
      </c>
      <c r="M175">
        <v>2400</v>
      </c>
      <c r="N175">
        <f t="shared" si="13"/>
        <v>24</v>
      </c>
      <c r="O175" s="10">
        <f t="shared" si="14"/>
        <v>12.959999999999999</v>
      </c>
      <c r="P175" t="str">
        <f>VLOOKUP(B175,[1]Sheet1!$A:$F,6,0)</f>
        <v>Sandra Escobar</v>
      </c>
    </row>
    <row r="176" spans="1:16" hidden="1" x14ac:dyDescent="0.35">
      <c r="A176" t="s">
        <v>19</v>
      </c>
      <c r="B176">
        <v>160</v>
      </c>
      <c r="C176">
        <v>1</v>
      </c>
      <c r="D176" t="s">
        <v>408</v>
      </c>
      <c r="E176" t="s">
        <v>14</v>
      </c>
      <c r="F176">
        <v>50</v>
      </c>
      <c r="G176" t="s">
        <v>35</v>
      </c>
      <c r="H176" s="2">
        <v>7.0000000000000007E-2</v>
      </c>
      <c r="I176" s="4">
        <f t="shared" si="10"/>
        <v>3.5000000000000004</v>
      </c>
      <c r="J176">
        <v>50</v>
      </c>
      <c r="K176">
        <f t="shared" si="11"/>
        <v>5</v>
      </c>
      <c r="L176" s="5">
        <f t="shared" si="12"/>
        <v>8.5</v>
      </c>
      <c r="M176">
        <v>1625</v>
      </c>
      <c r="N176">
        <f t="shared" si="13"/>
        <v>16.25</v>
      </c>
      <c r="O176" s="10">
        <f t="shared" si="14"/>
        <v>12.75</v>
      </c>
      <c r="P176" t="str">
        <f>VLOOKUP(B176,[1]Sheet1!$A:$F,6,0)</f>
        <v>Cynthia Echols</v>
      </c>
    </row>
    <row r="177" spans="1:16" hidden="1" x14ac:dyDescent="0.35">
      <c r="A177" t="s">
        <v>11</v>
      </c>
      <c r="B177">
        <v>205</v>
      </c>
      <c r="C177">
        <v>1</v>
      </c>
      <c r="D177" t="s">
        <v>372</v>
      </c>
      <c r="E177" t="s">
        <v>14</v>
      </c>
      <c r="F177">
        <v>70</v>
      </c>
      <c r="G177" t="s">
        <v>206</v>
      </c>
      <c r="H177" s="2">
        <v>0.12</v>
      </c>
      <c r="I177" s="4">
        <f t="shared" si="10"/>
        <v>8.4</v>
      </c>
      <c r="J177">
        <v>70</v>
      </c>
      <c r="K177">
        <f t="shared" si="11"/>
        <v>7</v>
      </c>
      <c r="L177" s="5">
        <f t="shared" si="12"/>
        <v>15.4</v>
      </c>
      <c r="M177">
        <v>2100</v>
      </c>
      <c r="N177">
        <f t="shared" si="13"/>
        <v>21</v>
      </c>
      <c r="O177" s="10">
        <f t="shared" si="14"/>
        <v>12.6</v>
      </c>
      <c r="P177" t="str">
        <f>VLOOKUP(B177,[1]Sheet1!$A:$F,6,0)</f>
        <v>Jeremy Lemmons</v>
      </c>
    </row>
    <row r="178" spans="1:16" hidden="1" x14ac:dyDescent="0.35">
      <c r="A178" t="s">
        <v>16</v>
      </c>
      <c r="B178">
        <v>124</v>
      </c>
      <c r="C178">
        <v>1</v>
      </c>
      <c r="D178" t="s">
        <v>437</v>
      </c>
      <c r="E178" t="s">
        <v>14</v>
      </c>
      <c r="F178">
        <v>37</v>
      </c>
      <c r="G178" t="s">
        <v>206</v>
      </c>
      <c r="H178" s="2">
        <v>0.12</v>
      </c>
      <c r="I178" s="4">
        <f t="shared" si="10"/>
        <v>4.4399999999999995</v>
      </c>
      <c r="J178">
        <v>37</v>
      </c>
      <c r="K178">
        <f t="shared" si="11"/>
        <v>3.7</v>
      </c>
      <c r="L178" s="5">
        <f t="shared" si="12"/>
        <v>8.14</v>
      </c>
      <c r="M178">
        <v>1700</v>
      </c>
      <c r="N178">
        <f t="shared" si="13"/>
        <v>17</v>
      </c>
      <c r="O178" s="10">
        <f t="shared" si="14"/>
        <v>12.56</v>
      </c>
      <c r="P178" t="str">
        <f>VLOOKUP(B178,[1]Sheet1!$A:$F,6,0)</f>
        <v>Noble Sifat</v>
      </c>
    </row>
    <row r="179" spans="1:16" hidden="1" x14ac:dyDescent="0.35">
      <c r="A179" t="s">
        <v>26</v>
      </c>
      <c r="B179">
        <v>67</v>
      </c>
      <c r="C179">
        <v>1</v>
      </c>
      <c r="D179" t="s">
        <v>321</v>
      </c>
      <c r="E179" t="s">
        <v>14</v>
      </c>
      <c r="F179">
        <v>110</v>
      </c>
      <c r="G179" t="s">
        <v>276</v>
      </c>
      <c r="H179" s="2">
        <v>0.16</v>
      </c>
      <c r="I179" s="4">
        <f t="shared" si="10"/>
        <v>17.600000000000001</v>
      </c>
      <c r="J179">
        <v>110</v>
      </c>
      <c r="K179">
        <f t="shared" si="11"/>
        <v>11</v>
      </c>
      <c r="L179" s="5">
        <f t="shared" si="12"/>
        <v>28.6</v>
      </c>
      <c r="M179">
        <v>3000</v>
      </c>
      <c r="N179">
        <f t="shared" si="13"/>
        <v>30</v>
      </c>
      <c r="O179" s="10">
        <f t="shared" si="14"/>
        <v>12.399999999999999</v>
      </c>
      <c r="P179" t="str">
        <f>VLOOKUP(B179,[1]Sheet1!$A:$F,6,0)</f>
        <v>ahsan quddus</v>
      </c>
    </row>
    <row r="180" spans="1:16" hidden="1" x14ac:dyDescent="0.35">
      <c r="A180" t="s">
        <v>16</v>
      </c>
      <c r="B180">
        <v>121</v>
      </c>
      <c r="C180">
        <v>1</v>
      </c>
      <c r="D180" t="s">
        <v>382</v>
      </c>
      <c r="E180" t="s">
        <v>14</v>
      </c>
      <c r="F180">
        <v>66</v>
      </c>
      <c r="G180" t="s">
        <v>206</v>
      </c>
      <c r="H180" s="2">
        <v>0.12</v>
      </c>
      <c r="I180" s="4">
        <f t="shared" si="10"/>
        <v>7.92</v>
      </c>
      <c r="J180">
        <v>66</v>
      </c>
      <c r="K180">
        <f t="shared" si="11"/>
        <v>6.6000000000000005</v>
      </c>
      <c r="L180" s="5">
        <f t="shared" si="12"/>
        <v>14.52</v>
      </c>
      <c r="M180">
        <v>2000</v>
      </c>
      <c r="N180">
        <f t="shared" si="13"/>
        <v>20</v>
      </c>
      <c r="O180" s="10">
        <f t="shared" si="14"/>
        <v>12.08</v>
      </c>
      <c r="P180" t="str">
        <f>VLOOKUP(B180,[1]Sheet1!$A:$F,6,0)</f>
        <v>Tommy Do</v>
      </c>
    </row>
    <row r="181" spans="1:16" hidden="1" x14ac:dyDescent="0.35">
      <c r="A181" t="s">
        <v>26</v>
      </c>
      <c r="B181">
        <v>360</v>
      </c>
      <c r="C181">
        <v>1</v>
      </c>
      <c r="D181" t="s">
        <v>426</v>
      </c>
      <c r="E181" t="s">
        <v>14</v>
      </c>
      <c r="F181">
        <v>41</v>
      </c>
      <c r="G181" t="s">
        <v>206</v>
      </c>
      <c r="H181" s="2">
        <v>0.12</v>
      </c>
      <c r="I181" s="4">
        <f t="shared" si="10"/>
        <v>4.92</v>
      </c>
      <c r="J181">
        <v>41</v>
      </c>
      <c r="K181">
        <f t="shared" si="11"/>
        <v>4.1000000000000005</v>
      </c>
      <c r="L181" s="5">
        <f t="shared" si="12"/>
        <v>9.02</v>
      </c>
      <c r="M181">
        <v>1700</v>
      </c>
      <c r="N181">
        <f t="shared" si="13"/>
        <v>17</v>
      </c>
      <c r="O181" s="10">
        <f t="shared" si="14"/>
        <v>12.08</v>
      </c>
      <c r="P181" t="str">
        <f>VLOOKUP(B181,[1]Sheet1!$A:$F,6,0)</f>
        <v>Staci Miller</v>
      </c>
    </row>
    <row r="182" spans="1:16" hidden="1" x14ac:dyDescent="0.35">
      <c r="A182" t="s">
        <v>26</v>
      </c>
      <c r="B182">
        <v>57</v>
      </c>
      <c r="C182">
        <v>1</v>
      </c>
      <c r="D182" t="s">
        <v>369</v>
      </c>
      <c r="E182" t="s">
        <v>14</v>
      </c>
      <c r="F182">
        <v>70</v>
      </c>
      <c r="G182" t="s">
        <v>25</v>
      </c>
      <c r="H182" s="2">
        <v>0.2</v>
      </c>
      <c r="I182" s="4">
        <f t="shared" si="10"/>
        <v>14</v>
      </c>
      <c r="J182">
        <v>70</v>
      </c>
      <c r="K182">
        <f t="shared" si="11"/>
        <v>7</v>
      </c>
      <c r="L182" s="5">
        <f t="shared" si="12"/>
        <v>21</v>
      </c>
      <c r="M182">
        <v>2600</v>
      </c>
      <c r="N182">
        <f t="shared" si="13"/>
        <v>26</v>
      </c>
      <c r="O182" s="10">
        <f t="shared" si="14"/>
        <v>12</v>
      </c>
      <c r="P182" t="str">
        <f>VLOOKUP(B182,[1]Sheet1!$A:$F,6,0)</f>
        <v>Adalberto Jasso</v>
      </c>
    </row>
    <row r="183" spans="1:16" hidden="1" x14ac:dyDescent="0.35">
      <c r="A183" t="s">
        <v>26</v>
      </c>
      <c r="B183">
        <v>55</v>
      </c>
      <c r="C183">
        <v>1</v>
      </c>
      <c r="D183" t="s">
        <v>452</v>
      </c>
      <c r="E183" t="s">
        <v>14</v>
      </c>
      <c r="F183">
        <v>30</v>
      </c>
      <c r="G183" t="s">
        <v>25</v>
      </c>
      <c r="H183" s="2">
        <v>0.2</v>
      </c>
      <c r="I183" s="4">
        <f t="shared" si="10"/>
        <v>6</v>
      </c>
      <c r="J183">
        <v>30</v>
      </c>
      <c r="K183">
        <f t="shared" si="11"/>
        <v>3</v>
      </c>
      <c r="L183" s="5">
        <f t="shared" si="12"/>
        <v>9</v>
      </c>
      <c r="M183">
        <v>1800</v>
      </c>
      <c r="N183">
        <f t="shared" si="13"/>
        <v>18</v>
      </c>
      <c r="O183" s="10">
        <f t="shared" si="14"/>
        <v>12</v>
      </c>
      <c r="P183" t="str">
        <f>VLOOKUP(B183,[1]Sheet1!$A:$F,6,0)</f>
        <v>JAVIER IGNACIO FERNANDEZ GONZALO</v>
      </c>
    </row>
    <row r="184" spans="1:16" hidden="1" x14ac:dyDescent="0.35">
      <c r="A184" t="s">
        <v>11</v>
      </c>
      <c r="B184">
        <v>216</v>
      </c>
      <c r="C184">
        <v>1</v>
      </c>
      <c r="D184" t="s">
        <v>350</v>
      </c>
      <c r="E184" t="s">
        <v>14</v>
      </c>
      <c r="F184">
        <v>82</v>
      </c>
      <c r="G184" t="s">
        <v>35</v>
      </c>
      <c r="H184" s="2">
        <v>7.0000000000000007E-2</v>
      </c>
      <c r="I184" s="4">
        <f t="shared" si="10"/>
        <v>5.74</v>
      </c>
      <c r="J184">
        <v>82</v>
      </c>
      <c r="K184">
        <f t="shared" si="11"/>
        <v>8.2000000000000011</v>
      </c>
      <c r="L184" s="5">
        <f t="shared" si="12"/>
        <v>13.940000000000001</v>
      </c>
      <c r="M184">
        <v>1750</v>
      </c>
      <c r="N184">
        <f t="shared" si="13"/>
        <v>17.5</v>
      </c>
      <c r="O184" s="10">
        <f t="shared" si="14"/>
        <v>11.76</v>
      </c>
      <c r="P184" t="str">
        <f>VLOOKUP(B184,[1]Sheet1!$A:$F,6,0)</f>
        <v>Cynthia Echols</v>
      </c>
    </row>
    <row r="185" spans="1:16" hidden="1" x14ac:dyDescent="0.35">
      <c r="A185" t="s">
        <v>26</v>
      </c>
      <c r="B185">
        <v>353</v>
      </c>
      <c r="C185">
        <v>1</v>
      </c>
      <c r="D185" t="s">
        <v>358</v>
      </c>
      <c r="E185" t="s">
        <v>14</v>
      </c>
      <c r="F185">
        <v>76</v>
      </c>
      <c r="G185" t="s">
        <v>206</v>
      </c>
      <c r="H185" s="2">
        <v>0.12</v>
      </c>
      <c r="I185" s="4">
        <f t="shared" si="10"/>
        <v>9.1199999999999992</v>
      </c>
      <c r="J185">
        <v>76</v>
      </c>
      <c r="K185">
        <f t="shared" si="11"/>
        <v>7.6000000000000005</v>
      </c>
      <c r="L185" s="5">
        <f t="shared" si="12"/>
        <v>16.72</v>
      </c>
      <c r="M185">
        <v>2078</v>
      </c>
      <c r="N185">
        <f t="shared" si="13"/>
        <v>20.78</v>
      </c>
      <c r="O185" s="10">
        <f t="shared" si="14"/>
        <v>11.660000000000002</v>
      </c>
      <c r="P185" t="str">
        <f>VLOOKUP(B185,[1]Sheet1!$A:$F,6,0)</f>
        <v>JAVIER IGNACIO FERNANDEZ GONZALO</v>
      </c>
    </row>
    <row r="186" spans="1:16" hidden="1" x14ac:dyDescent="0.35">
      <c r="A186" t="s">
        <v>11</v>
      </c>
      <c r="B186">
        <v>146</v>
      </c>
      <c r="C186">
        <v>1</v>
      </c>
      <c r="D186" t="s">
        <v>389</v>
      </c>
      <c r="E186" t="s">
        <v>14</v>
      </c>
      <c r="F186">
        <v>63</v>
      </c>
      <c r="G186" t="s">
        <v>206</v>
      </c>
      <c r="H186" s="2">
        <v>0.12</v>
      </c>
      <c r="I186" s="4">
        <f t="shared" si="10"/>
        <v>7.56</v>
      </c>
      <c r="J186">
        <v>63</v>
      </c>
      <c r="K186">
        <f t="shared" si="11"/>
        <v>6.3000000000000007</v>
      </c>
      <c r="L186" s="5">
        <f t="shared" si="12"/>
        <v>13.86</v>
      </c>
      <c r="M186">
        <v>1850</v>
      </c>
      <c r="N186">
        <f t="shared" si="13"/>
        <v>18.5</v>
      </c>
      <c r="O186" s="10">
        <f t="shared" si="14"/>
        <v>10.940000000000001</v>
      </c>
      <c r="P186" t="str">
        <f>VLOOKUP(B186,[1]Sheet1!$A:$F,6,0)</f>
        <v>Pamela Lockett</v>
      </c>
    </row>
    <row r="187" spans="1:16" hidden="1" x14ac:dyDescent="0.35">
      <c r="A187" t="s">
        <v>16</v>
      </c>
      <c r="B187">
        <v>17</v>
      </c>
      <c r="C187">
        <v>1</v>
      </c>
      <c r="D187" t="s">
        <v>339</v>
      </c>
      <c r="E187" t="s">
        <v>14</v>
      </c>
      <c r="F187">
        <v>96</v>
      </c>
      <c r="G187" t="s">
        <v>276</v>
      </c>
      <c r="H187" s="2">
        <v>0.16</v>
      </c>
      <c r="I187" s="4">
        <f t="shared" si="10"/>
        <v>15.36</v>
      </c>
      <c r="J187">
        <v>96</v>
      </c>
      <c r="K187">
        <f t="shared" si="11"/>
        <v>9.6000000000000014</v>
      </c>
      <c r="L187" s="5">
        <f t="shared" si="12"/>
        <v>24.96</v>
      </c>
      <c r="M187">
        <v>2600</v>
      </c>
      <c r="N187">
        <f t="shared" si="13"/>
        <v>26</v>
      </c>
      <c r="O187" s="10">
        <f t="shared" si="14"/>
        <v>10.64</v>
      </c>
      <c r="P187" t="str">
        <f>VLOOKUP(B187,[1]Sheet1!$A:$F,6,0)</f>
        <v>Linh Nguyen</v>
      </c>
    </row>
    <row r="188" spans="1:16" hidden="1" x14ac:dyDescent="0.35">
      <c r="A188" t="s">
        <v>19</v>
      </c>
      <c r="B188">
        <v>11</v>
      </c>
      <c r="C188">
        <v>1</v>
      </c>
      <c r="D188" t="s">
        <v>339</v>
      </c>
      <c r="E188" t="s">
        <v>14</v>
      </c>
      <c r="F188">
        <v>96</v>
      </c>
      <c r="G188" t="s">
        <v>276</v>
      </c>
      <c r="H188" s="2">
        <v>0.16</v>
      </c>
      <c r="I188" s="4">
        <f t="shared" si="10"/>
        <v>15.36</v>
      </c>
      <c r="J188">
        <v>96</v>
      </c>
      <c r="K188">
        <f t="shared" si="11"/>
        <v>9.6000000000000014</v>
      </c>
      <c r="L188" s="5">
        <f t="shared" si="12"/>
        <v>24.96</v>
      </c>
      <c r="M188">
        <v>2600</v>
      </c>
      <c r="N188">
        <f t="shared" si="13"/>
        <v>26</v>
      </c>
      <c r="O188" s="10">
        <f t="shared" si="14"/>
        <v>10.64</v>
      </c>
      <c r="P188" t="str">
        <f>VLOOKUP(B188,[1]Sheet1!$A:$F,6,0)</f>
        <v>Christopher Hensley</v>
      </c>
    </row>
    <row r="189" spans="1:16" hidden="1" x14ac:dyDescent="0.35">
      <c r="A189" t="s">
        <v>19</v>
      </c>
      <c r="B189">
        <v>153</v>
      </c>
      <c r="C189">
        <v>1</v>
      </c>
      <c r="D189" t="s">
        <v>310</v>
      </c>
      <c r="E189" t="s">
        <v>14</v>
      </c>
      <c r="F189">
        <v>120</v>
      </c>
      <c r="G189" t="s">
        <v>206</v>
      </c>
      <c r="H189" s="2">
        <v>0.12</v>
      </c>
      <c r="I189" s="4">
        <f t="shared" si="10"/>
        <v>14.399999999999999</v>
      </c>
      <c r="J189">
        <v>120</v>
      </c>
      <c r="K189">
        <f t="shared" si="11"/>
        <v>12</v>
      </c>
      <c r="L189" s="5">
        <f t="shared" si="12"/>
        <v>26.4</v>
      </c>
      <c r="M189">
        <v>2500</v>
      </c>
      <c r="N189">
        <f t="shared" si="13"/>
        <v>25</v>
      </c>
      <c r="O189" s="10">
        <f t="shared" si="14"/>
        <v>10.600000000000001</v>
      </c>
      <c r="P189" t="str">
        <f>VLOOKUP(B189,[1]Sheet1!$A:$F,6,0)</f>
        <v>SHAUN BROWNE</v>
      </c>
    </row>
    <row r="190" spans="1:16" hidden="1" x14ac:dyDescent="0.35">
      <c r="A190" t="s">
        <v>19</v>
      </c>
      <c r="B190">
        <v>189</v>
      </c>
      <c r="C190">
        <v>1</v>
      </c>
      <c r="D190" t="s">
        <v>270</v>
      </c>
      <c r="E190" t="s">
        <v>14</v>
      </c>
      <c r="F190">
        <v>164</v>
      </c>
      <c r="G190" t="s">
        <v>206</v>
      </c>
      <c r="H190" s="2">
        <v>0.12</v>
      </c>
      <c r="I190" s="4">
        <f t="shared" si="10"/>
        <v>19.68</v>
      </c>
      <c r="J190">
        <v>164</v>
      </c>
      <c r="K190">
        <f t="shared" si="11"/>
        <v>16.400000000000002</v>
      </c>
      <c r="L190" s="5">
        <f t="shared" si="12"/>
        <v>36.08</v>
      </c>
      <c r="M190">
        <v>3000</v>
      </c>
      <c r="N190">
        <f t="shared" si="13"/>
        <v>30</v>
      </c>
      <c r="O190" s="10">
        <f t="shared" si="14"/>
        <v>10.32</v>
      </c>
      <c r="P190" t="str">
        <f>VLOOKUP(B190,[1]Sheet1!$A:$F,6,0)</f>
        <v>Matt Montes</v>
      </c>
    </row>
    <row r="191" spans="1:16" hidden="1" x14ac:dyDescent="0.35">
      <c r="A191" t="s">
        <v>16</v>
      </c>
      <c r="B191">
        <v>102</v>
      </c>
      <c r="C191">
        <v>1</v>
      </c>
      <c r="D191" t="s">
        <v>391</v>
      </c>
      <c r="E191" t="s">
        <v>14</v>
      </c>
      <c r="F191">
        <v>60</v>
      </c>
      <c r="G191" t="s">
        <v>206</v>
      </c>
      <c r="H191" s="2">
        <v>0.12</v>
      </c>
      <c r="I191" s="4">
        <f t="shared" si="10"/>
        <v>7.1999999999999993</v>
      </c>
      <c r="J191">
        <v>60</v>
      </c>
      <c r="K191">
        <f t="shared" si="11"/>
        <v>6</v>
      </c>
      <c r="L191" s="5">
        <f t="shared" si="12"/>
        <v>13.2</v>
      </c>
      <c r="M191">
        <v>1725</v>
      </c>
      <c r="N191">
        <f t="shared" si="13"/>
        <v>17.25</v>
      </c>
      <c r="O191" s="10">
        <f t="shared" si="14"/>
        <v>10.050000000000001</v>
      </c>
      <c r="P191" t="str">
        <f>VLOOKUP(B191,[1]Sheet1!$A:$F,6,0)</f>
        <v>Thanh Tan Ngo</v>
      </c>
    </row>
    <row r="192" spans="1:16" hidden="1" x14ac:dyDescent="0.35">
      <c r="A192" t="s">
        <v>16</v>
      </c>
      <c r="B192">
        <v>123</v>
      </c>
      <c r="C192">
        <v>1</v>
      </c>
      <c r="D192" t="s">
        <v>347</v>
      </c>
      <c r="E192" t="s">
        <v>14</v>
      </c>
      <c r="F192">
        <v>83</v>
      </c>
      <c r="G192" t="s">
        <v>206</v>
      </c>
      <c r="H192" s="2">
        <v>0.12</v>
      </c>
      <c r="I192" s="4">
        <f t="shared" si="10"/>
        <v>9.9599999999999991</v>
      </c>
      <c r="J192">
        <v>83</v>
      </c>
      <c r="K192">
        <f t="shared" si="11"/>
        <v>8.3000000000000007</v>
      </c>
      <c r="L192" s="5">
        <f t="shared" si="12"/>
        <v>18.259999999999998</v>
      </c>
      <c r="M192">
        <v>2000</v>
      </c>
      <c r="N192">
        <f t="shared" si="13"/>
        <v>20</v>
      </c>
      <c r="O192" s="10">
        <f t="shared" si="14"/>
        <v>10.040000000000001</v>
      </c>
      <c r="P192" t="str">
        <f>VLOOKUP(B192,[1]Sheet1!$A:$F,6,0)</f>
        <v>Patricia Gottberg</v>
      </c>
    </row>
    <row r="193" spans="1:16" hidden="1" x14ac:dyDescent="0.35">
      <c r="A193" t="s">
        <v>26</v>
      </c>
      <c r="B193">
        <v>32</v>
      </c>
      <c r="C193">
        <v>1</v>
      </c>
      <c r="D193" t="s">
        <v>383</v>
      </c>
      <c r="E193" t="s">
        <v>14</v>
      </c>
      <c r="F193">
        <v>66</v>
      </c>
      <c r="G193" t="s">
        <v>276</v>
      </c>
      <c r="H193" s="2">
        <v>0.16</v>
      </c>
      <c r="I193" s="4">
        <f t="shared" si="10"/>
        <v>10.56</v>
      </c>
      <c r="J193">
        <v>66</v>
      </c>
      <c r="K193">
        <f t="shared" si="11"/>
        <v>6.6000000000000005</v>
      </c>
      <c r="L193" s="5">
        <f t="shared" si="12"/>
        <v>17.16</v>
      </c>
      <c r="M193">
        <v>2000</v>
      </c>
      <c r="N193">
        <f t="shared" si="13"/>
        <v>20</v>
      </c>
      <c r="O193" s="10">
        <f t="shared" si="14"/>
        <v>9.44</v>
      </c>
      <c r="P193" t="str">
        <f>VLOOKUP(B193,[1]Sheet1!$A:$F,6,0)</f>
        <v>Ashley Fertak</v>
      </c>
    </row>
    <row r="194" spans="1:16" x14ac:dyDescent="0.35">
      <c r="A194" t="s">
        <v>19</v>
      </c>
      <c r="B194">
        <v>95</v>
      </c>
      <c r="C194">
        <v>1</v>
      </c>
      <c r="D194" t="s">
        <v>332</v>
      </c>
      <c r="E194" t="s">
        <v>14</v>
      </c>
      <c r="F194">
        <v>100</v>
      </c>
      <c r="G194" t="s">
        <v>15</v>
      </c>
      <c r="H194" s="2">
        <v>0.14000000000000001</v>
      </c>
      <c r="I194" s="4">
        <f t="shared" ref="I194:I257" si="15">J194*H194</f>
        <v>14.000000000000002</v>
      </c>
      <c r="J194">
        <v>100</v>
      </c>
      <c r="K194">
        <f t="shared" ref="K194:K257" si="16">J194*10%</f>
        <v>10</v>
      </c>
      <c r="L194" s="5">
        <f t="shared" ref="L194:L257" si="17">I194+K194</f>
        <v>24</v>
      </c>
      <c r="M194">
        <v>525</v>
      </c>
      <c r="N194">
        <f t="shared" ref="N194:N257" si="18">M194/100</f>
        <v>5.25</v>
      </c>
      <c r="O194" s="4">
        <f t="shared" ref="O194:O257" si="19">N194-I194</f>
        <v>-8.7500000000000018</v>
      </c>
      <c r="P194" s="9" t="str">
        <f>VLOOKUP(B194,[1]Sheet1!$A:$F,6,0)</f>
        <v>ron larson</v>
      </c>
    </row>
    <row r="195" spans="1:16" hidden="1" x14ac:dyDescent="0.35">
      <c r="A195" t="s">
        <v>11</v>
      </c>
      <c r="B195">
        <v>225</v>
      </c>
      <c r="C195">
        <v>1</v>
      </c>
      <c r="D195" t="s">
        <v>402</v>
      </c>
      <c r="E195" t="s">
        <v>14</v>
      </c>
      <c r="F195">
        <v>54</v>
      </c>
      <c r="G195" t="s">
        <v>206</v>
      </c>
      <c r="H195" s="2">
        <v>0.12</v>
      </c>
      <c r="I195" s="4">
        <f t="shared" si="15"/>
        <v>6.4799999999999995</v>
      </c>
      <c r="J195">
        <v>54</v>
      </c>
      <c r="K195">
        <f t="shared" si="16"/>
        <v>5.4</v>
      </c>
      <c r="L195" s="5">
        <f t="shared" si="17"/>
        <v>11.879999999999999</v>
      </c>
      <c r="M195">
        <v>1550</v>
      </c>
      <c r="N195">
        <f t="shared" si="18"/>
        <v>15.5</v>
      </c>
      <c r="O195" s="10">
        <f t="shared" si="19"/>
        <v>9.02</v>
      </c>
      <c r="P195" t="str">
        <f>VLOOKUP(B195,[1]Sheet1!$A:$F,6,0)</f>
        <v>KERRY REYES</v>
      </c>
    </row>
    <row r="196" spans="1:16" hidden="1" x14ac:dyDescent="0.35">
      <c r="A196" t="s">
        <v>19</v>
      </c>
      <c r="B196">
        <v>182</v>
      </c>
      <c r="C196">
        <v>1</v>
      </c>
      <c r="D196" t="s">
        <v>277</v>
      </c>
      <c r="E196" t="s">
        <v>14</v>
      </c>
      <c r="F196">
        <v>160</v>
      </c>
      <c r="G196" t="s">
        <v>206</v>
      </c>
      <c r="H196" s="2">
        <v>0.12</v>
      </c>
      <c r="I196" s="4">
        <f t="shared" si="15"/>
        <v>19.2</v>
      </c>
      <c r="J196">
        <v>160</v>
      </c>
      <c r="K196">
        <f t="shared" si="16"/>
        <v>16</v>
      </c>
      <c r="L196" s="5">
        <f t="shared" si="17"/>
        <v>35.200000000000003</v>
      </c>
      <c r="M196">
        <v>2809</v>
      </c>
      <c r="N196">
        <f t="shared" si="18"/>
        <v>28.09</v>
      </c>
      <c r="O196" s="10">
        <f t="shared" si="19"/>
        <v>8.89</v>
      </c>
      <c r="P196" t="str">
        <f>VLOOKUP(B196,[1]Sheet1!$A:$F,6,0)</f>
        <v>Beth Wise</v>
      </c>
    </row>
    <row r="197" spans="1:16" hidden="1" x14ac:dyDescent="0.35">
      <c r="A197" t="s">
        <v>26</v>
      </c>
      <c r="B197">
        <v>354</v>
      </c>
      <c r="C197">
        <v>1</v>
      </c>
      <c r="D197" t="s">
        <v>279</v>
      </c>
      <c r="E197" t="s">
        <v>14</v>
      </c>
      <c r="F197">
        <v>160</v>
      </c>
      <c r="G197" t="s">
        <v>206</v>
      </c>
      <c r="H197" s="2">
        <v>0.12</v>
      </c>
      <c r="I197" s="4">
        <f t="shared" si="15"/>
        <v>19.2</v>
      </c>
      <c r="J197">
        <v>160</v>
      </c>
      <c r="K197">
        <f t="shared" si="16"/>
        <v>16</v>
      </c>
      <c r="L197" s="5">
        <f t="shared" si="17"/>
        <v>35.200000000000003</v>
      </c>
      <c r="M197">
        <v>2800</v>
      </c>
      <c r="N197">
        <f t="shared" si="18"/>
        <v>28</v>
      </c>
      <c r="O197" s="10">
        <f t="shared" si="19"/>
        <v>8.8000000000000007</v>
      </c>
      <c r="P197" t="str">
        <f>VLOOKUP(B197,[1]Sheet1!$A:$F,6,0)</f>
        <v>Ademola Lawal</v>
      </c>
    </row>
    <row r="198" spans="1:16" hidden="1" x14ac:dyDescent="0.35">
      <c r="A198" t="s">
        <v>19</v>
      </c>
      <c r="B198">
        <v>183</v>
      </c>
      <c r="C198">
        <v>1</v>
      </c>
      <c r="D198" t="s">
        <v>430</v>
      </c>
      <c r="E198" t="s">
        <v>14</v>
      </c>
      <c r="F198">
        <v>40</v>
      </c>
      <c r="G198" t="s">
        <v>206</v>
      </c>
      <c r="H198" s="2">
        <v>0.12</v>
      </c>
      <c r="I198" s="4">
        <f t="shared" si="15"/>
        <v>4.8</v>
      </c>
      <c r="J198">
        <v>40</v>
      </c>
      <c r="K198">
        <f t="shared" si="16"/>
        <v>4</v>
      </c>
      <c r="L198" s="5">
        <f t="shared" si="17"/>
        <v>8.8000000000000007</v>
      </c>
      <c r="M198">
        <v>1350</v>
      </c>
      <c r="N198">
        <f t="shared" si="18"/>
        <v>13.5</v>
      </c>
      <c r="O198" s="10">
        <f t="shared" si="19"/>
        <v>8.6999999999999993</v>
      </c>
      <c r="P198" t="str">
        <f>VLOOKUP(B198,[1]Sheet1!$A:$F,6,0)</f>
        <v>Rebecca Alvarado</v>
      </c>
    </row>
    <row r="199" spans="1:16" hidden="1" x14ac:dyDescent="0.35">
      <c r="A199" t="s">
        <v>26</v>
      </c>
      <c r="B199">
        <v>66</v>
      </c>
      <c r="C199">
        <v>1</v>
      </c>
      <c r="D199" t="s">
        <v>295</v>
      </c>
      <c r="E199" t="s">
        <v>14</v>
      </c>
      <c r="F199">
        <v>136</v>
      </c>
      <c r="G199" t="s">
        <v>206</v>
      </c>
      <c r="H199" s="2">
        <v>0.12</v>
      </c>
      <c r="I199" s="4">
        <f t="shared" si="15"/>
        <v>16.32</v>
      </c>
      <c r="J199">
        <v>136</v>
      </c>
      <c r="K199">
        <f t="shared" si="16"/>
        <v>13.600000000000001</v>
      </c>
      <c r="L199" s="5">
        <f t="shared" si="17"/>
        <v>29.92</v>
      </c>
      <c r="M199">
        <v>2500</v>
      </c>
      <c r="N199">
        <f t="shared" si="18"/>
        <v>25</v>
      </c>
      <c r="O199" s="10">
        <f t="shared" si="19"/>
        <v>8.68</v>
      </c>
      <c r="P199" t="str">
        <f>VLOOKUP(B199,[1]Sheet1!$A:$F,6,0)</f>
        <v>freddie hejjo</v>
      </c>
    </row>
    <row r="200" spans="1:16" hidden="1" x14ac:dyDescent="0.35">
      <c r="A200" t="s">
        <v>11</v>
      </c>
      <c r="B200">
        <v>136</v>
      </c>
      <c r="C200">
        <v>1</v>
      </c>
      <c r="D200" t="s">
        <v>405</v>
      </c>
      <c r="E200" t="s">
        <v>14</v>
      </c>
      <c r="F200">
        <v>53</v>
      </c>
      <c r="G200" t="s">
        <v>206</v>
      </c>
      <c r="H200" s="2">
        <v>0.12</v>
      </c>
      <c r="I200" s="4">
        <f t="shared" si="15"/>
        <v>6.3599999999999994</v>
      </c>
      <c r="J200">
        <v>53</v>
      </c>
      <c r="K200">
        <f t="shared" si="16"/>
        <v>5.3000000000000007</v>
      </c>
      <c r="L200" s="5">
        <f t="shared" si="17"/>
        <v>11.66</v>
      </c>
      <c r="M200">
        <v>1500</v>
      </c>
      <c r="N200">
        <f t="shared" si="18"/>
        <v>15</v>
      </c>
      <c r="O200" s="10">
        <f t="shared" si="19"/>
        <v>8.64</v>
      </c>
      <c r="P200" t="str">
        <f>VLOOKUP(B200,[1]Sheet1!$A:$F,6,0)</f>
        <v>Lynne Nobles</v>
      </c>
    </row>
    <row r="201" spans="1:16" hidden="1" x14ac:dyDescent="0.35">
      <c r="A201" t="s">
        <v>26</v>
      </c>
      <c r="B201">
        <v>35</v>
      </c>
      <c r="C201">
        <v>1</v>
      </c>
      <c r="D201" t="s">
        <v>446</v>
      </c>
      <c r="E201" t="s">
        <v>14</v>
      </c>
      <c r="F201">
        <v>30</v>
      </c>
      <c r="G201" t="s">
        <v>276</v>
      </c>
      <c r="H201" s="2">
        <v>0.16</v>
      </c>
      <c r="I201" s="4">
        <f t="shared" si="15"/>
        <v>4.8</v>
      </c>
      <c r="J201">
        <v>30</v>
      </c>
      <c r="K201">
        <f t="shared" si="16"/>
        <v>3</v>
      </c>
      <c r="L201" s="5">
        <f t="shared" si="17"/>
        <v>7.8</v>
      </c>
      <c r="M201">
        <v>1300</v>
      </c>
      <c r="N201">
        <f t="shared" si="18"/>
        <v>13</v>
      </c>
      <c r="O201" s="10">
        <f t="shared" si="19"/>
        <v>8.1999999999999993</v>
      </c>
      <c r="P201" t="str">
        <f>VLOOKUP(B201,[1]Sheet1!$A:$F,6,0)</f>
        <v>Jaime Hernandez</v>
      </c>
    </row>
    <row r="202" spans="1:16" hidden="1" x14ac:dyDescent="0.35">
      <c r="A202" t="s">
        <v>26</v>
      </c>
      <c r="B202">
        <v>56</v>
      </c>
      <c r="C202">
        <v>1</v>
      </c>
      <c r="D202" t="s">
        <v>421</v>
      </c>
      <c r="E202" t="s">
        <v>14</v>
      </c>
      <c r="F202">
        <v>45</v>
      </c>
      <c r="G202" t="s">
        <v>206</v>
      </c>
      <c r="H202" s="2">
        <v>0.12</v>
      </c>
      <c r="I202" s="4">
        <f t="shared" si="15"/>
        <v>5.3999999999999995</v>
      </c>
      <c r="J202">
        <v>45</v>
      </c>
      <c r="K202">
        <f t="shared" si="16"/>
        <v>4.5</v>
      </c>
      <c r="L202" s="5">
        <f t="shared" si="17"/>
        <v>9.8999999999999986</v>
      </c>
      <c r="M202">
        <v>1300</v>
      </c>
      <c r="N202">
        <f t="shared" si="18"/>
        <v>13</v>
      </c>
      <c r="O202" s="10">
        <f t="shared" si="19"/>
        <v>7.6000000000000005</v>
      </c>
      <c r="P202" t="str">
        <f>VLOOKUP(B202,[1]Sheet1!$A:$F,6,0)</f>
        <v>Karen Gaines</v>
      </c>
    </row>
    <row r="203" spans="1:16" hidden="1" x14ac:dyDescent="0.35">
      <c r="A203" t="s">
        <v>11</v>
      </c>
      <c r="B203" t="s">
        <v>306</v>
      </c>
      <c r="C203">
        <v>1</v>
      </c>
      <c r="D203" t="s">
        <v>307</v>
      </c>
      <c r="E203" t="s">
        <v>14</v>
      </c>
      <c r="F203">
        <v>127</v>
      </c>
      <c r="G203" t="s">
        <v>15</v>
      </c>
      <c r="H203" s="2">
        <v>0.14000000000000001</v>
      </c>
      <c r="I203" s="4">
        <f t="shared" si="15"/>
        <v>17.78</v>
      </c>
      <c r="J203">
        <v>127</v>
      </c>
      <c r="K203">
        <f t="shared" si="16"/>
        <v>12.700000000000001</v>
      </c>
      <c r="L203" s="5">
        <f t="shared" si="17"/>
        <v>30.480000000000004</v>
      </c>
      <c r="M203">
        <v>2500</v>
      </c>
      <c r="N203">
        <f t="shared" si="18"/>
        <v>25</v>
      </c>
      <c r="O203" s="10">
        <f t="shared" si="19"/>
        <v>7.2199999999999989</v>
      </c>
      <c r="P203" t="str">
        <f>VLOOKUP(B203,[1]Sheet1!$A:$F,6,0)</f>
        <v>David Corbett</v>
      </c>
    </row>
    <row r="204" spans="1:16" hidden="1" x14ac:dyDescent="0.35">
      <c r="A204" t="s">
        <v>19</v>
      </c>
      <c r="B204">
        <v>378</v>
      </c>
      <c r="C204">
        <v>1</v>
      </c>
      <c r="D204" t="s">
        <v>449</v>
      </c>
      <c r="E204" t="s">
        <v>14</v>
      </c>
      <c r="F204">
        <v>30</v>
      </c>
      <c r="G204" t="s">
        <v>206</v>
      </c>
      <c r="H204" s="2">
        <v>0.12</v>
      </c>
      <c r="I204" s="4">
        <f t="shared" si="15"/>
        <v>3.5999999999999996</v>
      </c>
      <c r="J204">
        <v>30</v>
      </c>
      <c r="K204">
        <f t="shared" si="16"/>
        <v>3</v>
      </c>
      <c r="L204" s="5">
        <f t="shared" si="17"/>
        <v>6.6</v>
      </c>
      <c r="M204">
        <v>1050</v>
      </c>
      <c r="N204">
        <f t="shared" si="18"/>
        <v>10.5</v>
      </c>
      <c r="O204" s="10">
        <f t="shared" si="19"/>
        <v>6.9</v>
      </c>
      <c r="P204" t="str">
        <f>VLOOKUP(B204,[1]Sheet1!$A:$F,6,0)</f>
        <v>Margaret Lynch-Barone</v>
      </c>
    </row>
    <row r="205" spans="1:16" hidden="1" x14ac:dyDescent="0.35">
      <c r="A205" t="s">
        <v>26</v>
      </c>
      <c r="B205">
        <v>65</v>
      </c>
      <c r="C205">
        <v>1</v>
      </c>
      <c r="D205" t="s">
        <v>453</v>
      </c>
      <c r="E205" t="s">
        <v>14</v>
      </c>
      <c r="F205">
        <v>30</v>
      </c>
      <c r="G205" t="s">
        <v>35</v>
      </c>
      <c r="H205" s="2">
        <v>7.0000000000000007E-2</v>
      </c>
      <c r="I205" s="4">
        <f t="shared" si="15"/>
        <v>2.1</v>
      </c>
      <c r="J205">
        <v>30</v>
      </c>
      <c r="K205">
        <f t="shared" si="16"/>
        <v>3</v>
      </c>
      <c r="L205" s="5">
        <f t="shared" si="17"/>
        <v>5.0999999999999996</v>
      </c>
      <c r="M205">
        <v>900</v>
      </c>
      <c r="N205">
        <f t="shared" si="18"/>
        <v>9</v>
      </c>
      <c r="O205" s="10">
        <f t="shared" si="19"/>
        <v>6.9</v>
      </c>
      <c r="P205" t="str">
        <f>VLOOKUP(B205,[1]Sheet1!$A:$F,6,0)</f>
        <v>Thanh Tan Ngo</v>
      </c>
    </row>
    <row r="206" spans="1:16" hidden="1" x14ac:dyDescent="0.35">
      <c r="A206" t="s">
        <v>11</v>
      </c>
      <c r="B206">
        <v>144</v>
      </c>
      <c r="C206">
        <v>1</v>
      </c>
      <c r="D206" t="s">
        <v>323</v>
      </c>
      <c r="E206" t="s">
        <v>14</v>
      </c>
      <c r="F206">
        <v>110</v>
      </c>
      <c r="G206" t="s">
        <v>35</v>
      </c>
      <c r="H206" s="2">
        <v>7.0000000000000007E-2</v>
      </c>
      <c r="I206" s="4">
        <f t="shared" si="15"/>
        <v>7.7000000000000011</v>
      </c>
      <c r="J206">
        <v>110</v>
      </c>
      <c r="K206">
        <f t="shared" si="16"/>
        <v>11</v>
      </c>
      <c r="L206" s="5">
        <f t="shared" si="17"/>
        <v>18.700000000000003</v>
      </c>
      <c r="M206">
        <v>1450</v>
      </c>
      <c r="N206">
        <f t="shared" si="18"/>
        <v>14.5</v>
      </c>
      <c r="O206" s="10">
        <f t="shared" si="19"/>
        <v>6.7999999999999989</v>
      </c>
      <c r="P206" t="str">
        <f>VLOOKUP(B206,[1]Sheet1!$A:$F,6,0)</f>
        <v>freddie hejjo</v>
      </c>
    </row>
    <row r="207" spans="1:16" hidden="1" x14ac:dyDescent="0.35">
      <c r="A207" t="s">
        <v>19</v>
      </c>
      <c r="B207">
        <v>185</v>
      </c>
      <c r="C207">
        <v>1</v>
      </c>
      <c r="D207" t="s">
        <v>296</v>
      </c>
      <c r="E207" t="s">
        <v>14</v>
      </c>
      <c r="F207">
        <v>131</v>
      </c>
      <c r="G207" t="s">
        <v>206</v>
      </c>
      <c r="H207" s="2">
        <v>0.12</v>
      </c>
      <c r="I207" s="4">
        <f t="shared" si="15"/>
        <v>15.719999999999999</v>
      </c>
      <c r="J207">
        <v>131</v>
      </c>
      <c r="K207">
        <f t="shared" si="16"/>
        <v>13.100000000000001</v>
      </c>
      <c r="L207" s="5">
        <f t="shared" si="17"/>
        <v>28.82</v>
      </c>
      <c r="M207">
        <v>2200</v>
      </c>
      <c r="N207">
        <f t="shared" si="18"/>
        <v>22</v>
      </c>
      <c r="O207" s="10">
        <f t="shared" si="19"/>
        <v>6.2800000000000011</v>
      </c>
      <c r="P207" t="str">
        <f>VLOOKUP(B207,[1]Sheet1!$A:$F,6,0)</f>
        <v>Mohsin Mirza</v>
      </c>
    </row>
    <row r="208" spans="1:16" hidden="1" x14ac:dyDescent="0.35">
      <c r="A208" t="s">
        <v>19</v>
      </c>
      <c r="B208">
        <v>176</v>
      </c>
      <c r="C208">
        <v>1</v>
      </c>
      <c r="D208" t="s">
        <v>329</v>
      </c>
      <c r="E208" t="s">
        <v>14</v>
      </c>
      <c r="F208">
        <v>100</v>
      </c>
      <c r="G208" t="s">
        <v>276</v>
      </c>
      <c r="H208" s="2">
        <v>0.16</v>
      </c>
      <c r="I208" s="4">
        <f t="shared" si="15"/>
        <v>16</v>
      </c>
      <c r="J208">
        <v>100</v>
      </c>
      <c r="K208">
        <f t="shared" si="16"/>
        <v>10</v>
      </c>
      <c r="L208" s="5">
        <f t="shared" si="17"/>
        <v>26</v>
      </c>
      <c r="M208">
        <v>2200</v>
      </c>
      <c r="N208">
        <f t="shared" si="18"/>
        <v>22</v>
      </c>
      <c r="O208" s="10">
        <f t="shared" si="19"/>
        <v>6</v>
      </c>
      <c r="P208" t="str">
        <f>VLOOKUP(B208,[1]Sheet1!$A:$F,6,0)</f>
        <v>ahsan quddus</v>
      </c>
    </row>
    <row r="209" spans="1:16" hidden="1" x14ac:dyDescent="0.35">
      <c r="A209" t="s">
        <v>11</v>
      </c>
      <c r="B209">
        <v>231</v>
      </c>
      <c r="C209">
        <v>1</v>
      </c>
      <c r="D209" t="s">
        <v>418</v>
      </c>
      <c r="E209" t="s">
        <v>14</v>
      </c>
      <c r="F209">
        <v>47</v>
      </c>
      <c r="G209" t="s">
        <v>206</v>
      </c>
      <c r="H209" s="2">
        <v>0.12</v>
      </c>
      <c r="I209" s="4">
        <f t="shared" si="15"/>
        <v>5.64</v>
      </c>
      <c r="J209">
        <v>47</v>
      </c>
      <c r="K209">
        <f t="shared" si="16"/>
        <v>4.7</v>
      </c>
      <c r="L209" s="5">
        <f t="shared" si="17"/>
        <v>10.34</v>
      </c>
      <c r="M209">
        <v>1150</v>
      </c>
      <c r="N209">
        <f t="shared" si="18"/>
        <v>11.5</v>
      </c>
      <c r="O209" s="10">
        <f t="shared" si="19"/>
        <v>5.86</v>
      </c>
      <c r="P209" t="str">
        <f>VLOOKUP(B209,[1]Sheet1!$A:$F,6,0)</f>
        <v>Katie Nguyen</v>
      </c>
    </row>
    <row r="210" spans="1:16" hidden="1" x14ac:dyDescent="0.35">
      <c r="A210" t="s">
        <v>26</v>
      </c>
      <c r="B210">
        <v>39</v>
      </c>
      <c r="C210">
        <v>1</v>
      </c>
      <c r="D210" t="s">
        <v>446</v>
      </c>
      <c r="E210" t="s">
        <v>14</v>
      </c>
      <c r="F210">
        <v>30</v>
      </c>
      <c r="G210" t="s">
        <v>276</v>
      </c>
      <c r="H210" s="2">
        <v>0.16</v>
      </c>
      <c r="I210" s="4">
        <f t="shared" si="15"/>
        <v>4.8</v>
      </c>
      <c r="J210">
        <v>30</v>
      </c>
      <c r="K210">
        <f t="shared" si="16"/>
        <v>3</v>
      </c>
      <c r="L210" s="5">
        <f t="shared" si="17"/>
        <v>7.8</v>
      </c>
      <c r="M210">
        <v>1050</v>
      </c>
      <c r="N210">
        <f t="shared" si="18"/>
        <v>10.5</v>
      </c>
      <c r="O210" s="10">
        <f t="shared" si="19"/>
        <v>5.7</v>
      </c>
      <c r="P210" t="str">
        <f>VLOOKUP(B210,[1]Sheet1!$A:$F,6,0)</f>
        <v>Linh Nguyen</v>
      </c>
    </row>
    <row r="211" spans="1:16" hidden="1" x14ac:dyDescent="0.35">
      <c r="A211" t="s">
        <v>16</v>
      </c>
      <c r="B211">
        <v>30</v>
      </c>
      <c r="C211">
        <v>1</v>
      </c>
      <c r="D211" t="s">
        <v>460</v>
      </c>
      <c r="E211" t="s">
        <v>14</v>
      </c>
      <c r="F211">
        <v>27</v>
      </c>
      <c r="G211" t="s">
        <v>276</v>
      </c>
      <c r="H211" s="2">
        <v>0.16</v>
      </c>
      <c r="I211" s="4">
        <f t="shared" si="15"/>
        <v>4.32</v>
      </c>
      <c r="J211">
        <v>27</v>
      </c>
      <c r="K211">
        <f t="shared" si="16"/>
        <v>2.7</v>
      </c>
      <c r="L211" s="5">
        <f t="shared" si="17"/>
        <v>7.0200000000000005</v>
      </c>
      <c r="M211">
        <v>1000</v>
      </c>
      <c r="N211">
        <f t="shared" si="18"/>
        <v>10</v>
      </c>
      <c r="O211" s="10">
        <f t="shared" si="19"/>
        <v>5.68</v>
      </c>
      <c r="P211" t="str">
        <f>VLOOKUP(B211,[1]Sheet1!$A:$F,6,0)</f>
        <v>Luis Meza</v>
      </c>
    </row>
    <row r="212" spans="1:16" hidden="1" x14ac:dyDescent="0.35">
      <c r="A212" t="s">
        <v>19</v>
      </c>
      <c r="B212">
        <v>151</v>
      </c>
      <c r="C212">
        <v>1</v>
      </c>
      <c r="D212" t="s">
        <v>469</v>
      </c>
      <c r="E212" t="s">
        <v>14</v>
      </c>
      <c r="F212">
        <v>23</v>
      </c>
      <c r="G212" t="s">
        <v>35</v>
      </c>
      <c r="H212" s="2">
        <v>7.0000000000000007E-2</v>
      </c>
      <c r="I212" s="4">
        <f t="shared" si="15"/>
        <v>1.61</v>
      </c>
      <c r="J212">
        <v>23</v>
      </c>
      <c r="K212">
        <f t="shared" si="16"/>
        <v>2.3000000000000003</v>
      </c>
      <c r="L212" s="5">
        <f t="shared" si="17"/>
        <v>3.91</v>
      </c>
      <c r="M212">
        <v>725</v>
      </c>
      <c r="N212">
        <f t="shared" si="18"/>
        <v>7.25</v>
      </c>
      <c r="O212" s="10">
        <f t="shared" si="19"/>
        <v>5.64</v>
      </c>
      <c r="P212" t="str">
        <f>VLOOKUP(B212,[1]Sheet1!$A:$F,6,0)</f>
        <v>Mohsin Mirza</v>
      </c>
    </row>
    <row r="213" spans="1:16" hidden="1" x14ac:dyDescent="0.35">
      <c r="A213" t="s">
        <v>19</v>
      </c>
      <c r="B213">
        <v>168</v>
      </c>
      <c r="C213">
        <v>1</v>
      </c>
      <c r="D213" t="s">
        <v>293</v>
      </c>
      <c r="E213" t="s">
        <v>14</v>
      </c>
      <c r="F213">
        <v>137</v>
      </c>
      <c r="G213" t="s">
        <v>206</v>
      </c>
      <c r="H213" s="2">
        <v>0.12</v>
      </c>
      <c r="I213" s="4">
        <f t="shared" si="15"/>
        <v>16.439999999999998</v>
      </c>
      <c r="J213">
        <v>137</v>
      </c>
      <c r="K213">
        <f t="shared" si="16"/>
        <v>13.700000000000001</v>
      </c>
      <c r="L213" s="5">
        <f t="shared" si="17"/>
        <v>30.14</v>
      </c>
      <c r="M213">
        <v>2200</v>
      </c>
      <c r="N213">
        <f t="shared" si="18"/>
        <v>22</v>
      </c>
      <c r="O213" s="10">
        <f t="shared" si="19"/>
        <v>5.5600000000000023</v>
      </c>
      <c r="P213" t="str">
        <f>VLOOKUP(B213,[1]Sheet1!$A:$F,6,0)</f>
        <v>Matt Montes</v>
      </c>
    </row>
    <row r="214" spans="1:16" hidden="1" x14ac:dyDescent="0.35">
      <c r="A214" t="s">
        <v>19</v>
      </c>
      <c r="B214">
        <v>180</v>
      </c>
      <c r="C214">
        <v>1</v>
      </c>
      <c r="D214" t="s">
        <v>303</v>
      </c>
      <c r="E214" t="s">
        <v>14</v>
      </c>
      <c r="F214">
        <v>129</v>
      </c>
      <c r="G214" t="s">
        <v>206</v>
      </c>
      <c r="H214" s="2">
        <v>0.12</v>
      </c>
      <c r="I214" s="4">
        <f t="shared" si="15"/>
        <v>15.479999999999999</v>
      </c>
      <c r="J214">
        <v>129</v>
      </c>
      <c r="K214">
        <f t="shared" si="16"/>
        <v>12.9</v>
      </c>
      <c r="L214" s="5">
        <f t="shared" si="17"/>
        <v>28.38</v>
      </c>
      <c r="M214">
        <v>2100</v>
      </c>
      <c r="N214">
        <f t="shared" si="18"/>
        <v>21</v>
      </c>
      <c r="O214" s="10">
        <f t="shared" si="19"/>
        <v>5.5200000000000014</v>
      </c>
      <c r="P214" t="str">
        <f>VLOOKUP(B214,[1]Sheet1!$A:$F,6,0)</f>
        <v>Vamsi Goramanipalli</v>
      </c>
    </row>
    <row r="215" spans="1:16" hidden="1" x14ac:dyDescent="0.35">
      <c r="A215" t="s">
        <v>11</v>
      </c>
      <c r="B215">
        <v>132</v>
      </c>
      <c r="C215">
        <v>1</v>
      </c>
      <c r="D215" t="s">
        <v>414</v>
      </c>
      <c r="E215" t="s">
        <v>14</v>
      </c>
      <c r="F215">
        <v>50</v>
      </c>
      <c r="G215" t="s">
        <v>25</v>
      </c>
      <c r="H215" s="2">
        <v>0.2</v>
      </c>
      <c r="I215" s="4">
        <f t="shared" si="15"/>
        <v>10</v>
      </c>
      <c r="J215">
        <v>50</v>
      </c>
      <c r="K215">
        <f t="shared" si="16"/>
        <v>5</v>
      </c>
      <c r="L215" s="5">
        <f t="shared" si="17"/>
        <v>15</v>
      </c>
      <c r="M215">
        <v>1550</v>
      </c>
      <c r="N215">
        <f t="shared" si="18"/>
        <v>15.5</v>
      </c>
      <c r="O215" s="10">
        <f t="shared" si="19"/>
        <v>5.5</v>
      </c>
      <c r="P215" t="str">
        <f>VLOOKUP(B215,[1]Sheet1!$A:$F,6,0)</f>
        <v>Devonda Davis</v>
      </c>
    </row>
    <row r="216" spans="1:16" hidden="1" x14ac:dyDescent="0.35">
      <c r="A216" t="s">
        <v>19</v>
      </c>
      <c r="B216">
        <v>165</v>
      </c>
      <c r="C216">
        <v>1</v>
      </c>
      <c r="D216" t="s">
        <v>400</v>
      </c>
      <c r="E216" t="s">
        <v>14</v>
      </c>
      <c r="F216">
        <v>56</v>
      </c>
      <c r="G216" t="s">
        <v>206</v>
      </c>
      <c r="H216" s="2">
        <v>0.12</v>
      </c>
      <c r="I216" s="4">
        <f t="shared" si="15"/>
        <v>6.72</v>
      </c>
      <c r="J216">
        <v>56</v>
      </c>
      <c r="K216">
        <f t="shared" si="16"/>
        <v>5.6000000000000005</v>
      </c>
      <c r="L216" s="5">
        <f t="shared" si="17"/>
        <v>12.32</v>
      </c>
      <c r="M216">
        <v>1200</v>
      </c>
      <c r="N216">
        <f t="shared" si="18"/>
        <v>12</v>
      </c>
      <c r="O216" s="10">
        <f t="shared" si="19"/>
        <v>5.28</v>
      </c>
      <c r="P216" t="str">
        <f>VLOOKUP(B216,[1]Sheet1!$A:$F,6,0)</f>
        <v>Ngoc Nguyen</v>
      </c>
    </row>
    <row r="217" spans="1:16" hidden="1" x14ac:dyDescent="0.35">
      <c r="A217" t="s">
        <v>19</v>
      </c>
      <c r="B217">
        <v>13</v>
      </c>
      <c r="C217">
        <v>1</v>
      </c>
      <c r="D217" t="s">
        <v>446</v>
      </c>
      <c r="E217" t="s">
        <v>14</v>
      </c>
      <c r="F217">
        <v>30</v>
      </c>
      <c r="G217" t="s">
        <v>276</v>
      </c>
      <c r="H217" s="2">
        <v>0.16</v>
      </c>
      <c r="I217" s="4">
        <f t="shared" si="15"/>
        <v>4.8</v>
      </c>
      <c r="J217">
        <v>30</v>
      </c>
      <c r="K217">
        <f t="shared" si="16"/>
        <v>3</v>
      </c>
      <c r="L217" s="5">
        <f t="shared" si="17"/>
        <v>7.8</v>
      </c>
      <c r="M217">
        <v>1000</v>
      </c>
      <c r="N217">
        <f t="shared" si="18"/>
        <v>10</v>
      </c>
      <c r="O217" s="10">
        <f t="shared" si="19"/>
        <v>5.2</v>
      </c>
      <c r="P217" t="str">
        <f>VLOOKUP(B217,[1]Sheet1!$A:$F,6,0)</f>
        <v>Linh Nguyen</v>
      </c>
    </row>
    <row r="218" spans="1:16" hidden="1" x14ac:dyDescent="0.35">
      <c r="A218" t="s">
        <v>11</v>
      </c>
      <c r="B218">
        <v>220</v>
      </c>
      <c r="C218">
        <v>1</v>
      </c>
      <c r="D218" t="s">
        <v>461</v>
      </c>
      <c r="E218" t="s">
        <v>14</v>
      </c>
      <c r="F218">
        <v>27</v>
      </c>
      <c r="G218" t="s">
        <v>206</v>
      </c>
      <c r="H218" s="2">
        <v>0.12</v>
      </c>
      <c r="I218" s="4">
        <f t="shared" si="15"/>
        <v>3.2399999999999998</v>
      </c>
      <c r="J218">
        <v>27</v>
      </c>
      <c r="K218">
        <f t="shared" si="16"/>
        <v>2.7</v>
      </c>
      <c r="L218" s="5">
        <f t="shared" si="17"/>
        <v>5.9399999999999995</v>
      </c>
      <c r="M218">
        <v>825</v>
      </c>
      <c r="N218">
        <f t="shared" si="18"/>
        <v>8.25</v>
      </c>
      <c r="O218" s="10">
        <f t="shared" si="19"/>
        <v>5.01</v>
      </c>
      <c r="P218" t="str">
        <f>VLOOKUP(B218,[1]Sheet1!$A:$F,6,0)</f>
        <v>Bobbie - Shannon Howard</v>
      </c>
    </row>
    <row r="219" spans="1:16" hidden="1" x14ac:dyDescent="0.35">
      <c r="A219" t="s">
        <v>16</v>
      </c>
      <c r="B219">
        <v>118</v>
      </c>
      <c r="C219">
        <v>1</v>
      </c>
      <c r="D219" t="s">
        <v>329</v>
      </c>
      <c r="E219" t="s">
        <v>14</v>
      </c>
      <c r="F219">
        <v>100</v>
      </c>
      <c r="G219" t="s">
        <v>206</v>
      </c>
      <c r="H219" s="2">
        <v>0.12</v>
      </c>
      <c r="I219" s="4">
        <f t="shared" si="15"/>
        <v>12</v>
      </c>
      <c r="J219">
        <v>100</v>
      </c>
      <c r="K219">
        <f t="shared" si="16"/>
        <v>10</v>
      </c>
      <c r="L219" s="5">
        <f t="shared" si="17"/>
        <v>22</v>
      </c>
      <c r="M219">
        <v>1700</v>
      </c>
      <c r="N219">
        <f t="shared" si="18"/>
        <v>17</v>
      </c>
      <c r="O219" s="10">
        <f t="shared" si="19"/>
        <v>5</v>
      </c>
      <c r="P219" t="str">
        <f>VLOOKUP(B219,[1]Sheet1!$A:$F,6,0)</f>
        <v>Ademola Lawal</v>
      </c>
    </row>
    <row r="220" spans="1:16" hidden="1" x14ac:dyDescent="0.35">
      <c r="A220" t="s">
        <v>19</v>
      </c>
      <c r="B220">
        <v>12</v>
      </c>
      <c r="C220">
        <v>1</v>
      </c>
      <c r="D220" t="s">
        <v>464</v>
      </c>
      <c r="E220" t="s">
        <v>14</v>
      </c>
      <c r="F220">
        <v>25</v>
      </c>
      <c r="G220" t="s">
        <v>276</v>
      </c>
      <c r="H220" s="2">
        <v>0.16</v>
      </c>
      <c r="I220" s="4">
        <f t="shared" si="15"/>
        <v>4</v>
      </c>
      <c r="J220">
        <v>25</v>
      </c>
      <c r="K220">
        <f t="shared" si="16"/>
        <v>2.5</v>
      </c>
      <c r="L220" s="5">
        <f t="shared" si="17"/>
        <v>6.5</v>
      </c>
      <c r="M220">
        <v>900</v>
      </c>
      <c r="N220">
        <f t="shared" si="18"/>
        <v>9</v>
      </c>
      <c r="O220" s="10">
        <f t="shared" si="19"/>
        <v>5</v>
      </c>
      <c r="P220" t="str">
        <f>VLOOKUP(B220,[1]Sheet1!$A:$F,6,0)</f>
        <v>JAVIER IGNACIO FERNANDEZ GONZALO</v>
      </c>
    </row>
    <row r="221" spans="1:16" hidden="1" x14ac:dyDescent="0.35">
      <c r="A221" t="s">
        <v>19</v>
      </c>
      <c r="B221">
        <v>376</v>
      </c>
      <c r="C221">
        <v>1</v>
      </c>
      <c r="D221" t="s">
        <v>381</v>
      </c>
      <c r="E221" t="s">
        <v>14</v>
      </c>
      <c r="F221">
        <v>67</v>
      </c>
      <c r="G221" t="s">
        <v>206</v>
      </c>
      <c r="H221" s="2">
        <v>0.12</v>
      </c>
      <c r="I221" s="4">
        <f t="shared" si="15"/>
        <v>8.0399999999999991</v>
      </c>
      <c r="J221">
        <v>67</v>
      </c>
      <c r="K221">
        <f t="shared" si="16"/>
        <v>6.7</v>
      </c>
      <c r="L221" s="5">
        <f t="shared" si="17"/>
        <v>14.739999999999998</v>
      </c>
      <c r="M221">
        <v>1300</v>
      </c>
      <c r="N221">
        <f t="shared" si="18"/>
        <v>13</v>
      </c>
      <c r="O221" s="10">
        <f t="shared" si="19"/>
        <v>4.9600000000000009</v>
      </c>
      <c r="P221" t="str">
        <f>VLOOKUP(B221,[1]Sheet1!$A:$F,6,0)</f>
        <v>Lynne Nobles</v>
      </c>
    </row>
    <row r="222" spans="1:16" hidden="1" x14ac:dyDescent="0.35">
      <c r="A222" t="s">
        <v>26</v>
      </c>
      <c r="B222">
        <v>351</v>
      </c>
      <c r="C222">
        <v>1</v>
      </c>
      <c r="D222" t="s">
        <v>454</v>
      </c>
      <c r="E222" t="s">
        <v>14</v>
      </c>
      <c r="F222">
        <v>30</v>
      </c>
      <c r="G222" t="s">
        <v>206</v>
      </c>
      <c r="H222" s="2">
        <v>0.12</v>
      </c>
      <c r="I222" s="4">
        <f t="shared" si="15"/>
        <v>3.5999999999999996</v>
      </c>
      <c r="J222">
        <v>30</v>
      </c>
      <c r="K222">
        <f t="shared" si="16"/>
        <v>3</v>
      </c>
      <c r="L222" s="5">
        <f t="shared" si="17"/>
        <v>6.6</v>
      </c>
      <c r="M222">
        <v>850</v>
      </c>
      <c r="N222">
        <f t="shared" si="18"/>
        <v>8.5</v>
      </c>
      <c r="O222" s="10">
        <f t="shared" si="19"/>
        <v>4.9000000000000004</v>
      </c>
      <c r="P222" t="str">
        <f>VLOOKUP(B222,[1]Sheet1!$A:$F,6,0)</f>
        <v>Harold Clemons</v>
      </c>
    </row>
    <row r="223" spans="1:16" hidden="1" x14ac:dyDescent="0.35">
      <c r="A223" t="s">
        <v>26</v>
      </c>
      <c r="B223">
        <v>58</v>
      </c>
      <c r="C223">
        <v>1</v>
      </c>
      <c r="D223" t="s">
        <v>362</v>
      </c>
      <c r="E223" t="s">
        <v>14</v>
      </c>
      <c r="F223">
        <v>73</v>
      </c>
      <c r="G223" t="s">
        <v>206</v>
      </c>
      <c r="H223" s="2">
        <v>0.12</v>
      </c>
      <c r="I223" s="4">
        <f t="shared" si="15"/>
        <v>8.76</v>
      </c>
      <c r="J223">
        <v>73</v>
      </c>
      <c r="K223">
        <f t="shared" si="16"/>
        <v>7.3000000000000007</v>
      </c>
      <c r="L223" s="5">
        <f t="shared" si="17"/>
        <v>16.060000000000002</v>
      </c>
      <c r="M223">
        <v>1350</v>
      </c>
      <c r="N223">
        <f t="shared" si="18"/>
        <v>13.5</v>
      </c>
      <c r="O223" s="10">
        <f t="shared" si="19"/>
        <v>4.74</v>
      </c>
      <c r="P223" t="str">
        <f>VLOOKUP(B223,[1]Sheet1!$A:$F,6,0)</f>
        <v>Linh Nguyen</v>
      </c>
    </row>
    <row r="224" spans="1:16" hidden="1" x14ac:dyDescent="0.35">
      <c r="A224" t="s">
        <v>19</v>
      </c>
      <c r="B224">
        <v>100</v>
      </c>
      <c r="C224">
        <v>1</v>
      </c>
      <c r="D224" t="s">
        <v>341</v>
      </c>
      <c r="E224" t="s">
        <v>14</v>
      </c>
      <c r="F224">
        <v>94</v>
      </c>
      <c r="G224" t="s">
        <v>206</v>
      </c>
      <c r="H224" s="2">
        <v>0.12</v>
      </c>
      <c r="I224" s="4">
        <f t="shared" si="15"/>
        <v>11.28</v>
      </c>
      <c r="J224">
        <v>94</v>
      </c>
      <c r="K224">
        <f t="shared" si="16"/>
        <v>9.4</v>
      </c>
      <c r="L224" s="5">
        <f t="shared" si="17"/>
        <v>20.68</v>
      </c>
      <c r="M224">
        <v>1600</v>
      </c>
      <c r="N224">
        <f t="shared" si="18"/>
        <v>16</v>
      </c>
      <c r="O224" s="10">
        <f t="shared" si="19"/>
        <v>4.7200000000000006</v>
      </c>
      <c r="P224" t="str">
        <f>VLOOKUP(B224,[1]Sheet1!$A:$F,6,0)</f>
        <v>Victor South</v>
      </c>
    </row>
    <row r="225" spans="1:16" hidden="1" x14ac:dyDescent="0.35">
      <c r="A225" t="s">
        <v>26</v>
      </c>
      <c r="B225">
        <v>37</v>
      </c>
      <c r="C225">
        <v>1</v>
      </c>
      <c r="D225" t="s">
        <v>443</v>
      </c>
      <c r="E225" t="s">
        <v>14</v>
      </c>
      <c r="F225">
        <v>33</v>
      </c>
      <c r="G225" t="s">
        <v>276</v>
      </c>
      <c r="H225" s="2">
        <v>0.16</v>
      </c>
      <c r="I225" s="4">
        <f t="shared" si="15"/>
        <v>5.28</v>
      </c>
      <c r="J225">
        <v>33</v>
      </c>
      <c r="K225">
        <f t="shared" si="16"/>
        <v>3.3000000000000003</v>
      </c>
      <c r="L225" s="5">
        <f t="shared" si="17"/>
        <v>8.58</v>
      </c>
      <c r="M225">
        <v>1000</v>
      </c>
      <c r="N225">
        <f t="shared" si="18"/>
        <v>10</v>
      </c>
      <c r="O225" s="10">
        <f t="shared" si="19"/>
        <v>4.72</v>
      </c>
      <c r="P225" t="str">
        <f>VLOOKUP(B225,[1]Sheet1!$A:$F,6,0)</f>
        <v>Robert Miranda</v>
      </c>
    </row>
    <row r="226" spans="1:16" hidden="1" x14ac:dyDescent="0.35">
      <c r="A226" t="s">
        <v>19</v>
      </c>
      <c r="B226">
        <v>87</v>
      </c>
      <c r="C226">
        <v>1</v>
      </c>
      <c r="D226" t="s">
        <v>290</v>
      </c>
      <c r="E226" t="s">
        <v>14</v>
      </c>
      <c r="F226">
        <v>140</v>
      </c>
      <c r="G226" t="s">
        <v>276</v>
      </c>
      <c r="H226" s="2">
        <v>0.16</v>
      </c>
      <c r="I226" s="4">
        <f t="shared" si="15"/>
        <v>22.400000000000002</v>
      </c>
      <c r="J226">
        <v>140</v>
      </c>
      <c r="K226">
        <f t="shared" si="16"/>
        <v>14</v>
      </c>
      <c r="L226" s="5">
        <f t="shared" si="17"/>
        <v>36.400000000000006</v>
      </c>
      <c r="M226">
        <v>2700</v>
      </c>
      <c r="N226">
        <f t="shared" si="18"/>
        <v>27</v>
      </c>
      <c r="O226" s="10">
        <f t="shared" si="19"/>
        <v>4.5999999999999979</v>
      </c>
      <c r="P226" t="str">
        <f>VLOOKUP(B226,[1]Sheet1!$A:$F,6,0)</f>
        <v>Laurie Lavoie</v>
      </c>
    </row>
    <row r="227" spans="1:16" hidden="1" x14ac:dyDescent="0.35">
      <c r="A227" t="s">
        <v>26</v>
      </c>
      <c r="B227">
        <v>54</v>
      </c>
      <c r="C227">
        <v>1</v>
      </c>
      <c r="D227" t="s">
        <v>446</v>
      </c>
      <c r="E227" t="s">
        <v>14</v>
      </c>
      <c r="F227">
        <v>30</v>
      </c>
      <c r="G227" t="s">
        <v>25</v>
      </c>
      <c r="H227" s="2">
        <v>0.2</v>
      </c>
      <c r="I227" s="4">
        <f t="shared" si="15"/>
        <v>6</v>
      </c>
      <c r="J227">
        <v>30</v>
      </c>
      <c r="K227">
        <f t="shared" si="16"/>
        <v>3</v>
      </c>
      <c r="L227" s="5">
        <f t="shared" si="17"/>
        <v>9</v>
      </c>
      <c r="M227">
        <v>1050</v>
      </c>
      <c r="N227">
        <f t="shared" si="18"/>
        <v>10.5</v>
      </c>
      <c r="O227" s="10">
        <f t="shared" si="19"/>
        <v>4.5</v>
      </c>
      <c r="P227" t="str">
        <f>VLOOKUP(B227,[1]Sheet1!$A:$F,6,0)</f>
        <v>Julie Phillips</v>
      </c>
    </row>
    <row r="228" spans="1:16" hidden="1" x14ac:dyDescent="0.35">
      <c r="A228" t="s">
        <v>19</v>
      </c>
      <c r="B228">
        <v>177</v>
      </c>
      <c r="C228">
        <v>1</v>
      </c>
      <c r="D228" t="s">
        <v>478</v>
      </c>
      <c r="E228" t="s">
        <v>14</v>
      </c>
      <c r="F228">
        <v>13</v>
      </c>
      <c r="G228" t="s">
        <v>206</v>
      </c>
      <c r="H228" s="2">
        <v>0.12</v>
      </c>
      <c r="I228" s="4">
        <f t="shared" si="15"/>
        <v>1.56</v>
      </c>
      <c r="J228">
        <v>13</v>
      </c>
      <c r="K228">
        <f t="shared" si="16"/>
        <v>1.3</v>
      </c>
      <c r="L228" s="5">
        <f t="shared" si="17"/>
        <v>2.8600000000000003</v>
      </c>
      <c r="M228">
        <v>600</v>
      </c>
      <c r="N228">
        <f t="shared" si="18"/>
        <v>6</v>
      </c>
      <c r="O228" s="10">
        <f t="shared" si="19"/>
        <v>4.4399999999999995</v>
      </c>
      <c r="P228" t="str">
        <f>VLOOKUP(B228,[1]Sheet1!$A:$F,6,0)</f>
        <v>Devonda Davis</v>
      </c>
    </row>
    <row r="229" spans="1:16" hidden="1" x14ac:dyDescent="0.35">
      <c r="A229" t="s">
        <v>11</v>
      </c>
      <c r="B229">
        <v>130</v>
      </c>
      <c r="C229">
        <v>1</v>
      </c>
      <c r="D229" t="s">
        <v>458</v>
      </c>
      <c r="E229" t="s">
        <v>14</v>
      </c>
      <c r="F229">
        <v>29</v>
      </c>
      <c r="G229" t="s">
        <v>276</v>
      </c>
      <c r="H229" s="2">
        <v>0.16</v>
      </c>
      <c r="I229" s="4">
        <f t="shared" si="15"/>
        <v>4.6399999999999997</v>
      </c>
      <c r="J229">
        <v>29</v>
      </c>
      <c r="K229">
        <f t="shared" si="16"/>
        <v>2.9000000000000004</v>
      </c>
      <c r="L229" s="5">
        <f t="shared" si="17"/>
        <v>7.54</v>
      </c>
      <c r="M229">
        <v>900</v>
      </c>
      <c r="N229">
        <f t="shared" si="18"/>
        <v>9</v>
      </c>
      <c r="O229" s="10">
        <f t="shared" si="19"/>
        <v>4.3600000000000003</v>
      </c>
      <c r="P229" t="str">
        <f>VLOOKUP(B229,[1]Sheet1!$A:$F,6,0)</f>
        <v>Adalberto Jasso</v>
      </c>
    </row>
    <row r="230" spans="1:16" hidden="1" x14ac:dyDescent="0.35">
      <c r="A230" t="s">
        <v>16</v>
      </c>
      <c r="B230">
        <v>109</v>
      </c>
      <c r="C230">
        <v>1</v>
      </c>
      <c r="D230" t="s">
        <v>482</v>
      </c>
      <c r="E230" t="s">
        <v>14</v>
      </c>
      <c r="F230">
        <v>6</v>
      </c>
      <c r="G230" t="s">
        <v>25</v>
      </c>
      <c r="H230" s="2">
        <v>0.2</v>
      </c>
      <c r="I230" s="4">
        <f t="shared" si="15"/>
        <v>1.2000000000000002</v>
      </c>
      <c r="J230">
        <v>6</v>
      </c>
      <c r="K230">
        <f t="shared" si="16"/>
        <v>0.60000000000000009</v>
      </c>
      <c r="L230" s="5">
        <f t="shared" si="17"/>
        <v>1.8000000000000003</v>
      </c>
      <c r="M230">
        <v>550</v>
      </c>
      <c r="N230">
        <f t="shared" si="18"/>
        <v>5.5</v>
      </c>
      <c r="O230" s="10">
        <f t="shared" si="19"/>
        <v>4.3</v>
      </c>
      <c r="P230" t="str">
        <f>VLOOKUP(B230,[1]Sheet1!$A:$F,6,0)</f>
        <v>danny cano</v>
      </c>
    </row>
    <row r="231" spans="1:16" hidden="1" x14ac:dyDescent="0.35">
      <c r="A231" t="s">
        <v>19</v>
      </c>
      <c r="B231">
        <v>3</v>
      </c>
      <c r="C231">
        <v>1</v>
      </c>
      <c r="D231" t="s">
        <v>446</v>
      </c>
      <c r="E231" t="s">
        <v>14</v>
      </c>
      <c r="F231">
        <v>30</v>
      </c>
      <c r="G231" t="s">
        <v>276</v>
      </c>
      <c r="H231" s="2">
        <v>0.16</v>
      </c>
      <c r="I231" s="4">
        <f t="shared" si="15"/>
        <v>4.8</v>
      </c>
      <c r="J231">
        <v>30</v>
      </c>
      <c r="K231">
        <f t="shared" si="16"/>
        <v>3</v>
      </c>
      <c r="L231" s="5">
        <f t="shared" si="17"/>
        <v>7.8</v>
      </c>
      <c r="M231">
        <v>900</v>
      </c>
      <c r="N231">
        <f t="shared" si="18"/>
        <v>9</v>
      </c>
      <c r="O231" s="10">
        <f t="shared" si="19"/>
        <v>4.2</v>
      </c>
      <c r="P231" t="str">
        <f>VLOOKUP(B231,[1]Sheet1!$A:$F,6,0)</f>
        <v>Julie Phillips</v>
      </c>
    </row>
    <row r="232" spans="1:16" hidden="1" x14ac:dyDescent="0.35">
      <c r="A232" t="s">
        <v>16</v>
      </c>
      <c r="B232" t="s">
        <v>287</v>
      </c>
      <c r="C232">
        <v>1</v>
      </c>
      <c r="D232" t="s">
        <v>288</v>
      </c>
      <c r="E232" t="s">
        <v>14</v>
      </c>
      <c r="F232">
        <v>149</v>
      </c>
      <c r="G232" t="s">
        <v>206</v>
      </c>
      <c r="H232" s="2">
        <v>0.12</v>
      </c>
      <c r="I232" s="4">
        <f t="shared" si="15"/>
        <v>17.88</v>
      </c>
      <c r="J232">
        <v>149</v>
      </c>
      <c r="K232">
        <f t="shared" si="16"/>
        <v>14.9</v>
      </c>
      <c r="L232" s="5">
        <f t="shared" si="17"/>
        <v>32.78</v>
      </c>
      <c r="M232">
        <v>2200</v>
      </c>
      <c r="N232">
        <f t="shared" si="18"/>
        <v>22</v>
      </c>
      <c r="O232" s="10">
        <f t="shared" si="19"/>
        <v>4.120000000000001</v>
      </c>
      <c r="P232" t="str">
        <f>VLOOKUP(B232,[1]Sheet1!$A:$F,6,0)</f>
        <v>Ineabel Del toro</v>
      </c>
    </row>
    <row r="233" spans="1:16" hidden="1" x14ac:dyDescent="0.35">
      <c r="A233" t="s">
        <v>16</v>
      </c>
      <c r="B233">
        <v>107</v>
      </c>
      <c r="C233">
        <v>1</v>
      </c>
      <c r="D233" t="s">
        <v>459</v>
      </c>
      <c r="E233" t="s">
        <v>14</v>
      </c>
      <c r="F233">
        <v>28</v>
      </c>
      <c r="G233" t="s">
        <v>25</v>
      </c>
      <c r="H233" s="2">
        <v>0.2</v>
      </c>
      <c r="I233" s="4">
        <f t="shared" si="15"/>
        <v>5.6000000000000005</v>
      </c>
      <c r="J233">
        <v>28</v>
      </c>
      <c r="K233">
        <f t="shared" si="16"/>
        <v>2.8000000000000003</v>
      </c>
      <c r="L233" s="5">
        <f t="shared" si="17"/>
        <v>8.4</v>
      </c>
      <c r="M233">
        <v>953</v>
      </c>
      <c r="N233">
        <f t="shared" si="18"/>
        <v>9.5299999999999994</v>
      </c>
      <c r="O233" s="10">
        <f t="shared" si="19"/>
        <v>3.9299999999999988</v>
      </c>
      <c r="P233" t="str">
        <f>VLOOKUP(B233,[1]Sheet1!$A:$F,6,0)</f>
        <v>Katie Nguyen</v>
      </c>
    </row>
    <row r="234" spans="1:16" hidden="1" x14ac:dyDescent="0.35">
      <c r="A234" t="s">
        <v>11</v>
      </c>
      <c r="B234">
        <v>208</v>
      </c>
      <c r="C234">
        <v>1</v>
      </c>
      <c r="D234" t="s">
        <v>445</v>
      </c>
      <c r="E234" t="s">
        <v>14</v>
      </c>
      <c r="F234">
        <v>31</v>
      </c>
      <c r="G234" t="s">
        <v>35</v>
      </c>
      <c r="H234" s="2">
        <v>7.0000000000000007E-2</v>
      </c>
      <c r="I234" s="4">
        <f t="shared" si="15"/>
        <v>2.1700000000000004</v>
      </c>
      <c r="J234">
        <v>31</v>
      </c>
      <c r="K234">
        <f t="shared" si="16"/>
        <v>3.1</v>
      </c>
      <c r="L234" s="5">
        <f t="shared" si="17"/>
        <v>5.2700000000000005</v>
      </c>
      <c r="M234">
        <v>600</v>
      </c>
      <c r="N234">
        <f t="shared" si="18"/>
        <v>6</v>
      </c>
      <c r="O234" s="10">
        <f t="shared" si="19"/>
        <v>3.8299999999999996</v>
      </c>
      <c r="P234" t="str">
        <f>VLOOKUP(B234,[1]Sheet1!$A:$F,6,0)</f>
        <v>Regina Tobar</v>
      </c>
    </row>
    <row r="235" spans="1:16" hidden="1" x14ac:dyDescent="0.35">
      <c r="A235" t="s">
        <v>19</v>
      </c>
      <c r="B235">
        <v>179</v>
      </c>
      <c r="C235">
        <v>1</v>
      </c>
      <c r="D235" t="s">
        <v>388</v>
      </c>
      <c r="E235" t="s">
        <v>14</v>
      </c>
      <c r="F235">
        <v>64</v>
      </c>
      <c r="G235" t="s">
        <v>206</v>
      </c>
      <c r="H235" s="2">
        <v>0.12</v>
      </c>
      <c r="I235" s="4">
        <f t="shared" si="15"/>
        <v>7.68</v>
      </c>
      <c r="J235">
        <v>64</v>
      </c>
      <c r="K235">
        <f t="shared" si="16"/>
        <v>6.4</v>
      </c>
      <c r="L235" s="5">
        <f t="shared" si="17"/>
        <v>14.08</v>
      </c>
      <c r="M235">
        <v>1150</v>
      </c>
      <c r="N235">
        <f t="shared" si="18"/>
        <v>11.5</v>
      </c>
      <c r="O235" s="10">
        <f t="shared" si="19"/>
        <v>3.8200000000000003</v>
      </c>
      <c r="P235" t="str">
        <f>VLOOKUP(B235,[1]Sheet1!$A:$F,6,0)</f>
        <v>Devonda Davis</v>
      </c>
    </row>
    <row r="236" spans="1:16" hidden="1" x14ac:dyDescent="0.35">
      <c r="A236" t="s">
        <v>16</v>
      </c>
      <c r="B236">
        <v>114</v>
      </c>
      <c r="C236">
        <v>1</v>
      </c>
      <c r="D236" t="s">
        <v>472</v>
      </c>
      <c r="E236" t="s">
        <v>14</v>
      </c>
      <c r="F236">
        <v>18</v>
      </c>
      <c r="G236" t="s">
        <v>35</v>
      </c>
      <c r="H236" s="2">
        <v>7.0000000000000007E-2</v>
      </c>
      <c r="I236" s="4">
        <f t="shared" si="15"/>
        <v>1.2600000000000002</v>
      </c>
      <c r="J236">
        <v>18</v>
      </c>
      <c r="K236">
        <f t="shared" si="16"/>
        <v>1.8</v>
      </c>
      <c r="L236" s="5">
        <f t="shared" si="17"/>
        <v>3.0600000000000005</v>
      </c>
      <c r="M236">
        <v>500</v>
      </c>
      <c r="N236">
        <f t="shared" si="18"/>
        <v>5</v>
      </c>
      <c r="O236" s="10">
        <f t="shared" si="19"/>
        <v>3.7399999999999998</v>
      </c>
      <c r="P236" t="str">
        <f>VLOOKUP(B236,[1]Sheet1!$A:$F,6,0)</f>
        <v>Rebecca Alvarado</v>
      </c>
    </row>
    <row r="237" spans="1:16" hidden="1" x14ac:dyDescent="0.35">
      <c r="A237" t="s">
        <v>11</v>
      </c>
      <c r="B237">
        <v>143</v>
      </c>
      <c r="C237">
        <v>1</v>
      </c>
      <c r="D237" t="s">
        <v>363</v>
      </c>
      <c r="E237" t="s">
        <v>14</v>
      </c>
      <c r="F237">
        <v>73</v>
      </c>
      <c r="G237" t="s">
        <v>35</v>
      </c>
      <c r="H237" s="2">
        <v>7.0000000000000007E-2</v>
      </c>
      <c r="I237" s="4">
        <f t="shared" si="15"/>
        <v>5.1100000000000003</v>
      </c>
      <c r="J237">
        <v>73</v>
      </c>
      <c r="K237">
        <f t="shared" si="16"/>
        <v>7.3000000000000007</v>
      </c>
      <c r="L237" s="5">
        <f t="shared" si="17"/>
        <v>12.41</v>
      </c>
      <c r="M237">
        <v>875</v>
      </c>
      <c r="N237">
        <f t="shared" si="18"/>
        <v>8.75</v>
      </c>
      <c r="O237" s="10">
        <f t="shared" si="19"/>
        <v>3.6399999999999997</v>
      </c>
      <c r="P237" t="str">
        <f>VLOOKUP(B237,[1]Sheet1!$A:$F,6,0)</f>
        <v>Ademola Lawal</v>
      </c>
    </row>
    <row r="238" spans="1:16" hidden="1" x14ac:dyDescent="0.35">
      <c r="A238" t="s">
        <v>26</v>
      </c>
      <c r="B238">
        <v>36</v>
      </c>
      <c r="C238">
        <v>1</v>
      </c>
      <c r="D238" t="s">
        <v>454</v>
      </c>
      <c r="E238" t="s">
        <v>14</v>
      </c>
      <c r="F238">
        <v>22</v>
      </c>
      <c r="G238" t="s">
        <v>25</v>
      </c>
      <c r="H238" s="2">
        <v>0.2</v>
      </c>
      <c r="I238" s="4">
        <f t="shared" si="15"/>
        <v>4.4000000000000004</v>
      </c>
      <c r="J238">
        <v>22</v>
      </c>
      <c r="K238">
        <f t="shared" si="16"/>
        <v>2.2000000000000002</v>
      </c>
      <c r="L238" s="5">
        <f t="shared" si="17"/>
        <v>6.6000000000000005</v>
      </c>
      <c r="M238">
        <v>800</v>
      </c>
      <c r="N238">
        <f t="shared" si="18"/>
        <v>8</v>
      </c>
      <c r="O238" s="10">
        <f t="shared" si="19"/>
        <v>3.5999999999999996</v>
      </c>
      <c r="P238" t="str">
        <f>VLOOKUP(B238,[1]Sheet1!$A:$F,6,0)</f>
        <v>Jay Raman</v>
      </c>
    </row>
    <row r="239" spans="1:16" hidden="1" x14ac:dyDescent="0.35">
      <c r="A239" t="s">
        <v>19</v>
      </c>
      <c r="B239">
        <v>5</v>
      </c>
      <c r="C239">
        <v>1</v>
      </c>
      <c r="D239" t="s">
        <v>481</v>
      </c>
      <c r="E239" t="s">
        <v>14</v>
      </c>
      <c r="F239">
        <v>10</v>
      </c>
      <c r="G239" t="s">
        <v>276</v>
      </c>
      <c r="H239" s="2">
        <v>0.16</v>
      </c>
      <c r="I239" s="4">
        <f t="shared" si="15"/>
        <v>1.6</v>
      </c>
      <c r="J239">
        <v>10</v>
      </c>
      <c r="K239">
        <f t="shared" si="16"/>
        <v>1</v>
      </c>
      <c r="L239" s="5">
        <f t="shared" si="17"/>
        <v>2.6</v>
      </c>
      <c r="M239">
        <v>500</v>
      </c>
      <c r="N239">
        <f t="shared" si="18"/>
        <v>5</v>
      </c>
      <c r="O239" s="10">
        <f t="shared" si="19"/>
        <v>3.4</v>
      </c>
      <c r="P239" t="str">
        <f>VLOOKUP(B239,[1]Sheet1!$A:$F,6,0)</f>
        <v>Holly Whitaker</v>
      </c>
    </row>
    <row r="240" spans="1:16" hidden="1" x14ac:dyDescent="0.35">
      <c r="A240" t="s">
        <v>11</v>
      </c>
      <c r="B240">
        <v>201</v>
      </c>
      <c r="C240">
        <v>1</v>
      </c>
      <c r="D240" t="s">
        <v>388</v>
      </c>
      <c r="E240" t="s">
        <v>14</v>
      </c>
      <c r="F240">
        <v>64</v>
      </c>
      <c r="G240" t="s">
        <v>206</v>
      </c>
      <c r="H240" s="2">
        <v>0.12</v>
      </c>
      <c r="I240" s="4">
        <f t="shared" si="15"/>
        <v>7.68</v>
      </c>
      <c r="J240">
        <v>64</v>
      </c>
      <c r="K240">
        <f t="shared" si="16"/>
        <v>6.4</v>
      </c>
      <c r="L240" s="5">
        <f t="shared" si="17"/>
        <v>14.08</v>
      </c>
      <c r="M240">
        <v>1100</v>
      </c>
      <c r="N240">
        <f t="shared" si="18"/>
        <v>11</v>
      </c>
      <c r="O240" s="10">
        <f t="shared" si="19"/>
        <v>3.3200000000000003</v>
      </c>
      <c r="P240" t="str">
        <f>VLOOKUP(B240,[1]Sheet1!$A:$F,6,0)</f>
        <v>Pamela Lockett</v>
      </c>
    </row>
    <row r="241" spans="1:16" hidden="1" x14ac:dyDescent="0.35">
      <c r="A241" t="s">
        <v>11</v>
      </c>
      <c r="B241">
        <v>226</v>
      </c>
      <c r="C241">
        <v>1</v>
      </c>
      <c r="D241" t="s">
        <v>416</v>
      </c>
      <c r="E241" t="s">
        <v>14</v>
      </c>
      <c r="F241">
        <v>50</v>
      </c>
      <c r="G241" t="s">
        <v>206</v>
      </c>
      <c r="H241" s="2">
        <v>0.12</v>
      </c>
      <c r="I241" s="4">
        <f t="shared" si="15"/>
        <v>6</v>
      </c>
      <c r="J241">
        <v>50</v>
      </c>
      <c r="K241">
        <f t="shared" si="16"/>
        <v>5</v>
      </c>
      <c r="L241" s="5">
        <f t="shared" si="17"/>
        <v>11</v>
      </c>
      <c r="M241">
        <v>925</v>
      </c>
      <c r="N241">
        <f t="shared" si="18"/>
        <v>9.25</v>
      </c>
      <c r="O241" s="10">
        <f t="shared" si="19"/>
        <v>3.25</v>
      </c>
      <c r="P241" t="str">
        <f>VLOOKUP(B241,[1]Sheet1!$A:$F,6,0)</f>
        <v>Julie Phillips</v>
      </c>
    </row>
    <row r="242" spans="1:16" hidden="1" x14ac:dyDescent="0.35">
      <c r="A242" t="s">
        <v>19</v>
      </c>
      <c r="B242">
        <v>158</v>
      </c>
      <c r="C242">
        <v>1</v>
      </c>
      <c r="D242" t="s">
        <v>457</v>
      </c>
      <c r="E242" t="s">
        <v>14</v>
      </c>
      <c r="F242">
        <v>29</v>
      </c>
      <c r="G242" t="s">
        <v>35</v>
      </c>
      <c r="H242" s="2">
        <v>7.0000000000000007E-2</v>
      </c>
      <c r="I242" s="4">
        <f t="shared" si="15"/>
        <v>2.0300000000000002</v>
      </c>
      <c r="J242">
        <v>29</v>
      </c>
      <c r="K242">
        <f t="shared" si="16"/>
        <v>2.9000000000000004</v>
      </c>
      <c r="L242" s="5">
        <f t="shared" si="17"/>
        <v>4.9300000000000006</v>
      </c>
      <c r="M242">
        <v>525</v>
      </c>
      <c r="N242">
        <f t="shared" si="18"/>
        <v>5.25</v>
      </c>
      <c r="O242" s="10">
        <f t="shared" si="19"/>
        <v>3.2199999999999998</v>
      </c>
      <c r="P242" t="str">
        <f>VLOOKUP(B242,[1]Sheet1!$A:$F,6,0)</f>
        <v>Mohsin Mirza</v>
      </c>
    </row>
    <row r="243" spans="1:16" hidden="1" x14ac:dyDescent="0.35">
      <c r="A243" t="s">
        <v>19</v>
      </c>
      <c r="B243">
        <v>155</v>
      </c>
      <c r="C243">
        <v>1</v>
      </c>
      <c r="D243" t="s">
        <v>477</v>
      </c>
      <c r="E243" t="s">
        <v>14</v>
      </c>
      <c r="F243">
        <v>14</v>
      </c>
      <c r="G243" t="s">
        <v>25</v>
      </c>
      <c r="H243" s="2">
        <v>0.2</v>
      </c>
      <c r="I243" s="4">
        <f t="shared" si="15"/>
        <v>2.8000000000000003</v>
      </c>
      <c r="J243">
        <v>14</v>
      </c>
      <c r="K243">
        <f t="shared" si="16"/>
        <v>1.4000000000000001</v>
      </c>
      <c r="L243" s="5">
        <f t="shared" si="17"/>
        <v>4.2</v>
      </c>
      <c r="M243">
        <v>600</v>
      </c>
      <c r="N243">
        <f t="shared" si="18"/>
        <v>6</v>
      </c>
      <c r="O243" s="10">
        <f t="shared" si="19"/>
        <v>3.1999999999999997</v>
      </c>
      <c r="P243" t="str">
        <f>VLOOKUP(B243,[1]Sheet1!$A:$F,6,0)</f>
        <v>Mary Newton</v>
      </c>
    </row>
    <row r="244" spans="1:16" hidden="1" x14ac:dyDescent="0.35">
      <c r="A244" t="s">
        <v>11</v>
      </c>
      <c r="B244">
        <v>142</v>
      </c>
      <c r="C244">
        <v>1</v>
      </c>
      <c r="D244" t="s">
        <v>398</v>
      </c>
      <c r="E244" t="s">
        <v>14</v>
      </c>
      <c r="F244">
        <v>60</v>
      </c>
      <c r="G244" t="s">
        <v>35</v>
      </c>
      <c r="H244" s="2">
        <v>7.0000000000000007E-2</v>
      </c>
      <c r="I244" s="4">
        <f t="shared" si="15"/>
        <v>4.2</v>
      </c>
      <c r="J244">
        <v>60</v>
      </c>
      <c r="K244">
        <f t="shared" si="16"/>
        <v>6</v>
      </c>
      <c r="L244" s="5">
        <f t="shared" si="17"/>
        <v>10.199999999999999</v>
      </c>
      <c r="M244">
        <v>675</v>
      </c>
      <c r="N244">
        <f t="shared" si="18"/>
        <v>6.75</v>
      </c>
      <c r="O244" s="10">
        <f t="shared" si="19"/>
        <v>2.5499999999999998</v>
      </c>
      <c r="P244" t="str">
        <f>VLOOKUP(B244,[1]Sheet1!$A:$F,6,0)</f>
        <v>Matt Montes</v>
      </c>
    </row>
    <row r="245" spans="1:16" hidden="1" x14ac:dyDescent="0.35">
      <c r="A245" t="s">
        <v>26</v>
      </c>
      <c r="B245">
        <v>74</v>
      </c>
      <c r="C245">
        <v>1</v>
      </c>
      <c r="D245" t="s">
        <v>438</v>
      </c>
      <c r="E245" t="s">
        <v>14</v>
      </c>
      <c r="F245">
        <v>36</v>
      </c>
      <c r="G245" t="s">
        <v>35</v>
      </c>
      <c r="H245" s="2">
        <v>7.0000000000000007E-2</v>
      </c>
      <c r="I245" s="4">
        <f t="shared" si="15"/>
        <v>2.5200000000000005</v>
      </c>
      <c r="J245">
        <v>36</v>
      </c>
      <c r="K245">
        <f t="shared" si="16"/>
        <v>3.6</v>
      </c>
      <c r="L245" s="5">
        <f t="shared" si="17"/>
        <v>6.120000000000001</v>
      </c>
      <c r="M245">
        <v>500</v>
      </c>
      <c r="N245">
        <f t="shared" si="18"/>
        <v>5</v>
      </c>
      <c r="O245" s="10">
        <f t="shared" si="19"/>
        <v>2.4799999999999995</v>
      </c>
      <c r="P245" t="str">
        <f>VLOOKUP(B245,[1]Sheet1!$A:$F,6,0)</f>
        <v>Katie Nguyen</v>
      </c>
    </row>
    <row r="246" spans="1:16" hidden="1" x14ac:dyDescent="0.35">
      <c r="A246" t="s">
        <v>26</v>
      </c>
      <c r="B246">
        <v>53</v>
      </c>
      <c r="C246">
        <v>1</v>
      </c>
      <c r="D246" t="s">
        <v>479</v>
      </c>
      <c r="E246" t="s">
        <v>14</v>
      </c>
      <c r="F246">
        <v>13</v>
      </c>
      <c r="G246" t="s">
        <v>25</v>
      </c>
      <c r="H246" s="2">
        <v>0.2</v>
      </c>
      <c r="I246" s="4">
        <f t="shared" si="15"/>
        <v>2.6</v>
      </c>
      <c r="J246">
        <v>13</v>
      </c>
      <c r="K246">
        <f t="shared" si="16"/>
        <v>1.3</v>
      </c>
      <c r="L246" s="5">
        <f t="shared" si="17"/>
        <v>3.9000000000000004</v>
      </c>
      <c r="M246">
        <v>500</v>
      </c>
      <c r="N246">
        <f t="shared" si="18"/>
        <v>5</v>
      </c>
      <c r="O246" s="10">
        <f t="shared" si="19"/>
        <v>2.4</v>
      </c>
      <c r="P246" t="str">
        <f>VLOOKUP(B246,[1]Sheet1!$A:$F,6,0)</f>
        <v>Ademola Lawal</v>
      </c>
    </row>
    <row r="247" spans="1:16" hidden="1" x14ac:dyDescent="0.35">
      <c r="A247" t="s">
        <v>19</v>
      </c>
      <c r="B247">
        <v>86</v>
      </c>
      <c r="C247">
        <v>1</v>
      </c>
      <c r="D247" t="s">
        <v>468</v>
      </c>
      <c r="E247" t="s">
        <v>14</v>
      </c>
      <c r="F247">
        <v>23</v>
      </c>
      <c r="G247" t="s">
        <v>276</v>
      </c>
      <c r="H247" s="2">
        <v>0.16</v>
      </c>
      <c r="I247" s="4">
        <f t="shared" si="15"/>
        <v>3.68</v>
      </c>
      <c r="J247">
        <v>23</v>
      </c>
      <c r="K247">
        <f t="shared" si="16"/>
        <v>2.3000000000000003</v>
      </c>
      <c r="L247" s="5">
        <f t="shared" si="17"/>
        <v>5.98</v>
      </c>
      <c r="M247">
        <v>600</v>
      </c>
      <c r="N247">
        <f t="shared" si="18"/>
        <v>6</v>
      </c>
      <c r="O247" s="10">
        <f t="shared" si="19"/>
        <v>2.3199999999999998</v>
      </c>
      <c r="P247" t="str">
        <f>VLOOKUP(B247,[1]Sheet1!$A:$F,6,0)</f>
        <v>Jacob Steinman</v>
      </c>
    </row>
    <row r="248" spans="1:16" hidden="1" x14ac:dyDescent="0.35">
      <c r="A248" t="s">
        <v>26</v>
      </c>
      <c r="B248">
        <v>64</v>
      </c>
      <c r="C248">
        <v>1</v>
      </c>
      <c r="D248" t="s">
        <v>431</v>
      </c>
      <c r="E248" t="s">
        <v>14</v>
      </c>
      <c r="F248">
        <v>40</v>
      </c>
      <c r="G248" t="s">
        <v>35</v>
      </c>
      <c r="H248" s="2">
        <v>7.0000000000000007E-2</v>
      </c>
      <c r="I248" s="4">
        <f t="shared" si="15"/>
        <v>2.8000000000000003</v>
      </c>
      <c r="J248">
        <v>40</v>
      </c>
      <c r="K248">
        <f t="shared" si="16"/>
        <v>4</v>
      </c>
      <c r="L248" s="5">
        <f t="shared" si="17"/>
        <v>6.8000000000000007</v>
      </c>
      <c r="M248">
        <v>500</v>
      </c>
      <c r="N248">
        <f t="shared" si="18"/>
        <v>5</v>
      </c>
      <c r="O248" s="10">
        <f t="shared" si="19"/>
        <v>2.1999999999999997</v>
      </c>
      <c r="P248" t="str">
        <f>VLOOKUP(B248,[1]Sheet1!$A:$F,6,0)</f>
        <v>Sandra Escobar</v>
      </c>
    </row>
    <row r="249" spans="1:16" hidden="1" x14ac:dyDescent="0.35">
      <c r="A249" t="s">
        <v>16</v>
      </c>
      <c r="B249">
        <v>122</v>
      </c>
      <c r="C249">
        <v>1</v>
      </c>
      <c r="D249" t="s">
        <v>456</v>
      </c>
      <c r="E249" t="s">
        <v>14</v>
      </c>
      <c r="F249">
        <v>29</v>
      </c>
      <c r="G249" t="s">
        <v>206</v>
      </c>
      <c r="H249" s="2">
        <v>0.12</v>
      </c>
      <c r="I249" s="4">
        <f t="shared" si="15"/>
        <v>3.48</v>
      </c>
      <c r="J249">
        <v>29</v>
      </c>
      <c r="K249">
        <f t="shared" si="16"/>
        <v>2.9000000000000004</v>
      </c>
      <c r="L249" s="5">
        <f t="shared" si="17"/>
        <v>6.3800000000000008</v>
      </c>
      <c r="M249">
        <v>550</v>
      </c>
      <c r="N249">
        <f t="shared" si="18"/>
        <v>5.5</v>
      </c>
      <c r="O249" s="10">
        <f t="shared" si="19"/>
        <v>2.02</v>
      </c>
      <c r="P249" t="str">
        <f>VLOOKUP(B249,[1]Sheet1!$A:$F,6,0)</f>
        <v>Vansa Hanson</v>
      </c>
    </row>
    <row r="250" spans="1:16" hidden="1" x14ac:dyDescent="0.35">
      <c r="A250" t="s">
        <v>11</v>
      </c>
      <c r="B250">
        <v>217</v>
      </c>
      <c r="C250">
        <v>1</v>
      </c>
      <c r="D250" t="s">
        <v>415</v>
      </c>
      <c r="E250" t="s">
        <v>14</v>
      </c>
      <c r="F250">
        <v>50</v>
      </c>
      <c r="G250" t="s">
        <v>35</v>
      </c>
      <c r="H250" s="2">
        <v>7.0000000000000007E-2</v>
      </c>
      <c r="I250" s="4">
        <f t="shared" si="15"/>
        <v>3.5000000000000004</v>
      </c>
      <c r="J250">
        <v>50</v>
      </c>
      <c r="K250">
        <f t="shared" si="16"/>
        <v>5</v>
      </c>
      <c r="L250" s="5">
        <f t="shared" si="17"/>
        <v>8.5</v>
      </c>
      <c r="M250">
        <v>550</v>
      </c>
      <c r="N250">
        <f t="shared" si="18"/>
        <v>5.5</v>
      </c>
      <c r="O250" s="10">
        <f t="shared" si="19"/>
        <v>1.9999999999999996</v>
      </c>
      <c r="P250" t="str">
        <f>VLOOKUP(B250,[1]Sheet1!$A:$F,6,0)</f>
        <v>Carissa Reyes</v>
      </c>
    </row>
    <row r="251" spans="1:16" hidden="1" x14ac:dyDescent="0.35">
      <c r="A251" t="s">
        <v>26</v>
      </c>
      <c r="B251">
        <v>33</v>
      </c>
      <c r="C251">
        <v>1</v>
      </c>
      <c r="D251" t="s">
        <v>450</v>
      </c>
      <c r="E251" t="s">
        <v>14</v>
      </c>
      <c r="F251">
        <v>30</v>
      </c>
      <c r="G251" t="s">
        <v>276</v>
      </c>
      <c r="H251" s="2">
        <v>0.16</v>
      </c>
      <c r="I251" s="4">
        <f t="shared" si="15"/>
        <v>4.8</v>
      </c>
      <c r="J251">
        <v>30</v>
      </c>
      <c r="K251">
        <f t="shared" si="16"/>
        <v>3</v>
      </c>
      <c r="L251" s="5">
        <f t="shared" si="17"/>
        <v>7.8</v>
      </c>
      <c r="M251">
        <v>675</v>
      </c>
      <c r="N251">
        <f t="shared" si="18"/>
        <v>6.75</v>
      </c>
      <c r="O251" s="10">
        <f t="shared" si="19"/>
        <v>1.9500000000000002</v>
      </c>
      <c r="P251" t="str">
        <f>VLOOKUP(B251,[1]Sheet1!$A:$F,6,0)</f>
        <v>freddie hejjo</v>
      </c>
    </row>
    <row r="252" spans="1:16" hidden="1" x14ac:dyDescent="0.35">
      <c r="A252" t="s">
        <v>11</v>
      </c>
      <c r="B252">
        <v>229</v>
      </c>
      <c r="C252">
        <v>1</v>
      </c>
      <c r="D252" t="s">
        <v>422</v>
      </c>
      <c r="E252" t="s">
        <v>14</v>
      </c>
      <c r="F252">
        <v>44</v>
      </c>
      <c r="G252" t="s">
        <v>35</v>
      </c>
      <c r="H252" s="2">
        <v>7.0000000000000007E-2</v>
      </c>
      <c r="I252" s="4">
        <f t="shared" si="15"/>
        <v>3.08</v>
      </c>
      <c r="J252">
        <v>44</v>
      </c>
      <c r="K252">
        <f t="shared" si="16"/>
        <v>4.4000000000000004</v>
      </c>
      <c r="L252" s="5">
        <f t="shared" si="17"/>
        <v>7.48</v>
      </c>
      <c r="M252">
        <v>500</v>
      </c>
      <c r="N252">
        <f t="shared" si="18"/>
        <v>5</v>
      </c>
      <c r="O252" s="10">
        <f t="shared" si="19"/>
        <v>1.92</v>
      </c>
      <c r="P252" t="str">
        <f>VLOOKUP(B252,[1]Sheet1!$A:$F,6,0)</f>
        <v>Arlene Pereira</v>
      </c>
    </row>
    <row r="253" spans="1:16" hidden="1" x14ac:dyDescent="0.35">
      <c r="A253" t="s">
        <v>11</v>
      </c>
      <c r="B253">
        <v>219</v>
      </c>
      <c r="C253">
        <v>1</v>
      </c>
      <c r="D253" t="s">
        <v>373</v>
      </c>
      <c r="E253" t="s">
        <v>14</v>
      </c>
      <c r="F253">
        <v>70</v>
      </c>
      <c r="G253" t="s">
        <v>35</v>
      </c>
      <c r="H253" s="2">
        <v>7.0000000000000007E-2</v>
      </c>
      <c r="I253" s="4">
        <f t="shared" si="15"/>
        <v>4.9000000000000004</v>
      </c>
      <c r="J253">
        <v>70</v>
      </c>
      <c r="K253">
        <f t="shared" si="16"/>
        <v>7</v>
      </c>
      <c r="L253" s="5">
        <f t="shared" si="17"/>
        <v>11.9</v>
      </c>
      <c r="M253">
        <v>675</v>
      </c>
      <c r="N253">
        <f t="shared" si="18"/>
        <v>6.75</v>
      </c>
      <c r="O253" s="10">
        <f t="shared" si="19"/>
        <v>1.8499999999999996</v>
      </c>
      <c r="P253" t="str">
        <f>VLOOKUP(B253,[1]Sheet1!$A:$F,6,0)</f>
        <v>Adrian Morales</v>
      </c>
    </row>
    <row r="254" spans="1:16" hidden="1" x14ac:dyDescent="0.35">
      <c r="A254" t="s">
        <v>19</v>
      </c>
      <c r="B254">
        <v>78</v>
      </c>
      <c r="C254">
        <v>1</v>
      </c>
      <c r="D254" t="s">
        <v>475</v>
      </c>
      <c r="E254" t="s">
        <v>14</v>
      </c>
      <c r="F254">
        <v>17</v>
      </c>
      <c r="G254" t="s">
        <v>25</v>
      </c>
      <c r="H254" s="2">
        <v>0.2</v>
      </c>
      <c r="I254" s="4">
        <f t="shared" si="15"/>
        <v>3.4000000000000004</v>
      </c>
      <c r="J254">
        <v>17</v>
      </c>
      <c r="K254">
        <f t="shared" si="16"/>
        <v>1.7000000000000002</v>
      </c>
      <c r="L254" s="5">
        <f t="shared" si="17"/>
        <v>5.1000000000000005</v>
      </c>
      <c r="M254">
        <v>525</v>
      </c>
      <c r="N254">
        <f t="shared" si="18"/>
        <v>5.25</v>
      </c>
      <c r="O254" s="10">
        <f t="shared" si="19"/>
        <v>1.8499999999999996</v>
      </c>
      <c r="P254" t="str">
        <f>VLOOKUP(B254,[1]Sheet1!$A:$F,6,0)</f>
        <v>Laurie Lavoie</v>
      </c>
    </row>
    <row r="255" spans="1:16" hidden="1" x14ac:dyDescent="0.35">
      <c r="A255" t="s">
        <v>19</v>
      </c>
      <c r="B255">
        <v>79</v>
      </c>
      <c r="C255">
        <v>1</v>
      </c>
      <c r="D255" t="s">
        <v>475</v>
      </c>
      <c r="E255" t="s">
        <v>14</v>
      </c>
      <c r="F255">
        <v>17</v>
      </c>
      <c r="G255" t="s">
        <v>25</v>
      </c>
      <c r="H255" s="2">
        <v>0.2</v>
      </c>
      <c r="I255" s="4">
        <f t="shared" si="15"/>
        <v>3.4000000000000004</v>
      </c>
      <c r="J255">
        <v>17</v>
      </c>
      <c r="K255">
        <f t="shared" si="16"/>
        <v>1.7000000000000002</v>
      </c>
      <c r="L255" s="5">
        <f t="shared" si="17"/>
        <v>5.1000000000000005</v>
      </c>
      <c r="M255">
        <v>525</v>
      </c>
      <c r="N255">
        <f t="shared" si="18"/>
        <v>5.25</v>
      </c>
      <c r="O255" s="10">
        <f t="shared" si="19"/>
        <v>1.8499999999999996</v>
      </c>
      <c r="P255" t="str">
        <f>VLOOKUP(B255,[1]Sheet1!$A:$F,6,0)</f>
        <v>Katie Nguyen</v>
      </c>
    </row>
    <row r="256" spans="1:16" hidden="1" x14ac:dyDescent="0.35">
      <c r="A256" t="s">
        <v>19</v>
      </c>
      <c r="B256">
        <v>169</v>
      </c>
      <c r="C256">
        <v>1</v>
      </c>
      <c r="D256" t="s">
        <v>448</v>
      </c>
      <c r="E256" t="s">
        <v>14</v>
      </c>
      <c r="F256">
        <v>30</v>
      </c>
      <c r="G256" t="s">
        <v>206</v>
      </c>
      <c r="H256" s="2">
        <v>0.12</v>
      </c>
      <c r="I256" s="4">
        <f t="shared" si="15"/>
        <v>3.5999999999999996</v>
      </c>
      <c r="J256">
        <v>30</v>
      </c>
      <c r="K256">
        <f t="shared" si="16"/>
        <v>3</v>
      </c>
      <c r="L256" s="5">
        <f t="shared" si="17"/>
        <v>6.6</v>
      </c>
      <c r="M256">
        <v>500</v>
      </c>
      <c r="N256">
        <f t="shared" si="18"/>
        <v>5</v>
      </c>
      <c r="O256" s="10">
        <f t="shared" si="19"/>
        <v>1.4000000000000004</v>
      </c>
      <c r="P256" t="str">
        <f>VLOOKUP(B256,[1]Sheet1!$A:$F,6,0)</f>
        <v>Pamela Lockett</v>
      </c>
    </row>
    <row r="257" spans="1:16" hidden="1" x14ac:dyDescent="0.35">
      <c r="A257" t="s">
        <v>19</v>
      </c>
      <c r="B257">
        <v>7</v>
      </c>
      <c r="C257">
        <v>1</v>
      </c>
      <c r="D257" t="s">
        <v>314</v>
      </c>
      <c r="E257" t="s">
        <v>14</v>
      </c>
      <c r="F257">
        <v>118</v>
      </c>
      <c r="G257" t="s">
        <v>276</v>
      </c>
      <c r="H257" s="2">
        <v>0.16</v>
      </c>
      <c r="I257" s="4">
        <f t="shared" si="15"/>
        <v>18.88</v>
      </c>
      <c r="J257">
        <v>118</v>
      </c>
      <c r="K257">
        <f t="shared" si="16"/>
        <v>11.8</v>
      </c>
      <c r="L257" s="5">
        <f t="shared" si="17"/>
        <v>30.68</v>
      </c>
      <c r="M257">
        <v>2000</v>
      </c>
      <c r="N257">
        <f t="shared" si="18"/>
        <v>20</v>
      </c>
      <c r="O257" s="10">
        <f t="shared" si="19"/>
        <v>1.120000000000001</v>
      </c>
      <c r="P257" t="str">
        <f>VLOOKUP(B257,[1]Sheet1!$A:$F,6,0)</f>
        <v>Lynne Nobles</v>
      </c>
    </row>
    <row r="258" spans="1:16" hidden="1" x14ac:dyDescent="0.35">
      <c r="A258" t="s">
        <v>11</v>
      </c>
      <c r="B258">
        <v>218</v>
      </c>
      <c r="C258">
        <v>1</v>
      </c>
      <c r="D258" t="s">
        <v>444</v>
      </c>
      <c r="E258" t="s">
        <v>14</v>
      </c>
      <c r="F258">
        <v>33</v>
      </c>
      <c r="G258" t="s">
        <v>206</v>
      </c>
      <c r="H258" s="2">
        <v>0.12</v>
      </c>
      <c r="I258" s="4">
        <f t="shared" ref="I258:I321" si="20">J258*H258</f>
        <v>3.96</v>
      </c>
      <c r="J258">
        <v>33</v>
      </c>
      <c r="K258">
        <f t="shared" ref="K258:K321" si="21">J258*10%</f>
        <v>3.3000000000000003</v>
      </c>
      <c r="L258" s="5">
        <f t="shared" ref="L258:L321" si="22">I258+K258</f>
        <v>7.26</v>
      </c>
      <c r="M258">
        <v>500</v>
      </c>
      <c r="N258">
        <f t="shared" ref="N258:N321" si="23">M258/100</f>
        <v>5</v>
      </c>
      <c r="O258" s="10">
        <f t="shared" ref="O258:O321" si="24">N258-I258</f>
        <v>1.04</v>
      </c>
      <c r="P258" t="str">
        <f>VLOOKUP(B258,[1]Sheet1!$A:$F,6,0)</f>
        <v>Mohamed Ammar</v>
      </c>
    </row>
    <row r="259" spans="1:16" hidden="1" x14ac:dyDescent="0.35">
      <c r="A259" t="s">
        <v>19</v>
      </c>
      <c r="B259">
        <v>9</v>
      </c>
      <c r="C259">
        <v>1</v>
      </c>
      <c r="D259" t="s">
        <v>399</v>
      </c>
      <c r="E259" t="s">
        <v>14</v>
      </c>
      <c r="F259">
        <v>56</v>
      </c>
      <c r="G259" t="s">
        <v>276</v>
      </c>
      <c r="H259" s="2">
        <v>0.16</v>
      </c>
      <c r="I259" s="4">
        <f t="shared" si="20"/>
        <v>8.9600000000000009</v>
      </c>
      <c r="J259">
        <v>56</v>
      </c>
      <c r="K259">
        <f t="shared" si="21"/>
        <v>5.6000000000000005</v>
      </c>
      <c r="L259" s="5">
        <f t="shared" si="22"/>
        <v>14.560000000000002</v>
      </c>
      <c r="M259">
        <v>1000</v>
      </c>
      <c r="N259">
        <f t="shared" si="23"/>
        <v>10</v>
      </c>
      <c r="O259" s="10">
        <f t="shared" si="24"/>
        <v>1.0399999999999991</v>
      </c>
      <c r="P259" t="str">
        <f>VLOOKUP(B259,[1]Sheet1!$A:$F,6,0)</f>
        <v>Mary Newton</v>
      </c>
    </row>
    <row r="260" spans="1:16" hidden="1" x14ac:dyDescent="0.35">
      <c r="A260" t="s">
        <v>26</v>
      </c>
      <c r="B260">
        <v>352</v>
      </c>
      <c r="C260">
        <v>1</v>
      </c>
      <c r="D260" t="s">
        <v>322</v>
      </c>
      <c r="E260" t="s">
        <v>14</v>
      </c>
      <c r="F260">
        <v>110</v>
      </c>
      <c r="G260" t="s">
        <v>206</v>
      </c>
      <c r="H260" s="2">
        <v>0.12</v>
      </c>
      <c r="I260" s="4">
        <f t="shared" si="20"/>
        <v>13.2</v>
      </c>
      <c r="J260">
        <v>110</v>
      </c>
      <c r="K260">
        <f t="shared" si="21"/>
        <v>11</v>
      </c>
      <c r="L260" s="5">
        <f t="shared" si="22"/>
        <v>24.2</v>
      </c>
      <c r="M260">
        <v>1400</v>
      </c>
      <c r="N260">
        <f t="shared" si="23"/>
        <v>14</v>
      </c>
      <c r="O260" s="10">
        <f t="shared" si="24"/>
        <v>0.80000000000000071</v>
      </c>
      <c r="P260" t="str">
        <f>VLOOKUP(B260,[1]Sheet1!$A:$F,6,0)</f>
        <v>Pamela Lockett</v>
      </c>
    </row>
    <row r="261" spans="1:16" hidden="1" x14ac:dyDescent="0.35">
      <c r="A261" t="s">
        <v>16</v>
      </c>
      <c r="B261">
        <v>103</v>
      </c>
      <c r="C261">
        <v>1</v>
      </c>
      <c r="D261" t="s">
        <v>454</v>
      </c>
      <c r="E261" t="s">
        <v>14</v>
      </c>
      <c r="F261">
        <v>22</v>
      </c>
      <c r="G261" t="s">
        <v>25</v>
      </c>
      <c r="H261" s="2">
        <v>0.2</v>
      </c>
      <c r="I261" s="4">
        <f t="shared" si="20"/>
        <v>4.4000000000000004</v>
      </c>
      <c r="J261">
        <v>22</v>
      </c>
      <c r="K261">
        <f t="shared" si="21"/>
        <v>2.2000000000000002</v>
      </c>
      <c r="L261" s="5">
        <f t="shared" si="22"/>
        <v>6.6000000000000005</v>
      </c>
      <c r="M261">
        <v>500</v>
      </c>
      <c r="N261">
        <f t="shared" si="23"/>
        <v>5</v>
      </c>
      <c r="O261" s="10">
        <f t="shared" si="24"/>
        <v>0.59999999999999964</v>
      </c>
      <c r="P261" t="str">
        <f>VLOOKUP(B261,[1]Sheet1!$A:$F,6,0)</f>
        <v>Gerardo Medina</v>
      </c>
    </row>
    <row r="262" spans="1:16" hidden="1" x14ac:dyDescent="0.35">
      <c r="A262" t="s">
        <v>26</v>
      </c>
      <c r="B262">
        <v>73</v>
      </c>
      <c r="C262">
        <v>1</v>
      </c>
      <c r="D262" t="s">
        <v>413</v>
      </c>
      <c r="E262" t="s">
        <v>14</v>
      </c>
      <c r="F262">
        <v>50</v>
      </c>
      <c r="G262" t="s">
        <v>206</v>
      </c>
      <c r="H262" s="2">
        <v>0.12</v>
      </c>
      <c r="I262" s="4">
        <f t="shared" si="20"/>
        <v>6</v>
      </c>
      <c r="J262">
        <v>50</v>
      </c>
      <c r="K262">
        <f t="shared" si="21"/>
        <v>5</v>
      </c>
      <c r="L262" s="5">
        <f t="shared" si="22"/>
        <v>11</v>
      </c>
      <c r="M262">
        <v>650</v>
      </c>
      <c r="N262">
        <f t="shared" si="23"/>
        <v>6.5</v>
      </c>
      <c r="O262" s="10">
        <f t="shared" si="24"/>
        <v>0.5</v>
      </c>
      <c r="P262" t="str">
        <f>VLOOKUP(B262,[1]Sheet1!$A:$F,6,0)</f>
        <v>Deepa Dubey</v>
      </c>
    </row>
    <row r="263" spans="1:16" hidden="1" x14ac:dyDescent="0.35">
      <c r="A263" t="s">
        <v>11</v>
      </c>
      <c r="B263">
        <v>211</v>
      </c>
      <c r="C263">
        <v>1</v>
      </c>
      <c r="D263" t="s">
        <v>432</v>
      </c>
      <c r="E263" t="s">
        <v>14</v>
      </c>
      <c r="F263">
        <v>40</v>
      </c>
      <c r="G263" t="s">
        <v>206</v>
      </c>
      <c r="H263" s="2">
        <v>0.12</v>
      </c>
      <c r="I263" s="4">
        <f t="shared" si="20"/>
        <v>4.8</v>
      </c>
      <c r="J263">
        <v>40</v>
      </c>
      <c r="K263">
        <f t="shared" si="21"/>
        <v>4</v>
      </c>
      <c r="L263" s="5">
        <f t="shared" si="22"/>
        <v>8.8000000000000007</v>
      </c>
      <c r="M263">
        <v>525</v>
      </c>
      <c r="N263">
        <f t="shared" si="23"/>
        <v>5.25</v>
      </c>
      <c r="O263" s="10">
        <f t="shared" si="24"/>
        <v>0.45000000000000018</v>
      </c>
      <c r="P263" t="str">
        <f>VLOOKUP(B263,[1]Sheet1!$A:$F,6,0)</f>
        <v>Kelly Hernandez</v>
      </c>
    </row>
    <row r="264" spans="1:16" hidden="1" x14ac:dyDescent="0.35">
      <c r="A264" t="s">
        <v>11</v>
      </c>
      <c r="B264">
        <v>140</v>
      </c>
      <c r="C264">
        <v>1</v>
      </c>
      <c r="D264" t="s">
        <v>386</v>
      </c>
      <c r="E264" t="s">
        <v>14</v>
      </c>
      <c r="F264">
        <v>65</v>
      </c>
      <c r="G264" t="s">
        <v>35</v>
      </c>
      <c r="H264" s="2">
        <v>7.0000000000000007E-2</v>
      </c>
      <c r="I264" s="4">
        <f t="shared" si="20"/>
        <v>4.5500000000000007</v>
      </c>
      <c r="J264">
        <v>65</v>
      </c>
      <c r="K264">
        <f t="shared" si="21"/>
        <v>6.5</v>
      </c>
      <c r="L264" s="5">
        <f t="shared" si="22"/>
        <v>11.05</v>
      </c>
      <c r="M264">
        <v>500</v>
      </c>
      <c r="N264">
        <f t="shared" si="23"/>
        <v>5</v>
      </c>
      <c r="O264" s="10">
        <f t="shared" si="24"/>
        <v>0.44999999999999929</v>
      </c>
      <c r="P264" t="str">
        <f>VLOOKUP(B264,[1]Sheet1!$A:$F,6,0)</f>
        <v>William Garrett</v>
      </c>
    </row>
    <row r="265" spans="1:16" hidden="1" x14ac:dyDescent="0.35">
      <c r="A265" t="s">
        <v>19</v>
      </c>
      <c r="B265">
        <v>82</v>
      </c>
      <c r="C265">
        <v>1</v>
      </c>
      <c r="D265" t="s">
        <v>435</v>
      </c>
      <c r="E265" t="s">
        <v>14</v>
      </c>
      <c r="F265">
        <v>39</v>
      </c>
      <c r="G265" t="s">
        <v>206</v>
      </c>
      <c r="H265" s="2">
        <v>0.12</v>
      </c>
      <c r="I265" s="4">
        <f t="shared" si="20"/>
        <v>4.68</v>
      </c>
      <c r="J265">
        <v>39</v>
      </c>
      <c r="K265">
        <f t="shared" si="21"/>
        <v>3.9000000000000004</v>
      </c>
      <c r="L265" s="5">
        <f t="shared" si="22"/>
        <v>8.58</v>
      </c>
      <c r="M265">
        <v>500</v>
      </c>
      <c r="N265">
        <f t="shared" si="23"/>
        <v>5</v>
      </c>
      <c r="O265" s="10">
        <f t="shared" si="24"/>
        <v>0.32000000000000028</v>
      </c>
      <c r="P265" t="str">
        <f>VLOOKUP(B265,[1]Sheet1!$A:$F,6,0)</f>
        <v>Joseph Haddad</v>
      </c>
    </row>
    <row r="266" spans="1:16" hidden="1" x14ac:dyDescent="0.35">
      <c r="A266" t="s">
        <v>19</v>
      </c>
      <c r="B266">
        <v>166</v>
      </c>
      <c r="C266">
        <v>1</v>
      </c>
      <c r="D266" t="s">
        <v>429</v>
      </c>
      <c r="E266" t="s">
        <v>14</v>
      </c>
      <c r="F266">
        <v>40</v>
      </c>
      <c r="G266" t="s">
        <v>206</v>
      </c>
      <c r="H266" s="2">
        <v>0.12</v>
      </c>
      <c r="I266" s="4">
        <f t="shared" si="20"/>
        <v>4.8</v>
      </c>
      <c r="J266">
        <v>40</v>
      </c>
      <c r="K266">
        <f t="shared" si="21"/>
        <v>4</v>
      </c>
      <c r="L266" s="5">
        <f t="shared" si="22"/>
        <v>8.8000000000000007</v>
      </c>
      <c r="M266">
        <v>500</v>
      </c>
      <c r="N266">
        <f t="shared" si="23"/>
        <v>5</v>
      </c>
      <c r="O266" s="10">
        <f t="shared" si="24"/>
        <v>0.20000000000000018</v>
      </c>
      <c r="P266" t="str">
        <f>VLOOKUP(B266,[1]Sheet1!$A:$F,6,0)</f>
        <v>Frank Pannell</v>
      </c>
    </row>
    <row r="267" spans="1:16" hidden="1" x14ac:dyDescent="0.35">
      <c r="A267" t="s">
        <v>26</v>
      </c>
      <c r="B267">
        <v>38</v>
      </c>
      <c r="C267">
        <v>1</v>
      </c>
      <c r="D267" t="s">
        <v>451</v>
      </c>
      <c r="E267" t="s">
        <v>14</v>
      </c>
      <c r="F267">
        <v>30</v>
      </c>
      <c r="G267" t="s">
        <v>276</v>
      </c>
      <c r="H267" s="2">
        <v>0.16</v>
      </c>
      <c r="I267" s="4">
        <f t="shared" si="20"/>
        <v>4.8</v>
      </c>
      <c r="J267">
        <v>30</v>
      </c>
      <c r="K267">
        <f t="shared" si="21"/>
        <v>3</v>
      </c>
      <c r="L267" s="5">
        <f t="shared" si="22"/>
        <v>7.8</v>
      </c>
      <c r="M267">
        <v>500</v>
      </c>
      <c r="N267">
        <f t="shared" si="23"/>
        <v>5</v>
      </c>
      <c r="O267" s="10">
        <f t="shared" si="24"/>
        <v>0.20000000000000018</v>
      </c>
      <c r="P267" t="str">
        <f>VLOOKUP(B267,[1]Sheet1!$A:$F,6,0)</f>
        <v>Sandra Escobar</v>
      </c>
    </row>
    <row r="268" spans="1:16" hidden="1" x14ac:dyDescent="0.35">
      <c r="A268" t="s">
        <v>26</v>
      </c>
      <c r="B268">
        <v>43</v>
      </c>
      <c r="C268">
        <v>1</v>
      </c>
      <c r="D268" t="s">
        <v>451</v>
      </c>
      <c r="E268" t="s">
        <v>14</v>
      </c>
      <c r="F268">
        <v>30</v>
      </c>
      <c r="G268" t="s">
        <v>276</v>
      </c>
      <c r="H268" s="2">
        <v>0.16</v>
      </c>
      <c r="I268" s="4">
        <f t="shared" si="20"/>
        <v>4.8</v>
      </c>
      <c r="J268">
        <v>30</v>
      </c>
      <c r="K268">
        <f t="shared" si="21"/>
        <v>3</v>
      </c>
      <c r="L268" s="5">
        <f t="shared" si="22"/>
        <v>7.8</v>
      </c>
      <c r="M268">
        <v>500</v>
      </c>
      <c r="N268">
        <f t="shared" si="23"/>
        <v>5</v>
      </c>
      <c r="O268" s="10">
        <f t="shared" si="24"/>
        <v>0.20000000000000018</v>
      </c>
      <c r="P268" t="str">
        <f>VLOOKUP(B268,[1]Sheet1!$A:$F,6,0)</f>
        <v>Sandra Escobar</v>
      </c>
    </row>
    <row r="269" spans="1:16" hidden="1" x14ac:dyDescent="0.35">
      <c r="A269" t="s">
        <v>11</v>
      </c>
      <c r="B269">
        <v>221</v>
      </c>
      <c r="C269">
        <v>1</v>
      </c>
      <c r="D269" t="s">
        <v>378</v>
      </c>
      <c r="E269" t="s">
        <v>14</v>
      </c>
      <c r="F269">
        <v>69</v>
      </c>
      <c r="G269" t="s">
        <v>35</v>
      </c>
      <c r="H269" s="2">
        <v>7.0000000000000007E-2</v>
      </c>
      <c r="I269" s="4">
        <f t="shared" si="20"/>
        <v>4.83</v>
      </c>
      <c r="J269">
        <v>69</v>
      </c>
      <c r="K269">
        <f t="shared" si="21"/>
        <v>6.9</v>
      </c>
      <c r="L269" s="5">
        <f t="shared" si="22"/>
        <v>11.73</v>
      </c>
      <c r="M269">
        <v>500</v>
      </c>
      <c r="N269">
        <f t="shared" si="23"/>
        <v>5</v>
      </c>
      <c r="O269" s="10">
        <f t="shared" si="24"/>
        <v>0.16999999999999993</v>
      </c>
      <c r="P269" t="str">
        <f>VLOOKUP(B269,[1]Sheet1!$A:$F,6,0)</f>
        <v>Sana Ahmed</v>
      </c>
    </row>
    <row r="270" spans="1:16" hidden="1" x14ac:dyDescent="0.35">
      <c r="A270" t="s">
        <v>16</v>
      </c>
      <c r="B270">
        <v>104</v>
      </c>
      <c r="C270">
        <v>1</v>
      </c>
      <c r="D270" t="s">
        <v>462</v>
      </c>
      <c r="E270" t="s">
        <v>14</v>
      </c>
      <c r="F270">
        <v>26</v>
      </c>
      <c r="G270" t="s">
        <v>25</v>
      </c>
      <c r="H270" s="2">
        <v>0.2</v>
      </c>
      <c r="I270" s="4">
        <f t="shared" si="20"/>
        <v>5.2</v>
      </c>
      <c r="J270">
        <v>26</v>
      </c>
      <c r="K270">
        <f t="shared" si="21"/>
        <v>2.6</v>
      </c>
      <c r="L270" s="5">
        <f t="shared" si="22"/>
        <v>7.8000000000000007</v>
      </c>
      <c r="M270">
        <v>525</v>
      </c>
      <c r="N270">
        <f t="shared" si="23"/>
        <v>5.25</v>
      </c>
      <c r="O270" s="10">
        <f t="shared" si="24"/>
        <v>4.9999999999999822E-2</v>
      </c>
      <c r="P270" t="str">
        <f>VLOOKUP(B270,[1]Sheet1!$A:$F,6,0)</f>
        <v>Staci Miller</v>
      </c>
    </row>
    <row r="271" spans="1:16" hidden="1" x14ac:dyDescent="0.35">
      <c r="A271" t="s">
        <v>16</v>
      </c>
      <c r="B271">
        <v>105</v>
      </c>
      <c r="C271">
        <v>1</v>
      </c>
      <c r="D271" t="s">
        <v>462</v>
      </c>
      <c r="E271" t="s">
        <v>14</v>
      </c>
      <c r="F271">
        <v>26</v>
      </c>
      <c r="G271" t="s">
        <v>25</v>
      </c>
      <c r="H271" s="2">
        <v>0.2</v>
      </c>
      <c r="I271" s="4">
        <f t="shared" si="20"/>
        <v>5.2</v>
      </c>
      <c r="J271">
        <v>26</v>
      </c>
      <c r="K271">
        <f t="shared" si="21"/>
        <v>2.6</v>
      </c>
      <c r="L271" s="5">
        <f t="shared" si="22"/>
        <v>7.8000000000000007</v>
      </c>
      <c r="M271">
        <v>525</v>
      </c>
      <c r="N271">
        <f t="shared" si="23"/>
        <v>5.25</v>
      </c>
      <c r="O271" s="10">
        <f t="shared" si="24"/>
        <v>4.9999999999999822E-2</v>
      </c>
      <c r="P271" t="str">
        <f>VLOOKUP(B271,[1]Sheet1!$A:$F,6,0)</f>
        <v>Katie Nguyen</v>
      </c>
    </row>
    <row r="272" spans="1:16" hidden="1" x14ac:dyDescent="0.35">
      <c r="A272" t="s">
        <v>26</v>
      </c>
      <c r="B272">
        <v>70</v>
      </c>
      <c r="C272">
        <v>1</v>
      </c>
      <c r="D272" t="s">
        <v>425</v>
      </c>
      <c r="E272" t="s">
        <v>14</v>
      </c>
      <c r="F272">
        <v>42</v>
      </c>
      <c r="G272" t="s">
        <v>206</v>
      </c>
      <c r="H272" s="2">
        <v>0.12</v>
      </c>
      <c r="I272" s="4">
        <f t="shared" si="20"/>
        <v>5.04</v>
      </c>
      <c r="J272">
        <v>42</v>
      </c>
      <c r="K272">
        <f t="shared" si="21"/>
        <v>4.2</v>
      </c>
      <c r="L272" s="5">
        <f t="shared" si="22"/>
        <v>9.24</v>
      </c>
      <c r="M272">
        <v>500</v>
      </c>
      <c r="N272">
        <f t="shared" si="23"/>
        <v>5</v>
      </c>
      <c r="O272" s="10">
        <f t="shared" si="24"/>
        <v>-4.0000000000000036E-2</v>
      </c>
      <c r="P272" t="str">
        <f>VLOOKUP(B272,[1]Sheet1!$A:$F,6,0)</f>
        <v>Ineabel Del toro</v>
      </c>
    </row>
    <row r="273" spans="1:16" hidden="1" x14ac:dyDescent="0.35">
      <c r="A273" t="s">
        <v>26</v>
      </c>
      <c r="B273">
        <v>59</v>
      </c>
      <c r="C273">
        <v>1</v>
      </c>
      <c r="D273" t="s">
        <v>443</v>
      </c>
      <c r="E273" t="s">
        <v>14</v>
      </c>
      <c r="F273">
        <v>33</v>
      </c>
      <c r="G273" t="s">
        <v>25</v>
      </c>
      <c r="H273" s="2">
        <v>0.2</v>
      </c>
      <c r="I273" s="4">
        <f t="shared" si="20"/>
        <v>6.6000000000000005</v>
      </c>
      <c r="J273">
        <v>33</v>
      </c>
      <c r="K273">
        <f t="shared" si="21"/>
        <v>3.3000000000000003</v>
      </c>
      <c r="L273" s="5">
        <f t="shared" si="22"/>
        <v>9.9</v>
      </c>
      <c r="M273">
        <v>650</v>
      </c>
      <c r="N273">
        <f t="shared" si="23"/>
        <v>6.5</v>
      </c>
      <c r="O273" s="10">
        <f t="shared" si="24"/>
        <v>-0.10000000000000053</v>
      </c>
      <c r="P273" t="str">
        <f>VLOOKUP(B273,[1]Sheet1!$A:$F,6,0)</f>
        <v>Jacob Steinman</v>
      </c>
    </row>
    <row r="274" spans="1:16" hidden="1" x14ac:dyDescent="0.35">
      <c r="A274" t="s">
        <v>16</v>
      </c>
      <c r="B274">
        <v>21</v>
      </c>
      <c r="C274">
        <v>1</v>
      </c>
      <c r="D274" t="s">
        <v>427</v>
      </c>
      <c r="E274" t="s">
        <v>14</v>
      </c>
      <c r="F274">
        <v>40</v>
      </c>
      <c r="G274" t="s">
        <v>276</v>
      </c>
      <c r="H274" s="2">
        <v>0.16</v>
      </c>
      <c r="I274" s="4">
        <f t="shared" si="20"/>
        <v>6.4</v>
      </c>
      <c r="J274">
        <v>40</v>
      </c>
      <c r="K274">
        <f t="shared" si="21"/>
        <v>4</v>
      </c>
      <c r="L274" s="5">
        <f t="shared" si="22"/>
        <v>10.4</v>
      </c>
      <c r="M274">
        <v>625</v>
      </c>
      <c r="N274">
        <f t="shared" si="23"/>
        <v>6.25</v>
      </c>
      <c r="O274" s="10">
        <f t="shared" si="24"/>
        <v>-0.15000000000000036</v>
      </c>
      <c r="P274" t="str">
        <f>VLOOKUP(B274,[1]Sheet1!$A:$F,6,0)</f>
        <v>Demejah Haley</v>
      </c>
    </row>
    <row r="275" spans="1:16" hidden="1" x14ac:dyDescent="0.35">
      <c r="A275" t="s">
        <v>19</v>
      </c>
      <c r="B275">
        <v>379</v>
      </c>
      <c r="C275">
        <v>1</v>
      </c>
      <c r="D275" t="s">
        <v>424</v>
      </c>
      <c r="E275" t="s">
        <v>14</v>
      </c>
      <c r="F275">
        <v>43</v>
      </c>
      <c r="G275" t="s">
        <v>206</v>
      </c>
      <c r="H275" s="2">
        <v>0.12</v>
      </c>
      <c r="I275" s="4">
        <f t="shared" si="20"/>
        <v>5.16</v>
      </c>
      <c r="J275">
        <v>43</v>
      </c>
      <c r="K275">
        <f t="shared" si="21"/>
        <v>4.3</v>
      </c>
      <c r="L275" s="5">
        <f t="shared" si="22"/>
        <v>9.4600000000000009</v>
      </c>
      <c r="M275">
        <v>500</v>
      </c>
      <c r="N275">
        <f t="shared" si="23"/>
        <v>5</v>
      </c>
      <c r="O275" s="10">
        <f t="shared" si="24"/>
        <v>-0.16000000000000014</v>
      </c>
      <c r="P275" t="str">
        <f>VLOOKUP(B275,[1]Sheet1!$A:$F,6,0)</f>
        <v>Reneyro Terc</v>
      </c>
    </row>
    <row r="276" spans="1:16" hidden="1" x14ac:dyDescent="0.35">
      <c r="A276" t="s">
        <v>19</v>
      </c>
      <c r="B276">
        <v>15</v>
      </c>
      <c r="C276">
        <v>1</v>
      </c>
      <c r="D276" t="s">
        <v>428</v>
      </c>
      <c r="E276" t="s">
        <v>14</v>
      </c>
      <c r="F276">
        <v>40</v>
      </c>
      <c r="G276" t="s">
        <v>276</v>
      </c>
      <c r="H276" s="2">
        <v>0.16</v>
      </c>
      <c r="I276" s="4">
        <f t="shared" si="20"/>
        <v>6.4</v>
      </c>
      <c r="J276">
        <v>40</v>
      </c>
      <c r="K276">
        <f t="shared" si="21"/>
        <v>4</v>
      </c>
      <c r="L276" s="5">
        <f t="shared" si="22"/>
        <v>10.4</v>
      </c>
      <c r="M276">
        <v>600</v>
      </c>
      <c r="N276">
        <f t="shared" si="23"/>
        <v>6</v>
      </c>
      <c r="O276" s="10">
        <f t="shared" si="24"/>
        <v>-0.40000000000000036</v>
      </c>
      <c r="P276" t="str">
        <f>VLOOKUP(B276,[1]Sheet1!$A:$F,6,0)</f>
        <v>Mohsin Mirza</v>
      </c>
    </row>
    <row r="277" spans="1:16" hidden="1" x14ac:dyDescent="0.35">
      <c r="A277" t="s">
        <v>26</v>
      </c>
      <c r="B277">
        <v>62</v>
      </c>
      <c r="C277">
        <v>1</v>
      </c>
      <c r="D277" t="s">
        <v>345</v>
      </c>
      <c r="E277" t="s">
        <v>14</v>
      </c>
      <c r="F277">
        <v>85</v>
      </c>
      <c r="G277" t="s">
        <v>35</v>
      </c>
      <c r="H277" s="2">
        <v>7.0000000000000007E-2</v>
      </c>
      <c r="I277" s="4">
        <f t="shared" si="20"/>
        <v>5.95</v>
      </c>
      <c r="J277">
        <v>85</v>
      </c>
      <c r="K277">
        <f t="shared" si="21"/>
        <v>8.5</v>
      </c>
      <c r="L277" s="5">
        <f t="shared" si="22"/>
        <v>14.45</v>
      </c>
      <c r="M277">
        <v>525</v>
      </c>
      <c r="N277">
        <f t="shared" si="23"/>
        <v>5.25</v>
      </c>
      <c r="O277" s="10">
        <f t="shared" si="24"/>
        <v>-0.70000000000000018</v>
      </c>
      <c r="P277" t="str">
        <f>VLOOKUP(B277,[1]Sheet1!$A:$F,6,0)</f>
        <v>Sandra Escobar</v>
      </c>
    </row>
    <row r="278" spans="1:16" hidden="1" x14ac:dyDescent="0.35">
      <c r="A278" t="s">
        <v>26</v>
      </c>
      <c r="B278">
        <v>69</v>
      </c>
      <c r="C278">
        <v>1</v>
      </c>
      <c r="D278" t="s">
        <v>346</v>
      </c>
      <c r="E278" t="s">
        <v>14</v>
      </c>
      <c r="F278">
        <v>84</v>
      </c>
      <c r="G278" t="s">
        <v>35</v>
      </c>
      <c r="H278" s="2">
        <v>7.0000000000000007E-2</v>
      </c>
      <c r="I278" s="4">
        <f t="shared" si="20"/>
        <v>5.8800000000000008</v>
      </c>
      <c r="J278">
        <v>84</v>
      </c>
      <c r="K278">
        <f t="shared" si="21"/>
        <v>8.4</v>
      </c>
      <c r="L278" s="5">
        <f t="shared" si="22"/>
        <v>14.280000000000001</v>
      </c>
      <c r="M278">
        <v>500</v>
      </c>
      <c r="N278">
        <f t="shared" si="23"/>
        <v>5</v>
      </c>
      <c r="O278" s="10">
        <f t="shared" si="24"/>
        <v>-0.88000000000000078</v>
      </c>
      <c r="P278" t="str">
        <f>VLOOKUP(B278,[1]Sheet1!$A:$F,6,0)</f>
        <v>Martha Kontos</v>
      </c>
    </row>
    <row r="279" spans="1:16" hidden="1" x14ac:dyDescent="0.35">
      <c r="A279" t="s">
        <v>19</v>
      </c>
      <c r="B279">
        <v>76</v>
      </c>
      <c r="C279">
        <v>1</v>
      </c>
      <c r="D279" t="s">
        <v>442</v>
      </c>
      <c r="E279" t="s">
        <v>14</v>
      </c>
      <c r="F279">
        <v>33</v>
      </c>
      <c r="G279" t="s">
        <v>25</v>
      </c>
      <c r="H279" s="2">
        <v>0.2</v>
      </c>
      <c r="I279" s="4">
        <f t="shared" si="20"/>
        <v>6.6000000000000005</v>
      </c>
      <c r="J279">
        <v>33</v>
      </c>
      <c r="K279">
        <f t="shared" si="21"/>
        <v>3.3000000000000003</v>
      </c>
      <c r="L279" s="5">
        <f t="shared" si="22"/>
        <v>9.9</v>
      </c>
      <c r="M279">
        <v>550</v>
      </c>
      <c r="N279">
        <f t="shared" si="23"/>
        <v>5.5</v>
      </c>
      <c r="O279" s="10">
        <f t="shared" si="24"/>
        <v>-1.1000000000000005</v>
      </c>
      <c r="P279" t="str">
        <f>VLOOKUP(B279,[1]Sheet1!$A:$F,6,0)</f>
        <v>Rebecca Alvarado</v>
      </c>
    </row>
    <row r="280" spans="1:16" hidden="1" x14ac:dyDescent="0.35">
      <c r="A280" t="s">
        <v>11</v>
      </c>
      <c r="B280">
        <v>215</v>
      </c>
      <c r="C280">
        <v>1</v>
      </c>
      <c r="D280" t="s">
        <v>474</v>
      </c>
      <c r="E280" t="s">
        <v>14</v>
      </c>
      <c r="F280">
        <v>18</v>
      </c>
      <c r="G280" t="s">
        <v>35</v>
      </c>
      <c r="H280" s="2">
        <v>7.0000000000000007E-2</v>
      </c>
      <c r="I280" s="4">
        <f t="shared" si="20"/>
        <v>1.2600000000000002</v>
      </c>
      <c r="J280">
        <v>18</v>
      </c>
      <c r="K280">
        <f t="shared" si="21"/>
        <v>1.8</v>
      </c>
      <c r="L280" s="5">
        <f t="shared" si="22"/>
        <v>3.0600000000000005</v>
      </c>
      <c r="M280">
        <v>0</v>
      </c>
      <c r="N280">
        <f t="shared" si="23"/>
        <v>0</v>
      </c>
      <c r="O280" s="10">
        <f t="shared" si="24"/>
        <v>-1.2600000000000002</v>
      </c>
      <c r="P280" t="str">
        <f>VLOOKUP(B280,[1]Sheet1!$A:$F,6,0)</f>
        <v>Floor</v>
      </c>
    </row>
    <row r="281" spans="1:16" hidden="1" x14ac:dyDescent="0.35">
      <c r="A281" t="s">
        <v>26</v>
      </c>
      <c r="B281">
        <v>51</v>
      </c>
      <c r="C281">
        <v>1</v>
      </c>
      <c r="D281" t="s">
        <v>441</v>
      </c>
      <c r="E281" t="s">
        <v>14</v>
      </c>
      <c r="F281">
        <v>34</v>
      </c>
      <c r="G281" t="s">
        <v>25</v>
      </c>
      <c r="H281" s="2">
        <v>0.2</v>
      </c>
      <c r="I281" s="4">
        <f t="shared" si="20"/>
        <v>6.8000000000000007</v>
      </c>
      <c r="J281">
        <v>34</v>
      </c>
      <c r="K281">
        <f t="shared" si="21"/>
        <v>3.4000000000000004</v>
      </c>
      <c r="L281" s="5">
        <f t="shared" si="22"/>
        <v>10.200000000000001</v>
      </c>
      <c r="M281">
        <v>525</v>
      </c>
      <c r="N281">
        <f t="shared" si="23"/>
        <v>5.25</v>
      </c>
      <c r="O281" s="10">
        <f t="shared" si="24"/>
        <v>-1.5500000000000007</v>
      </c>
      <c r="P281" t="str">
        <f>VLOOKUP(B281,[1]Sheet1!$A:$F,6,0)</f>
        <v>Holly Whitaker</v>
      </c>
    </row>
    <row r="282" spans="1:16" hidden="1" x14ac:dyDescent="0.35">
      <c r="A282" t="s">
        <v>16</v>
      </c>
      <c r="B282">
        <v>23</v>
      </c>
      <c r="C282">
        <v>1</v>
      </c>
      <c r="D282" t="s">
        <v>480</v>
      </c>
      <c r="E282" t="s">
        <v>14</v>
      </c>
      <c r="F282">
        <v>10</v>
      </c>
      <c r="G282" t="s">
        <v>276</v>
      </c>
      <c r="H282" s="2">
        <v>0.16</v>
      </c>
      <c r="I282" s="4">
        <f t="shared" si="20"/>
        <v>1.6</v>
      </c>
      <c r="J282">
        <v>10</v>
      </c>
      <c r="K282">
        <f t="shared" si="21"/>
        <v>1</v>
      </c>
      <c r="L282" s="5">
        <f t="shared" si="22"/>
        <v>2.6</v>
      </c>
      <c r="M282">
        <v>0</v>
      </c>
      <c r="N282">
        <f t="shared" si="23"/>
        <v>0</v>
      </c>
      <c r="O282" s="10">
        <f t="shared" si="24"/>
        <v>-1.6</v>
      </c>
      <c r="P282" t="str">
        <f>VLOOKUP(B282,[1]Sheet1!$A:$F,6,0)</f>
        <v>Floor</v>
      </c>
    </row>
    <row r="283" spans="1:16" hidden="1" x14ac:dyDescent="0.35">
      <c r="A283" t="s">
        <v>26</v>
      </c>
      <c r="B283">
        <v>63</v>
      </c>
      <c r="C283">
        <v>1</v>
      </c>
      <c r="D283" t="s">
        <v>467</v>
      </c>
      <c r="E283" t="s">
        <v>14</v>
      </c>
      <c r="F283">
        <v>24</v>
      </c>
      <c r="G283" t="s">
        <v>35</v>
      </c>
      <c r="H283" s="2">
        <v>7.0000000000000007E-2</v>
      </c>
      <c r="I283" s="4">
        <f t="shared" si="20"/>
        <v>1.6800000000000002</v>
      </c>
      <c r="J283">
        <v>24</v>
      </c>
      <c r="K283">
        <f t="shared" si="21"/>
        <v>2.4000000000000004</v>
      </c>
      <c r="L283" s="5">
        <f t="shared" si="22"/>
        <v>4.08</v>
      </c>
      <c r="M283">
        <v>0</v>
      </c>
      <c r="N283">
        <f t="shared" si="23"/>
        <v>0</v>
      </c>
      <c r="O283" s="10">
        <f t="shared" si="24"/>
        <v>-1.6800000000000002</v>
      </c>
      <c r="P283" t="str">
        <f>VLOOKUP(B283,[1]Sheet1!$A:$F,6,0)</f>
        <v>Floor</v>
      </c>
    </row>
    <row r="284" spans="1:16" hidden="1" x14ac:dyDescent="0.35">
      <c r="A284" t="s">
        <v>26</v>
      </c>
      <c r="B284">
        <v>41</v>
      </c>
      <c r="C284">
        <v>1</v>
      </c>
      <c r="D284" t="s">
        <v>411</v>
      </c>
      <c r="E284" t="s">
        <v>14</v>
      </c>
      <c r="F284">
        <v>50</v>
      </c>
      <c r="G284" t="s">
        <v>276</v>
      </c>
      <c r="H284" s="2">
        <v>0.16</v>
      </c>
      <c r="I284" s="4">
        <f t="shared" si="20"/>
        <v>8</v>
      </c>
      <c r="J284">
        <v>50</v>
      </c>
      <c r="K284">
        <f t="shared" si="21"/>
        <v>5</v>
      </c>
      <c r="L284" s="5">
        <f t="shared" si="22"/>
        <v>13</v>
      </c>
      <c r="M284">
        <v>625</v>
      </c>
      <c r="N284">
        <f t="shared" si="23"/>
        <v>6.25</v>
      </c>
      <c r="O284" s="10">
        <f t="shared" si="24"/>
        <v>-1.75</v>
      </c>
      <c r="P284" t="str">
        <f>VLOOKUP(B284,[1]Sheet1!$A:$F,6,0)</f>
        <v>Jessica Fleming</v>
      </c>
    </row>
    <row r="285" spans="1:16" hidden="1" x14ac:dyDescent="0.35">
      <c r="A285" t="s">
        <v>26</v>
      </c>
      <c r="B285">
        <v>159</v>
      </c>
      <c r="C285">
        <v>1</v>
      </c>
      <c r="D285" t="s">
        <v>473</v>
      </c>
      <c r="E285" t="s">
        <v>14</v>
      </c>
      <c r="F285">
        <v>18</v>
      </c>
      <c r="G285" t="s">
        <v>15</v>
      </c>
      <c r="H285" s="2">
        <v>0.14000000000000001</v>
      </c>
      <c r="I285" s="4">
        <f t="shared" si="20"/>
        <v>2.5200000000000005</v>
      </c>
      <c r="J285">
        <v>18</v>
      </c>
      <c r="K285">
        <f t="shared" si="21"/>
        <v>1.8</v>
      </c>
      <c r="L285" s="5">
        <f t="shared" si="22"/>
        <v>4.32</v>
      </c>
      <c r="M285">
        <v>0</v>
      </c>
      <c r="N285">
        <f t="shared" si="23"/>
        <v>0</v>
      </c>
      <c r="O285" s="10">
        <f t="shared" si="24"/>
        <v>-2.5200000000000005</v>
      </c>
      <c r="P285" t="str">
        <f>VLOOKUP(B285,[1]Sheet1!$A:$F,6,0)</f>
        <v>Floor</v>
      </c>
    </row>
    <row r="286" spans="1:16" hidden="1" x14ac:dyDescent="0.35">
      <c r="A286" t="s">
        <v>16</v>
      </c>
      <c r="B286">
        <v>16</v>
      </c>
      <c r="C286">
        <v>1</v>
      </c>
      <c r="D286" t="s">
        <v>476</v>
      </c>
      <c r="E286" t="s">
        <v>14</v>
      </c>
      <c r="F286">
        <v>16</v>
      </c>
      <c r="G286" t="s">
        <v>276</v>
      </c>
      <c r="H286" s="2">
        <v>0.16</v>
      </c>
      <c r="I286" s="4">
        <f t="shared" si="20"/>
        <v>2.56</v>
      </c>
      <c r="J286">
        <v>16</v>
      </c>
      <c r="K286">
        <f t="shared" si="21"/>
        <v>1.6</v>
      </c>
      <c r="L286" s="5">
        <f t="shared" si="22"/>
        <v>4.16</v>
      </c>
      <c r="M286">
        <v>0</v>
      </c>
      <c r="N286">
        <f t="shared" si="23"/>
        <v>0</v>
      </c>
      <c r="O286" s="10">
        <f t="shared" si="24"/>
        <v>-2.56</v>
      </c>
      <c r="P286" t="str">
        <f>VLOOKUP(B286,[1]Sheet1!$A:$F,6,0)</f>
        <v>Floor</v>
      </c>
    </row>
    <row r="287" spans="1:16" hidden="1" x14ac:dyDescent="0.35">
      <c r="A287" t="s">
        <v>16</v>
      </c>
      <c r="B287">
        <v>112</v>
      </c>
      <c r="C287">
        <v>1</v>
      </c>
      <c r="D287" t="s">
        <v>387</v>
      </c>
      <c r="E287" t="s">
        <v>14</v>
      </c>
      <c r="F287">
        <v>64</v>
      </c>
      <c r="G287" t="s">
        <v>206</v>
      </c>
      <c r="H287" s="2">
        <v>0.12</v>
      </c>
      <c r="I287" s="4">
        <f t="shared" si="20"/>
        <v>7.68</v>
      </c>
      <c r="J287">
        <v>64</v>
      </c>
      <c r="K287">
        <f t="shared" si="21"/>
        <v>6.4</v>
      </c>
      <c r="L287" s="5">
        <f t="shared" si="22"/>
        <v>14.08</v>
      </c>
      <c r="M287">
        <v>500</v>
      </c>
      <c r="N287">
        <f t="shared" si="23"/>
        <v>5</v>
      </c>
      <c r="O287" s="10">
        <f t="shared" si="24"/>
        <v>-2.6799999999999997</v>
      </c>
      <c r="P287" t="str">
        <f>VLOOKUP(B287,[1]Sheet1!$A:$F,6,0)</f>
        <v>Mary Newton</v>
      </c>
    </row>
    <row r="288" spans="1:16" hidden="1" x14ac:dyDescent="0.35">
      <c r="A288" t="s">
        <v>19</v>
      </c>
      <c r="B288">
        <v>94</v>
      </c>
      <c r="C288">
        <v>1</v>
      </c>
      <c r="D288" t="s">
        <v>407</v>
      </c>
      <c r="E288" t="s">
        <v>14</v>
      </c>
      <c r="F288">
        <v>50</v>
      </c>
      <c r="G288" t="s">
        <v>276</v>
      </c>
      <c r="H288" s="2">
        <v>0.16</v>
      </c>
      <c r="I288" s="4">
        <f t="shared" si="20"/>
        <v>8</v>
      </c>
      <c r="J288">
        <v>50</v>
      </c>
      <c r="K288">
        <f t="shared" si="21"/>
        <v>5</v>
      </c>
      <c r="L288" s="5">
        <f t="shared" si="22"/>
        <v>13</v>
      </c>
      <c r="M288">
        <v>525</v>
      </c>
      <c r="N288">
        <f t="shared" si="23"/>
        <v>5.25</v>
      </c>
      <c r="O288" s="10">
        <f t="shared" si="24"/>
        <v>-2.75</v>
      </c>
      <c r="P288" t="str">
        <f>VLOOKUP(B288,[1]Sheet1!$A:$F,6,0)</f>
        <v>Michael Fuselier</v>
      </c>
    </row>
    <row r="289" spans="1:16" hidden="1" x14ac:dyDescent="0.35">
      <c r="A289" t="s">
        <v>19</v>
      </c>
      <c r="B289">
        <v>90</v>
      </c>
      <c r="C289">
        <v>1</v>
      </c>
      <c r="D289" t="s">
        <v>407</v>
      </c>
      <c r="E289" t="s">
        <v>14</v>
      </c>
      <c r="F289">
        <v>50</v>
      </c>
      <c r="G289" t="s">
        <v>276</v>
      </c>
      <c r="H289" s="2">
        <v>0.16</v>
      </c>
      <c r="I289" s="4">
        <f t="shared" si="20"/>
        <v>8</v>
      </c>
      <c r="J289">
        <v>50</v>
      </c>
      <c r="K289">
        <f t="shared" si="21"/>
        <v>5</v>
      </c>
      <c r="L289" s="5">
        <f t="shared" si="22"/>
        <v>13</v>
      </c>
      <c r="M289">
        <v>525</v>
      </c>
      <c r="N289">
        <f t="shared" si="23"/>
        <v>5.25</v>
      </c>
      <c r="O289" s="10">
        <f t="shared" si="24"/>
        <v>-2.75</v>
      </c>
      <c r="P289" t="str">
        <f>VLOOKUP(B289,[1]Sheet1!$A:$F,6,0)</f>
        <v>Michael Fuselier</v>
      </c>
    </row>
    <row r="290" spans="1:16" hidden="1" x14ac:dyDescent="0.35">
      <c r="A290" t="s">
        <v>19</v>
      </c>
      <c r="B290">
        <v>98</v>
      </c>
      <c r="C290">
        <v>1</v>
      </c>
      <c r="D290" t="s">
        <v>407</v>
      </c>
      <c r="E290" t="s">
        <v>14</v>
      </c>
      <c r="F290">
        <v>50</v>
      </c>
      <c r="G290" t="s">
        <v>276</v>
      </c>
      <c r="H290" s="2">
        <v>0.16</v>
      </c>
      <c r="I290" s="4">
        <f t="shared" si="20"/>
        <v>8</v>
      </c>
      <c r="J290">
        <v>50</v>
      </c>
      <c r="K290">
        <f t="shared" si="21"/>
        <v>5</v>
      </c>
      <c r="L290" s="5">
        <f t="shared" si="22"/>
        <v>13</v>
      </c>
      <c r="M290">
        <v>525</v>
      </c>
      <c r="N290">
        <f t="shared" si="23"/>
        <v>5.25</v>
      </c>
      <c r="O290" s="10">
        <f t="shared" si="24"/>
        <v>-2.75</v>
      </c>
      <c r="P290" t="str">
        <f>VLOOKUP(B290,[1]Sheet1!$A:$F,6,0)</f>
        <v>Michael Fuselier</v>
      </c>
    </row>
    <row r="291" spans="1:16" hidden="1" x14ac:dyDescent="0.35">
      <c r="A291" t="s">
        <v>19</v>
      </c>
      <c r="B291">
        <v>163</v>
      </c>
      <c r="C291">
        <v>1</v>
      </c>
      <c r="D291" t="s">
        <v>254</v>
      </c>
      <c r="E291" t="s">
        <v>14</v>
      </c>
      <c r="F291">
        <v>190</v>
      </c>
      <c r="G291" t="s">
        <v>206</v>
      </c>
      <c r="H291" s="2">
        <v>0.12</v>
      </c>
      <c r="I291" s="4">
        <f t="shared" si="20"/>
        <v>22.8</v>
      </c>
      <c r="J291">
        <v>190</v>
      </c>
      <c r="K291">
        <f t="shared" si="21"/>
        <v>19</v>
      </c>
      <c r="L291" s="5">
        <f t="shared" si="22"/>
        <v>41.8</v>
      </c>
      <c r="M291">
        <v>2000</v>
      </c>
      <c r="N291">
        <f t="shared" si="23"/>
        <v>20</v>
      </c>
      <c r="O291" s="10">
        <f t="shared" si="24"/>
        <v>-2.8000000000000007</v>
      </c>
      <c r="P291" t="str">
        <f>VLOOKUP(B291,[1]Sheet1!$A:$F,6,0)</f>
        <v>Lauren Harrison</v>
      </c>
    </row>
    <row r="292" spans="1:16" hidden="1" x14ac:dyDescent="0.35">
      <c r="A292" t="s">
        <v>11</v>
      </c>
      <c r="B292">
        <v>150</v>
      </c>
      <c r="C292">
        <v>1</v>
      </c>
      <c r="D292" t="s">
        <v>340</v>
      </c>
      <c r="E292" t="s">
        <v>14</v>
      </c>
      <c r="F292">
        <v>95</v>
      </c>
      <c r="G292" t="s">
        <v>206</v>
      </c>
      <c r="H292" s="2">
        <v>0.12</v>
      </c>
      <c r="I292" s="4">
        <f t="shared" si="20"/>
        <v>11.4</v>
      </c>
      <c r="J292">
        <v>95</v>
      </c>
      <c r="K292">
        <f t="shared" si="21"/>
        <v>9.5</v>
      </c>
      <c r="L292" s="5">
        <f t="shared" si="22"/>
        <v>20.9</v>
      </c>
      <c r="M292">
        <v>850</v>
      </c>
      <c r="N292">
        <f t="shared" si="23"/>
        <v>8.5</v>
      </c>
      <c r="O292" s="10">
        <f t="shared" si="24"/>
        <v>-2.9000000000000004</v>
      </c>
      <c r="P292" t="str">
        <f>VLOOKUP(B292,[1]Sheet1!$A:$F,6,0)</f>
        <v>Jonathan Huynh</v>
      </c>
    </row>
    <row r="293" spans="1:16" hidden="1" x14ac:dyDescent="0.35">
      <c r="A293" t="s">
        <v>26</v>
      </c>
      <c r="B293" t="s">
        <v>370</v>
      </c>
      <c r="C293">
        <v>1</v>
      </c>
      <c r="D293" t="s">
        <v>371</v>
      </c>
      <c r="E293" t="s">
        <v>14</v>
      </c>
      <c r="F293">
        <v>70</v>
      </c>
      <c r="G293" t="s">
        <v>206</v>
      </c>
      <c r="H293" s="2">
        <v>0.12</v>
      </c>
      <c r="I293" s="4">
        <f t="shared" si="20"/>
        <v>8.4</v>
      </c>
      <c r="J293">
        <v>70</v>
      </c>
      <c r="K293">
        <f t="shared" si="21"/>
        <v>7</v>
      </c>
      <c r="L293" s="5">
        <f t="shared" si="22"/>
        <v>15.4</v>
      </c>
      <c r="M293">
        <v>525</v>
      </c>
      <c r="N293">
        <f t="shared" si="23"/>
        <v>5.25</v>
      </c>
      <c r="O293" s="10">
        <f t="shared" si="24"/>
        <v>-3.1500000000000004</v>
      </c>
      <c r="P293" t="str">
        <f>VLOOKUP(B293,[1]Sheet1!$A:$F,6,0)</f>
        <v>Sandra Escobar</v>
      </c>
    </row>
    <row r="294" spans="1:16" hidden="1" x14ac:dyDescent="0.35">
      <c r="A294" t="s">
        <v>16</v>
      </c>
      <c r="B294">
        <v>48</v>
      </c>
      <c r="C294">
        <v>1</v>
      </c>
      <c r="D294" t="s">
        <v>470</v>
      </c>
      <c r="E294" t="s">
        <v>14</v>
      </c>
      <c r="F294">
        <v>20</v>
      </c>
      <c r="G294" t="s">
        <v>276</v>
      </c>
      <c r="H294" s="2">
        <v>0.16</v>
      </c>
      <c r="I294" s="4">
        <f t="shared" si="20"/>
        <v>3.2</v>
      </c>
      <c r="J294">
        <v>20</v>
      </c>
      <c r="K294">
        <f t="shared" si="21"/>
        <v>2</v>
      </c>
      <c r="L294" s="5">
        <f t="shared" si="22"/>
        <v>5.2</v>
      </c>
      <c r="M294">
        <v>0</v>
      </c>
      <c r="N294">
        <f t="shared" si="23"/>
        <v>0</v>
      </c>
      <c r="O294" s="10">
        <f t="shared" si="24"/>
        <v>-3.2</v>
      </c>
      <c r="P294" t="str">
        <f>VLOOKUP(B294,[1]Sheet1!$A:$F,6,0)</f>
        <v>Floor</v>
      </c>
    </row>
    <row r="295" spans="1:16" hidden="1" x14ac:dyDescent="0.35">
      <c r="A295" t="s">
        <v>11</v>
      </c>
      <c r="B295">
        <v>210</v>
      </c>
      <c r="C295">
        <v>1</v>
      </c>
      <c r="D295" t="s">
        <v>316</v>
      </c>
      <c r="E295" t="s">
        <v>14</v>
      </c>
      <c r="F295">
        <v>118</v>
      </c>
      <c r="G295" t="s">
        <v>35</v>
      </c>
      <c r="H295" s="2">
        <v>7.0000000000000007E-2</v>
      </c>
      <c r="I295" s="4">
        <f t="shared" si="20"/>
        <v>8.2600000000000016</v>
      </c>
      <c r="J295">
        <v>118</v>
      </c>
      <c r="K295">
        <f t="shared" si="21"/>
        <v>11.8</v>
      </c>
      <c r="L295" s="5">
        <f t="shared" si="22"/>
        <v>20.060000000000002</v>
      </c>
      <c r="M295">
        <v>500</v>
      </c>
      <c r="N295">
        <f t="shared" si="23"/>
        <v>5</v>
      </c>
      <c r="O295" s="10">
        <f t="shared" si="24"/>
        <v>-3.2600000000000016</v>
      </c>
      <c r="P295" t="str">
        <f>VLOOKUP(B295,[1]Sheet1!$A:$F,6,0)</f>
        <v>Charlotte Bennett</v>
      </c>
    </row>
    <row r="296" spans="1:16" hidden="1" x14ac:dyDescent="0.35">
      <c r="A296" t="s">
        <v>11</v>
      </c>
      <c r="B296">
        <v>127</v>
      </c>
      <c r="C296">
        <v>1</v>
      </c>
      <c r="D296" t="s">
        <v>281</v>
      </c>
      <c r="E296" t="s">
        <v>14</v>
      </c>
      <c r="F296">
        <v>152</v>
      </c>
      <c r="G296" t="s">
        <v>276</v>
      </c>
      <c r="H296" s="2">
        <v>0.16</v>
      </c>
      <c r="I296" s="4">
        <f t="shared" si="20"/>
        <v>24.32</v>
      </c>
      <c r="J296">
        <v>152</v>
      </c>
      <c r="K296">
        <f t="shared" si="21"/>
        <v>15.200000000000001</v>
      </c>
      <c r="L296" s="5">
        <f t="shared" si="22"/>
        <v>39.520000000000003</v>
      </c>
      <c r="M296">
        <v>2100</v>
      </c>
      <c r="N296">
        <f t="shared" si="23"/>
        <v>21</v>
      </c>
      <c r="O296" s="10">
        <f t="shared" si="24"/>
        <v>-3.3200000000000003</v>
      </c>
      <c r="P296" t="str">
        <f>VLOOKUP(B296,[1]Sheet1!$A:$F,6,0)</f>
        <v>Laurie Lavoie</v>
      </c>
    </row>
    <row r="297" spans="1:16" hidden="1" x14ac:dyDescent="0.35">
      <c r="A297" t="s">
        <v>11</v>
      </c>
      <c r="B297">
        <v>232</v>
      </c>
      <c r="C297">
        <v>1</v>
      </c>
      <c r="D297" t="s">
        <v>359</v>
      </c>
      <c r="E297" t="s">
        <v>14</v>
      </c>
      <c r="F297">
        <v>76</v>
      </c>
      <c r="G297" t="s">
        <v>206</v>
      </c>
      <c r="H297" s="2">
        <v>0.12</v>
      </c>
      <c r="I297" s="4">
        <f t="shared" si="20"/>
        <v>9.1199999999999992</v>
      </c>
      <c r="J297">
        <v>76</v>
      </c>
      <c r="K297">
        <f t="shared" si="21"/>
        <v>7.6000000000000005</v>
      </c>
      <c r="L297" s="5">
        <f t="shared" si="22"/>
        <v>16.72</v>
      </c>
      <c r="M297">
        <v>550</v>
      </c>
      <c r="N297">
        <f t="shared" si="23"/>
        <v>5.5</v>
      </c>
      <c r="O297" s="10">
        <f t="shared" si="24"/>
        <v>-3.6199999999999992</v>
      </c>
      <c r="P297" t="str">
        <f>VLOOKUP(B297,[1]Sheet1!$A:$F,6,0)</f>
        <v>Kelly Hernandez</v>
      </c>
    </row>
    <row r="298" spans="1:16" hidden="1" x14ac:dyDescent="0.35">
      <c r="A298" t="s">
        <v>26</v>
      </c>
      <c r="B298">
        <v>357</v>
      </c>
      <c r="C298">
        <v>1</v>
      </c>
      <c r="D298" t="s">
        <v>334</v>
      </c>
      <c r="E298" t="s">
        <v>14</v>
      </c>
      <c r="F298">
        <v>100</v>
      </c>
      <c r="G298" t="s">
        <v>206</v>
      </c>
      <c r="H298" s="2">
        <v>0.12</v>
      </c>
      <c r="I298" s="4">
        <f t="shared" si="20"/>
        <v>12</v>
      </c>
      <c r="J298">
        <v>100</v>
      </c>
      <c r="K298">
        <f t="shared" si="21"/>
        <v>10</v>
      </c>
      <c r="L298" s="5">
        <f t="shared" si="22"/>
        <v>22</v>
      </c>
      <c r="M298">
        <v>825</v>
      </c>
      <c r="N298">
        <f t="shared" si="23"/>
        <v>8.25</v>
      </c>
      <c r="O298" s="10">
        <f t="shared" si="24"/>
        <v>-3.75</v>
      </c>
      <c r="P298" t="str">
        <f>VLOOKUP(B298,[1]Sheet1!$A:$F,6,0)</f>
        <v>Brianna Belcher</v>
      </c>
    </row>
    <row r="299" spans="1:16" hidden="1" x14ac:dyDescent="0.35">
      <c r="A299" t="s">
        <v>16</v>
      </c>
      <c r="B299">
        <v>49</v>
      </c>
      <c r="C299">
        <v>1</v>
      </c>
      <c r="D299" t="s">
        <v>463</v>
      </c>
      <c r="E299" t="s">
        <v>14</v>
      </c>
      <c r="F299">
        <v>25</v>
      </c>
      <c r="G299" t="s">
        <v>276</v>
      </c>
      <c r="H299" s="2">
        <v>0.16</v>
      </c>
      <c r="I299" s="4">
        <f t="shared" si="20"/>
        <v>4</v>
      </c>
      <c r="J299">
        <v>25</v>
      </c>
      <c r="K299">
        <f t="shared" si="21"/>
        <v>2.5</v>
      </c>
      <c r="L299" s="5">
        <f t="shared" si="22"/>
        <v>6.5</v>
      </c>
      <c r="M299">
        <v>0</v>
      </c>
      <c r="N299">
        <f t="shared" si="23"/>
        <v>0</v>
      </c>
      <c r="O299" s="10">
        <f t="shared" si="24"/>
        <v>-4</v>
      </c>
      <c r="P299" t="str">
        <f>VLOOKUP(B299,[1]Sheet1!$A:$F,6,0)</f>
        <v>Floor</v>
      </c>
    </row>
    <row r="300" spans="1:16" hidden="1" x14ac:dyDescent="0.35">
      <c r="A300" t="s">
        <v>26</v>
      </c>
      <c r="B300">
        <v>40</v>
      </c>
      <c r="C300">
        <v>1</v>
      </c>
      <c r="D300" t="s">
        <v>465</v>
      </c>
      <c r="E300" t="s">
        <v>14</v>
      </c>
      <c r="F300">
        <v>25</v>
      </c>
      <c r="G300" t="s">
        <v>276</v>
      </c>
      <c r="H300" s="2">
        <v>0.16</v>
      </c>
      <c r="I300" s="4">
        <f t="shared" si="20"/>
        <v>4</v>
      </c>
      <c r="J300">
        <v>25</v>
      </c>
      <c r="K300">
        <f t="shared" si="21"/>
        <v>2.5</v>
      </c>
      <c r="L300" s="5">
        <f t="shared" si="22"/>
        <v>6.5</v>
      </c>
      <c r="M300">
        <v>0</v>
      </c>
      <c r="N300">
        <f t="shared" si="23"/>
        <v>0</v>
      </c>
      <c r="O300" s="10">
        <f t="shared" si="24"/>
        <v>-4</v>
      </c>
      <c r="P300" t="str">
        <f>VLOOKUP(B300,[1]Sheet1!$A:$F,6,0)</f>
        <v>Floor</v>
      </c>
    </row>
    <row r="301" spans="1:16" hidden="1" x14ac:dyDescent="0.35">
      <c r="A301" t="s">
        <v>11</v>
      </c>
      <c r="B301">
        <v>128</v>
      </c>
      <c r="C301">
        <v>1</v>
      </c>
      <c r="D301" t="s">
        <v>466</v>
      </c>
      <c r="E301" t="s">
        <v>14</v>
      </c>
      <c r="F301">
        <v>25</v>
      </c>
      <c r="G301" t="s">
        <v>276</v>
      </c>
      <c r="H301" s="2">
        <v>0.16</v>
      </c>
      <c r="I301" s="4">
        <f t="shared" si="20"/>
        <v>4</v>
      </c>
      <c r="J301">
        <v>25</v>
      </c>
      <c r="K301">
        <f t="shared" si="21"/>
        <v>2.5</v>
      </c>
      <c r="L301" s="5">
        <f t="shared" si="22"/>
        <v>6.5</v>
      </c>
      <c r="M301">
        <v>0</v>
      </c>
      <c r="N301">
        <f t="shared" si="23"/>
        <v>0</v>
      </c>
      <c r="O301" s="10">
        <f t="shared" si="24"/>
        <v>-4</v>
      </c>
      <c r="P301" t="str">
        <f>VLOOKUP(B301,[1]Sheet1!$A:$F,6,0)</f>
        <v>Floor</v>
      </c>
    </row>
    <row r="302" spans="1:16" hidden="1" x14ac:dyDescent="0.35">
      <c r="A302" t="s">
        <v>19</v>
      </c>
      <c r="B302">
        <v>174</v>
      </c>
      <c r="C302">
        <v>1</v>
      </c>
      <c r="D302" t="s">
        <v>440</v>
      </c>
      <c r="E302" t="s">
        <v>14</v>
      </c>
      <c r="F302">
        <v>34</v>
      </c>
      <c r="G302" t="s">
        <v>206</v>
      </c>
      <c r="H302" s="2">
        <v>0.12</v>
      </c>
      <c r="I302" s="4">
        <f t="shared" si="20"/>
        <v>4.08</v>
      </c>
      <c r="J302">
        <v>34</v>
      </c>
      <c r="K302">
        <f t="shared" si="21"/>
        <v>3.4000000000000004</v>
      </c>
      <c r="L302" s="5">
        <f t="shared" si="22"/>
        <v>7.48</v>
      </c>
      <c r="M302">
        <v>0</v>
      </c>
      <c r="N302">
        <f t="shared" si="23"/>
        <v>0</v>
      </c>
      <c r="O302" s="10">
        <f t="shared" si="24"/>
        <v>-4.08</v>
      </c>
      <c r="P302" t="str">
        <f>VLOOKUP(B302,[1]Sheet1!$A:$F,6,0)</f>
        <v>Floor</v>
      </c>
    </row>
    <row r="303" spans="1:16" hidden="1" x14ac:dyDescent="0.35">
      <c r="A303" t="s">
        <v>11</v>
      </c>
      <c r="B303">
        <v>131</v>
      </c>
      <c r="C303">
        <v>1</v>
      </c>
      <c r="D303" t="s">
        <v>315</v>
      </c>
      <c r="E303" t="s">
        <v>14</v>
      </c>
      <c r="F303">
        <v>118</v>
      </c>
      <c r="G303" t="s">
        <v>25</v>
      </c>
      <c r="H303" s="2">
        <v>0.2</v>
      </c>
      <c r="I303" s="4">
        <f t="shared" si="20"/>
        <v>23.6</v>
      </c>
      <c r="J303">
        <v>118</v>
      </c>
      <c r="K303">
        <f t="shared" si="21"/>
        <v>11.8</v>
      </c>
      <c r="L303" s="5">
        <f t="shared" si="22"/>
        <v>35.400000000000006</v>
      </c>
      <c r="M303">
        <v>1950</v>
      </c>
      <c r="N303">
        <f t="shared" si="23"/>
        <v>19.5</v>
      </c>
      <c r="O303" s="10">
        <f t="shared" si="24"/>
        <v>-4.1000000000000014</v>
      </c>
      <c r="P303" t="str">
        <f>VLOOKUP(B303,[1]Sheet1!$A:$F,6,0)</f>
        <v>Brittany Steadman</v>
      </c>
    </row>
    <row r="304" spans="1:16" hidden="1" x14ac:dyDescent="0.35">
      <c r="A304" t="s">
        <v>26</v>
      </c>
      <c r="B304">
        <v>29</v>
      </c>
      <c r="C304">
        <v>1</v>
      </c>
      <c r="D304" t="s">
        <v>455</v>
      </c>
      <c r="E304" t="s">
        <v>14</v>
      </c>
      <c r="F304">
        <v>30</v>
      </c>
      <c r="G304" t="s">
        <v>15</v>
      </c>
      <c r="H304" s="2">
        <v>0.14000000000000001</v>
      </c>
      <c r="I304" s="4">
        <f t="shared" si="20"/>
        <v>4.2</v>
      </c>
      <c r="J304">
        <v>30</v>
      </c>
      <c r="K304">
        <f t="shared" si="21"/>
        <v>3</v>
      </c>
      <c r="L304" s="5">
        <f t="shared" si="22"/>
        <v>7.2</v>
      </c>
      <c r="M304">
        <v>0</v>
      </c>
      <c r="N304">
        <f t="shared" si="23"/>
        <v>0</v>
      </c>
      <c r="O304" s="10">
        <f t="shared" si="24"/>
        <v>-4.2</v>
      </c>
      <c r="P304" t="str">
        <f>VLOOKUP(B304,[1]Sheet1!$A:$F,6,0)</f>
        <v>Floor</v>
      </c>
    </row>
    <row r="305" spans="1:16" hidden="1" x14ac:dyDescent="0.35">
      <c r="A305" t="s">
        <v>11</v>
      </c>
      <c r="B305">
        <v>126</v>
      </c>
      <c r="C305">
        <v>1</v>
      </c>
      <c r="D305" t="s">
        <v>281</v>
      </c>
      <c r="E305" t="s">
        <v>14</v>
      </c>
      <c r="F305">
        <v>152</v>
      </c>
      <c r="G305" t="s">
        <v>276</v>
      </c>
      <c r="H305" s="2">
        <v>0.16</v>
      </c>
      <c r="I305" s="4">
        <f t="shared" si="20"/>
        <v>24.32</v>
      </c>
      <c r="J305">
        <v>152</v>
      </c>
      <c r="K305">
        <f t="shared" si="21"/>
        <v>15.200000000000001</v>
      </c>
      <c r="L305" s="5">
        <f t="shared" si="22"/>
        <v>39.520000000000003</v>
      </c>
      <c r="M305">
        <v>2000</v>
      </c>
      <c r="N305">
        <f t="shared" si="23"/>
        <v>20</v>
      </c>
      <c r="O305" s="10">
        <f t="shared" si="24"/>
        <v>-4.32</v>
      </c>
      <c r="P305" t="str">
        <f>VLOOKUP(B305,[1]Sheet1!$A:$F,6,0)</f>
        <v>Stephanie Perez</v>
      </c>
    </row>
    <row r="306" spans="1:16" hidden="1" x14ac:dyDescent="0.35">
      <c r="A306" t="s">
        <v>19</v>
      </c>
      <c r="B306">
        <v>77</v>
      </c>
      <c r="C306">
        <v>1</v>
      </c>
      <c r="D306" t="s">
        <v>454</v>
      </c>
      <c r="E306" t="s">
        <v>14</v>
      </c>
      <c r="F306">
        <v>22</v>
      </c>
      <c r="G306" t="s">
        <v>25</v>
      </c>
      <c r="H306" s="2">
        <v>0.2</v>
      </c>
      <c r="I306" s="4">
        <f t="shared" si="20"/>
        <v>4.4000000000000004</v>
      </c>
      <c r="J306">
        <v>22</v>
      </c>
      <c r="K306">
        <f t="shared" si="21"/>
        <v>2.2000000000000002</v>
      </c>
      <c r="L306" s="5">
        <f t="shared" si="22"/>
        <v>6.6000000000000005</v>
      </c>
      <c r="M306">
        <v>0</v>
      </c>
      <c r="N306">
        <f t="shared" si="23"/>
        <v>0</v>
      </c>
      <c r="O306" s="10">
        <f t="shared" si="24"/>
        <v>-4.4000000000000004</v>
      </c>
      <c r="P306" t="str">
        <f>VLOOKUP(B306,[1]Sheet1!$A:$F,6,0)</f>
        <v>Floor</v>
      </c>
    </row>
    <row r="307" spans="1:16" hidden="1" x14ac:dyDescent="0.35">
      <c r="A307" t="s">
        <v>26</v>
      </c>
      <c r="B307">
        <v>52</v>
      </c>
      <c r="C307">
        <v>1</v>
      </c>
      <c r="D307" t="s">
        <v>454</v>
      </c>
      <c r="E307" t="s">
        <v>14</v>
      </c>
      <c r="F307">
        <v>22</v>
      </c>
      <c r="G307" t="s">
        <v>25</v>
      </c>
      <c r="H307" s="2">
        <v>0.2</v>
      </c>
      <c r="I307" s="4">
        <f t="shared" si="20"/>
        <v>4.4000000000000004</v>
      </c>
      <c r="J307">
        <v>22</v>
      </c>
      <c r="K307">
        <f t="shared" si="21"/>
        <v>2.2000000000000002</v>
      </c>
      <c r="L307" s="5">
        <f t="shared" si="22"/>
        <v>6.6000000000000005</v>
      </c>
      <c r="M307">
        <v>0</v>
      </c>
      <c r="N307">
        <f t="shared" si="23"/>
        <v>0</v>
      </c>
      <c r="O307" s="10">
        <f t="shared" si="24"/>
        <v>-4.4000000000000004</v>
      </c>
      <c r="P307" t="str">
        <f>VLOOKUP(B307,[1]Sheet1!$A:$F,6,0)</f>
        <v>Floor</v>
      </c>
    </row>
    <row r="308" spans="1:16" hidden="1" x14ac:dyDescent="0.35">
      <c r="A308" t="s">
        <v>19</v>
      </c>
      <c r="B308">
        <v>162</v>
      </c>
      <c r="C308">
        <v>1</v>
      </c>
      <c r="D308" t="s">
        <v>352</v>
      </c>
      <c r="E308" t="s">
        <v>14</v>
      </c>
      <c r="F308">
        <v>80</v>
      </c>
      <c r="G308" t="s">
        <v>206</v>
      </c>
      <c r="H308" s="2">
        <v>0.12</v>
      </c>
      <c r="I308" s="4">
        <f t="shared" si="20"/>
        <v>9.6</v>
      </c>
      <c r="J308">
        <v>80</v>
      </c>
      <c r="K308">
        <f t="shared" si="21"/>
        <v>8</v>
      </c>
      <c r="L308" s="5">
        <f t="shared" si="22"/>
        <v>17.600000000000001</v>
      </c>
      <c r="M308">
        <v>500</v>
      </c>
      <c r="N308">
        <f t="shared" si="23"/>
        <v>5</v>
      </c>
      <c r="O308" s="10">
        <f t="shared" si="24"/>
        <v>-4.5999999999999996</v>
      </c>
      <c r="P308" t="str">
        <f>VLOOKUP(B308,[1]Sheet1!$A:$F,6,0)</f>
        <v>Ademola Lawal</v>
      </c>
    </row>
    <row r="309" spans="1:16" hidden="1" x14ac:dyDescent="0.35">
      <c r="A309" t="s">
        <v>11</v>
      </c>
      <c r="B309">
        <v>223</v>
      </c>
      <c r="C309">
        <v>1</v>
      </c>
      <c r="D309" t="s">
        <v>355</v>
      </c>
      <c r="E309" t="s">
        <v>14</v>
      </c>
      <c r="F309">
        <v>80</v>
      </c>
      <c r="G309" t="s">
        <v>206</v>
      </c>
      <c r="H309" s="2">
        <v>0.12</v>
      </c>
      <c r="I309" s="4">
        <f t="shared" si="20"/>
        <v>9.6</v>
      </c>
      <c r="J309">
        <v>80</v>
      </c>
      <c r="K309">
        <f t="shared" si="21"/>
        <v>8</v>
      </c>
      <c r="L309" s="5">
        <f t="shared" si="22"/>
        <v>17.600000000000001</v>
      </c>
      <c r="M309">
        <v>500</v>
      </c>
      <c r="N309">
        <f t="shared" si="23"/>
        <v>5</v>
      </c>
      <c r="O309" s="10">
        <f t="shared" si="24"/>
        <v>-4.5999999999999996</v>
      </c>
      <c r="P309" t="str">
        <f>VLOOKUP(B309,[1]Sheet1!$A:$F,6,0)</f>
        <v>Terry Thompson</v>
      </c>
    </row>
    <row r="310" spans="1:16" hidden="1" x14ac:dyDescent="0.35">
      <c r="A310" t="s">
        <v>19</v>
      </c>
      <c r="B310">
        <v>6</v>
      </c>
      <c r="C310">
        <v>1</v>
      </c>
      <c r="D310" t="s">
        <v>393</v>
      </c>
      <c r="E310" t="s">
        <v>14</v>
      </c>
      <c r="F310">
        <v>60</v>
      </c>
      <c r="G310" t="s">
        <v>276</v>
      </c>
      <c r="H310" s="2">
        <v>0.16</v>
      </c>
      <c r="I310" s="4">
        <f t="shared" si="20"/>
        <v>9.6</v>
      </c>
      <c r="J310">
        <v>60</v>
      </c>
      <c r="K310">
        <f t="shared" si="21"/>
        <v>6</v>
      </c>
      <c r="L310" s="5">
        <f t="shared" si="22"/>
        <v>15.6</v>
      </c>
      <c r="M310">
        <v>500</v>
      </c>
      <c r="N310">
        <f t="shared" si="23"/>
        <v>5</v>
      </c>
      <c r="O310" s="10">
        <f t="shared" si="24"/>
        <v>-4.5999999999999996</v>
      </c>
      <c r="P310" t="str">
        <f>VLOOKUP(B310,[1]Sheet1!$A:$F,6,0)</f>
        <v>robert dorland</v>
      </c>
    </row>
    <row r="311" spans="1:16" hidden="1" x14ac:dyDescent="0.35">
      <c r="A311" t="s">
        <v>19</v>
      </c>
      <c r="B311">
        <v>14</v>
      </c>
      <c r="C311">
        <v>1</v>
      </c>
      <c r="D311" t="s">
        <v>395</v>
      </c>
      <c r="E311" t="s">
        <v>14</v>
      </c>
      <c r="F311">
        <v>60</v>
      </c>
      <c r="G311" t="s">
        <v>276</v>
      </c>
      <c r="H311" s="2">
        <v>0.16</v>
      </c>
      <c r="I311" s="4">
        <f t="shared" si="20"/>
        <v>9.6</v>
      </c>
      <c r="J311">
        <v>60</v>
      </c>
      <c r="K311">
        <f t="shared" si="21"/>
        <v>6</v>
      </c>
      <c r="L311" s="5">
        <f t="shared" si="22"/>
        <v>15.6</v>
      </c>
      <c r="M311">
        <v>500</v>
      </c>
      <c r="N311">
        <f t="shared" si="23"/>
        <v>5</v>
      </c>
      <c r="O311" s="10">
        <f t="shared" si="24"/>
        <v>-4.5999999999999996</v>
      </c>
      <c r="P311" t="str">
        <f>VLOOKUP(B311,[1]Sheet1!$A:$F,6,0)</f>
        <v>JAVIER IGNACIO FERNANDEZ GONZALO</v>
      </c>
    </row>
    <row r="312" spans="1:16" hidden="1" x14ac:dyDescent="0.35">
      <c r="A312" t="s">
        <v>11</v>
      </c>
      <c r="B312" t="s">
        <v>353</v>
      </c>
      <c r="C312">
        <v>1</v>
      </c>
      <c r="D312" t="s">
        <v>354</v>
      </c>
      <c r="E312" t="s">
        <v>14</v>
      </c>
      <c r="F312">
        <v>80</v>
      </c>
      <c r="G312" t="s">
        <v>15</v>
      </c>
      <c r="H312" s="2">
        <v>0.14000000000000001</v>
      </c>
      <c r="I312" s="4">
        <f t="shared" si="20"/>
        <v>11.200000000000001</v>
      </c>
      <c r="J312">
        <v>80</v>
      </c>
      <c r="K312">
        <f t="shared" si="21"/>
        <v>8</v>
      </c>
      <c r="L312" s="5">
        <f t="shared" si="22"/>
        <v>19.200000000000003</v>
      </c>
      <c r="M312">
        <v>650</v>
      </c>
      <c r="N312">
        <f t="shared" si="23"/>
        <v>6.5</v>
      </c>
      <c r="O312" s="10">
        <f t="shared" si="24"/>
        <v>-4.7000000000000011</v>
      </c>
      <c r="P312" t="str">
        <f>VLOOKUP(B312,[1]Sheet1!$A:$F,6,0)</f>
        <v>Ineabel Del toro</v>
      </c>
    </row>
    <row r="313" spans="1:16" hidden="1" x14ac:dyDescent="0.35">
      <c r="A313" t="s">
        <v>19</v>
      </c>
      <c r="B313">
        <v>81</v>
      </c>
      <c r="C313">
        <v>1</v>
      </c>
      <c r="D313" t="s">
        <v>403</v>
      </c>
      <c r="E313" t="s">
        <v>14</v>
      </c>
      <c r="F313">
        <v>53</v>
      </c>
      <c r="G313" t="s">
        <v>25</v>
      </c>
      <c r="H313" s="2">
        <v>0.2</v>
      </c>
      <c r="I313" s="4">
        <f t="shared" si="20"/>
        <v>10.600000000000001</v>
      </c>
      <c r="J313">
        <v>53</v>
      </c>
      <c r="K313">
        <f t="shared" si="21"/>
        <v>5.3000000000000007</v>
      </c>
      <c r="L313" s="5">
        <f t="shared" si="22"/>
        <v>15.900000000000002</v>
      </c>
      <c r="M313">
        <v>575</v>
      </c>
      <c r="N313">
        <f t="shared" si="23"/>
        <v>5.75</v>
      </c>
      <c r="O313" s="10">
        <f t="shared" si="24"/>
        <v>-4.8500000000000014</v>
      </c>
      <c r="P313" t="str">
        <f>VLOOKUP(B313,[1]Sheet1!$A:$F,6,0)</f>
        <v>Ineabel Del toro</v>
      </c>
    </row>
    <row r="314" spans="1:16" hidden="1" x14ac:dyDescent="0.35">
      <c r="A314" t="s">
        <v>19</v>
      </c>
      <c r="B314">
        <v>80</v>
      </c>
      <c r="C314">
        <v>1</v>
      </c>
      <c r="D314" t="s">
        <v>403</v>
      </c>
      <c r="E314" t="s">
        <v>14</v>
      </c>
      <c r="F314">
        <v>53</v>
      </c>
      <c r="G314" t="s">
        <v>25</v>
      </c>
      <c r="H314" s="2">
        <v>0.2</v>
      </c>
      <c r="I314" s="4">
        <f t="shared" si="20"/>
        <v>10.600000000000001</v>
      </c>
      <c r="J314">
        <v>53</v>
      </c>
      <c r="K314">
        <f t="shared" si="21"/>
        <v>5.3000000000000007</v>
      </c>
      <c r="L314" s="5">
        <f t="shared" si="22"/>
        <v>15.900000000000002</v>
      </c>
      <c r="M314">
        <v>550</v>
      </c>
      <c r="N314">
        <f t="shared" si="23"/>
        <v>5.5</v>
      </c>
      <c r="O314" s="10">
        <f t="shared" si="24"/>
        <v>-5.1000000000000014</v>
      </c>
      <c r="P314" t="str">
        <f>VLOOKUP(B314,[1]Sheet1!$A:$F,6,0)</f>
        <v>Ineabel Del toro</v>
      </c>
    </row>
    <row r="315" spans="1:16" hidden="1" x14ac:dyDescent="0.35">
      <c r="A315" t="s">
        <v>16</v>
      </c>
      <c r="B315">
        <v>47</v>
      </c>
      <c r="C315">
        <v>1</v>
      </c>
      <c r="D315" t="s">
        <v>380</v>
      </c>
      <c r="E315" t="s">
        <v>14</v>
      </c>
      <c r="F315">
        <v>67</v>
      </c>
      <c r="G315" t="s">
        <v>276</v>
      </c>
      <c r="H315" s="2">
        <v>0.16</v>
      </c>
      <c r="I315" s="4">
        <f t="shared" si="20"/>
        <v>10.72</v>
      </c>
      <c r="J315">
        <v>67</v>
      </c>
      <c r="K315">
        <f t="shared" si="21"/>
        <v>6.7</v>
      </c>
      <c r="L315" s="5">
        <f t="shared" si="22"/>
        <v>17.420000000000002</v>
      </c>
      <c r="M315">
        <v>525</v>
      </c>
      <c r="N315">
        <f t="shared" si="23"/>
        <v>5.25</v>
      </c>
      <c r="O315" s="10">
        <f t="shared" si="24"/>
        <v>-5.4700000000000006</v>
      </c>
      <c r="P315" t="str">
        <f>VLOOKUP(B315,[1]Sheet1!$A:$F,6,0)</f>
        <v>Ineabel Del toro</v>
      </c>
    </row>
    <row r="316" spans="1:16" hidden="1" x14ac:dyDescent="0.35">
      <c r="A316" t="s">
        <v>26</v>
      </c>
      <c r="B316">
        <v>72</v>
      </c>
      <c r="C316">
        <v>1</v>
      </c>
      <c r="D316" t="s">
        <v>420</v>
      </c>
      <c r="E316" t="s">
        <v>14</v>
      </c>
      <c r="F316">
        <v>46</v>
      </c>
      <c r="G316" t="s">
        <v>206</v>
      </c>
      <c r="H316" s="2">
        <v>0.12</v>
      </c>
      <c r="I316" s="4">
        <f t="shared" si="20"/>
        <v>5.52</v>
      </c>
      <c r="J316">
        <v>46</v>
      </c>
      <c r="K316">
        <f t="shared" si="21"/>
        <v>4.6000000000000005</v>
      </c>
      <c r="L316" s="5">
        <f t="shared" si="22"/>
        <v>10.120000000000001</v>
      </c>
      <c r="M316">
        <v>0</v>
      </c>
      <c r="N316">
        <f t="shared" si="23"/>
        <v>0</v>
      </c>
      <c r="O316" s="10">
        <f t="shared" si="24"/>
        <v>-5.52</v>
      </c>
      <c r="P316" t="str">
        <f>VLOOKUP(B316,[1]Sheet1!$A:$F,6,0)</f>
        <v>Floor</v>
      </c>
    </row>
    <row r="317" spans="1:16" hidden="1" x14ac:dyDescent="0.35">
      <c r="A317" t="s">
        <v>16</v>
      </c>
      <c r="B317">
        <v>22</v>
      </c>
      <c r="C317">
        <v>1</v>
      </c>
      <c r="D317" t="s">
        <v>379</v>
      </c>
      <c r="E317" t="s">
        <v>14</v>
      </c>
      <c r="F317">
        <v>67</v>
      </c>
      <c r="G317" t="s">
        <v>276</v>
      </c>
      <c r="H317" s="2">
        <v>0.16</v>
      </c>
      <c r="I317" s="4">
        <f t="shared" si="20"/>
        <v>10.72</v>
      </c>
      <c r="J317">
        <v>67</v>
      </c>
      <c r="K317">
        <f t="shared" si="21"/>
        <v>6.7</v>
      </c>
      <c r="L317" s="5">
        <f t="shared" si="22"/>
        <v>17.420000000000002</v>
      </c>
      <c r="M317">
        <v>500</v>
      </c>
      <c r="N317">
        <f t="shared" si="23"/>
        <v>5</v>
      </c>
      <c r="O317" s="10">
        <f t="shared" si="24"/>
        <v>-5.7200000000000006</v>
      </c>
      <c r="P317" t="str">
        <f>VLOOKUP(B317,[1]Sheet1!$A:$F,6,0)</f>
        <v>Jessica Williams</v>
      </c>
    </row>
    <row r="318" spans="1:16" hidden="1" x14ac:dyDescent="0.35">
      <c r="A318" t="s">
        <v>19</v>
      </c>
      <c r="B318">
        <v>2</v>
      </c>
      <c r="C318">
        <v>1</v>
      </c>
      <c r="D318" t="s">
        <v>380</v>
      </c>
      <c r="E318" t="s">
        <v>14</v>
      </c>
      <c r="F318">
        <v>67</v>
      </c>
      <c r="G318" t="s">
        <v>276</v>
      </c>
      <c r="H318" s="2">
        <v>0.16</v>
      </c>
      <c r="I318" s="4">
        <f t="shared" si="20"/>
        <v>10.72</v>
      </c>
      <c r="J318">
        <v>67</v>
      </c>
      <c r="K318">
        <f t="shared" si="21"/>
        <v>6.7</v>
      </c>
      <c r="L318" s="5">
        <f t="shared" si="22"/>
        <v>17.420000000000002</v>
      </c>
      <c r="M318">
        <v>500</v>
      </c>
      <c r="N318">
        <f t="shared" si="23"/>
        <v>5</v>
      </c>
      <c r="O318" s="10">
        <f t="shared" si="24"/>
        <v>-5.7200000000000006</v>
      </c>
      <c r="P318" t="str">
        <f>VLOOKUP(B318,[1]Sheet1!$A:$F,6,0)</f>
        <v>Ineabel Del toro</v>
      </c>
    </row>
    <row r="319" spans="1:16" hidden="1" x14ac:dyDescent="0.35">
      <c r="A319" t="s">
        <v>26</v>
      </c>
      <c r="B319">
        <v>31</v>
      </c>
      <c r="C319">
        <v>1</v>
      </c>
      <c r="D319" t="s">
        <v>380</v>
      </c>
      <c r="E319" t="s">
        <v>14</v>
      </c>
      <c r="F319">
        <v>67</v>
      </c>
      <c r="G319" t="s">
        <v>276</v>
      </c>
      <c r="H319" s="2">
        <v>0.16</v>
      </c>
      <c r="I319" s="4">
        <f t="shared" si="20"/>
        <v>10.72</v>
      </c>
      <c r="J319">
        <v>67</v>
      </c>
      <c r="K319">
        <f t="shared" si="21"/>
        <v>6.7</v>
      </c>
      <c r="L319" s="5">
        <f t="shared" si="22"/>
        <v>17.420000000000002</v>
      </c>
      <c r="M319">
        <v>500</v>
      </c>
      <c r="N319">
        <f t="shared" si="23"/>
        <v>5</v>
      </c>
      <c r="O319" s="10">
        <f t="shared" si="24"/>
        <v>-5.7200000000000006</v>
      </c>
      <c r="P319" t="str">
        <f>VLOOKUP(B319,[1]Sheet1!$A:$F,6,0)</f>
        <v>Ineabel Del toro</v>
      </c>
    </row>
    <row r="320" spans="1:16" hidden="1" x14ac:dyDescent="0.35">
      <c r="A320" t="s">
        <v>11</v>
      </c>
      <c r="B320">
        <v>209</v>
      </c>
      <c r="C320">
        <v>1</v>
      </c>
      <c r="D320" t="s">
        <v>349</v>
      </c>
      <c r="E320" t="s">
        <v>14</v>
      </c>
      <c r="F320">
        <v>82</v>
      </c>
      <c r="G320" t="s">
        <v>35</v>
      </c>
      <c r="H320" s="2">
        <v>7.0000000000000007E-2</v>
      </c>
      <c r="I320" s="4">
        <f t="shared" si="20"/>
        <v>5.74</v>
      </c>
      <c r="J320">
        <v>82</v>
      </c>
      <c r="K320">
        <f t="shared" si="21"/>
        <v>8.2000000000000011</v>
      </c>
      <c r="L320" s="5">
        <f t="shared" si="22"/>
        <v>13.940000000000001</v>
      </c>
      <c r="M320">
        <v>0</v>
      </c>
      <c r="N320">
        <f t="shared" si="23"/>
        <v>0</v>
      </c>
      <c r="O320" s="10">
        <f t="shared" si="24"/>
        <v>-5.74</v>
      </c>
      <c r="P320" t="str">
        <f>VLOOKUP(B320,[1]Sheet1!$A:$F,6,0)</f>
        <v>Floor</v>
      </c>
    </row>
    <row r="321" spans="1:16" hidden="1" x14ac:dyDescent="0.35">
      <c r="A321" t="s">
        <v>16</v>
      </c>
      <c r="B321">
        <v>19</v>
      </c>
      <c r="C321">
        <v>1</v>
      </c>
      <c r="D321" t="s">
        <v>289</v>
      </c>
      <c r="E321" t="s">
        <v>14</v>
      </c>
      <c r="F321">
        <v>140</v>
      </c>
      <c r="G321" t="s">
        <v>276</v>
      </c>
      <c r="H321" s="2">
        <v>0.16</v>
      </c>
      <c r="I321" s="4">
        <f t="shared" si="20"/>
        <v>22.400000000000002</v>
      </c>
      <c r="J321">
        <v>140</v>
      </c>
      <c r="K321">
        <f t="shared" si="21"/>
        <v>14</v>
      </c>
      <c r="L321" s="5">
        <f t="shared" si="22"/>
        <v>36.400000000000006</v>
      </c>
      <c r="M321">
        <v>1650</v>
      </c>
      <c r="N321">
        <f t="shared" si="23"/>
        <v>16.5</v>
      </c>
      <c r="O321" s="10">
        <f t="shared" si="24"/>
        <v>-5.9000000000000021</v>
      </c>
      <c r="P321" t="str">
        <f>VLOOKUP(B321,[1]Sheet1!$A:$F,6,0)</f>
        <v>Linh Nguyen</v>
      </c>
    </row>
    <row r="322" spans="1:16" hidden="1" x14ac:dyDescent="0.35">
      <c r="A322" t="s">
        <v>16</v>
      </c>
      <c r="B322">
        <v>28</v>
      </c>
      <c r="C322">
        <v>1</v>
      </c>
      <c r="D322" t="s">
        <v>436</v>
      </c>
      <c r="E322" t="s">
        <v>14</v>
      </c>
      <c r="F322">
        <v>37</v>
      </c>
      <c r="G322" t="s">
        <v>276</v>
      </c>
      <c r="H322" s="2">
        <v>0.16</v>
      </c>
      <c r="I322" s="4">
        <f t="shared" ref="I322:I385" si="25">J322*H322</f>
        <v>5.92</v>
      </c>
      <c r="J322">
        <v>37</v>
      </c>
      <c r="K322">
        <f t="shared" ref="K322:K385" si="26">J322*10%</f>
        <v>3.7</v>
      </c>
      <c r="L322" s="5">
        <f t="shared" ref="L322:L385" si="27">I322+K322</f>
        <v>9.620000000000001</v>
      </c>
      <c r="M322">
        <v>0</v>
      </c>
      <c r="N322">
        <f t="shared" ref="N322:N385" si="28">M322/100</f>
        <v>0</v>
      </c>
      <c r="O322" s="10">
        <f t="shared" ref="O322:O385" si="29">N322-I322</f>
        <v>-5.92</v>
      </c>
      <c r="P322" t="str">
        <f>VLOOKUP(B322,[1]Sheet1!$A:$F,6,0)</f>
        <v>Floor</v>
      </c>
    </row>
    <row r="323" spans="1:16" hidden="1" x14ac:dyDescent="0.35">
      <c r="A323" t="s">
        <v>19</v>
      </c>
      <c r="B323">
        <v>184</v>
      </c>
      <c r="C323">
        <v>1</v>
      </c>
      <c r="D323" t="s">
        <v>409</v>
      </c>
      <c r="E323" t="s">
        <v>14</v>
      </c>
      <c r="F323">
        <v>50</v>
      </c>
      <c r="G323" t="s">
        <v>206</v>
      </c>
      <c r="H323" s="2">
        <v>0.12</v>
      </c>
      <c r="I323" s="4">
        <f t="shared" si="25"/>
        <v>6</v>
      </c>
      <c r="J323">
        <v>50</v>
      </c>
      <c r="K323">
        <f t="shared" si="26"/>
        <v>5</v>
      </c>
      <c r="L323" s="5">
        <f t="shared" si="27"/>
        <v>11</v>
      </c>
      <c r="M323">
        <v>0</v>
      </c>
      <c r="N323">
        <f t="shared" si="28"/>
        <v>0</v>
      </c>
      <c r="O323" s="10">
        <f t="shared" si="29"/>
        <v>-6</v>
      </c>
      <c r="P323" t="str">
        <f>VLOOKUP(B323,[1]Sheet1!$A:$F,6,0)</f>
        <v>Floor</v>
      </c>
    </row>
    <row r="324" spans="1:16" hidden="1" x14ac:dyDescent="0.35">
      <c r="A324" t="s">
        <v>19</v>
      </c>
      <c r="B324">
        <v>83</v>
      </c>
      <c r="C324">
        <v>1</v>
      </c>
      <c r="D324" t="s">
        <v>447</v>
      </c>
      <c r="E324" t="s">
        <v>14</v>
      </c>
      <c r="F324">
        <v>30</v>
      </c>
      <c r="G324" t="s">
        <v>25</v>
      </c>
      <c r="H324" s="2">
        <v>0.2</v>
      </c>
      <c r="I324" s="4">
        <f t="shared" si="25"/>
        <v>6</v>
      </c>
      <c r="J324">
        <v>30</v>
      </c>
      <c r="K324">
        <f t="shared" si="26"/>
        <v>3</v>
      </c>
      <c r="L324" s="5">
        <f t="shared" si="27"/>
        <v>9</v>
      </c>
      <c r="M324">
        <v>0</v>
      </c>
      <c r="N324">
        <f t="shared" si="28"/>
        <v>0</v>
      </c>
      <c r="O324" s="10">
        <f t="shared" si="29"/>
        <v>-6</v>
      </c>
      <c r="P324" t="str">
        <f>VLOOKUP(B324,[1]Sheet1!$A:$F,6,0)</f>
        <v>Floor</v>
      </c>
    </row>
    <row r="325" spans="1:16" hidden="1" x14ac:dyDescent="0.35">
      <c r="A325" t="s">
        <v>19</v>
      </c>
      <c r="B325">
        <v>84</v>
      </c>
      <c r="C325">
        <v>1</v>
      </c>
      <c r="D325" t="s">
        <v>447</v>
      </c>
      <c r="E325" t="s">
        <v>14</v>
      </c>
      <c r="F325">
        <v>30</v>
      </c>
      <c r="G325" t="s">
        <v>25</v>
      </c>
      <c r="H325" s="2">
        <v>0.2</v>
      </c>
      <c r="I325" s="4">
        <f t="shared" si="25"/>
        <v>6</v>
      </c>
      <c r="J325">
        <v>30</v>
      </c>
      <c r="K325">
        <f t="shared" si="26"/>
        <v>3</v>
      </c>
      <c r="L325" s="5">
        <f t="shared" si="27"/>
        <v>9</v>
      </c>
      <c r="M325">
        <v>0</v>
      </c>
      <c r="N325">
        <f t="shared" si="28"/>
        <v>0</v>
      </c>
      <c r="O325" s="10">
        <f t="shared" si="29"/>
        <v>-6</v>
      </c>
      <c r="P325" t="str">
        <f>VLOOKUP(B325,[1]Sheet1!$A:$F,6,0)</f>
        <v>Floor</v>
      </c>
    </row>
    <row r="326" spans="1:16" hidden="1" x14ac:dyDescent="0.35">
      <c r="A326" t="s">
        <v>16</v>
      </c>
      <c r="B326">
        <v>26</v>
      </c>
      <c r="C326">
        <v>1</v>
      </c>
      <c r="D326" t="s">
        <v>376</v>
      </c>
      <c r="E326" t="s">
        <v>14</v>
      </c>
      <c r="F326">
        <v>69</v>
      </c>
      <c r="G326" t="s">
        <v>276</v>
      </c>
      <c r="H326" s="2">
        <v>0.16</v>
      </c>
      <c r="I326" s="4">
        <f t="shared" si="25"/>
        <v>11.040000000000001</v>
      </c>
      <c r="J326">
        <v>69</v>
      </c>
      <c r="K326">
        <f t="shared" si="26"/>
        <v>6.9</v>
      </c>
      <c r="L326" s="5">
        <f t="shared" si="27"/>
        <v>17.940000000000001</v>
      </c>
      <c r="M326">
        <v>500</v>
      </c>
      <c r="N326">
        <f t="shared" si="28"/>
        <v>5</v>
      </c>
      <c r="O326" s="10">
        <f t="shared" si="29"/>
        <v>-6.0400000000000009</v>
      </c>
      <c r="P326" t="str">
        <f>VLOOKUP(B326,[1]Sheet1!$A:$F,6,0)</f>
        <v>Jeremy Lemmons</v>
      </c>
    </row>
    <row r="327" spans="1:16" hidden="1" x14ac:dyDescent="0.35">
      <c r="A327" t="s">
        <v>16</v>
      </c>
      <c r="B327">
        <v>46</v>
      </c>
      <c r="C327">
        <v>1</v>
      </c>
      <c r="D327" t="s">
        <v>433</v>
      </c>
      <c r="E327" t="s">
        <v>14</v>
      </c>
      <c r="F327">
        <v>39</v>
      </c>
      <c r="G327" t="s">
        <v>276</v>
      </c>
      <c r="H327" s="2">
        <v>0.16</v>
      </c>
      <c r="I327" s="4">
        <f t="shared" si="25"/>
        <v>6.24</v>
      </c>
      <c r="J327">
        <v>39</v>
      </c>
      <c r="K327">
        <f t="shared" si="26"/>
        <v>3.9000000000000004</v>
      </c>
      <c r="L327" s="5">
        <f t="shared" si="27"/>
        <v>10.14</v>
      </c>
      <c r="M327">
        <v>0</v>
      </c>
      <c r="N327">
        <f t="shared" si="28"/>
        <v>0</v>
      </c>
      <c r="O327" s="10">
        <f t="shared" si="29"/>
        <v>-6.24</v>
      </c>
      <c r="P327" t="str">
        <f>VLOOKUP(B327,[1]Sheet1!$A:$F,6,0)</f>
        <v>Floor</v>
      </c>
    </row>
    <row r="328" spans="1:16" hidden="1" x14ac:dyDescent="0.35">
      <c r="A328" t="s">
        <v>16</v>
      </c>
      <c r="B328">
        <v>50</v>
      </c>
      <c r="C328">
        <v>1</v>
      </c>
      <c r="D328" t="s">
        <v>434</v>
      </c>
      <c r="E328" t="s">
        <v>14</v>
      </c>
      <c r="F328">
        <v>39</v>
      </c>
      <c r="G328" t="s">
        <v>276</v>
      </c>
      <c r="H328" s="2">
        <v>0.16</v>
      </c>
      <c r="I328" s="4">
        <f t="shared" si="25"/>
        <v>6.24</v>
      </c>
      <c r="J328">
        <v>39</v>
      </c>
      <c r="K328">
        <f t="shared" si="26"/>
        <v>3.9000000000000004</v>
      </c>
      <c r="L328" s="5">
        <f t="shared" si="27"/>
        <v>10.14</v>
      </c>
      <c r="M328">
        <v>0</v>
      </c>
      <c r="N328">
        <f t="shared" si="28"/>
        <v>0</v>
      </c>
      <c r="O328" s="10">
        <f t="shared" si="29"/>
        <v>-6.24</v>
      </c>
      <c r="P328" t="str">
        <f>VLOOKUP(B328,[1]Sheet1!$A:$F,6,0)</f>
        <v>Floor</v>
      </c>
    </row>
    <row r="329" spans="1:16" hidden="1" x14ac:dyDescent="0.35">
      <c r="A329" t="s">
        <v>26</v>
      </c>
      <c r="B329" t="s">
        <v>271</v>
      </c>
      <c r="C329">
        <v>1</v>
      </c>
      <c r="D329" t="s">
        <v>272</v>
      </c>
      <c r="E329" t="s">
        <v>14</v>
      </c>
      <c r="F329">
        <v>163</v>
      </c>
      <c r="G329" t="s">
        <v>35</v>
      </c>
      <c r="H329" s="2">
        <v>7.0000000000000007E-2</v>
      </c>
      <c r="I329" s="4">
        <f t="shared" si="25"/>
        <v>11.410000000000002</v>
      </c>
      <c r="J329">
        <v>163</v>
      </c>
      <c r="K329">
        <f t="shared" si="26"/>
        <v>16.3</v>
      </c>
      <c r="L329" s="5">
        <f t="shared" si="27"/>
        <v>27.71</v>
      </c>
      <c r="M329">
        <v>500</v>
      </c>
      <c r="N329">
        <f t="shared" si="28"/>
        <v>5</v>
      </c>
      <c r="O329" s="10">
        <f t="shared" si="29"/>
        <v>-6.4100000000000019</v>
      </c>
      <c r="P329" t="str">
        <f>VLOOKUP(B329,[1]Sheet1!$A:$F,6,0)</f>
        <v>Laurie Lavoie</v>
      </c>
    </row>
    <row r="330" spans="1:16" hidden="1" x14ac:dyDescent="0.35">
      <c r="A330" t="s">
        <v>19</v>
      </c>
      <c r="B330">
        <v>4</v>
      </c>
      <c r="C330">
        <v>1</v>
      </c>
      <c r="D330" t="s">
        <v>423</v>
      </c>
      <c r="E330" t="s">
        <v>14</v>
      </c>
      <c r="F330">
        <v>43</v>
      </c>
      <c r="G330" t="s">
        <v>276</v>
      </c>
      <c r="H330" s="2">
        <v>0.16</v>
      </c>
      <c r="I330" s="4">
        <f t="shared" si="25"/>
        <v>6.88</v>
      </c>
      <c r="J330">
        <v>43</v>
      </c>
      <c r="K330">
        <f t="shared" si="26"/>
        <v>4.3</v>
      </c>
      <c r="L330" s="5">
        <f t="shared" si="27"/>
        <v>11.18</v>
      </c>
      <c r="M330">
        <v>0</v>
      </c>
      <c r="N330">
        <f t="shared" si="28"/>
        <v>0</v>
      </c>
      <c r="O330" s="10">
        <f t="shared" si="29"/>
        <v>-6.88</v>
      </c>
      <c r="P330" t="str">
        <f>VLOOKUP(B330,[1]Sheet1!$A:$F,6,0)</f>
        <v>Floor</v>
      </c>
    </row>
    <row r="331" spans="1:16" hidden="1" x14ac:dyDescent="0.35">
      <c r="A331" t="s">
        <v>26</v>
      </c>
      <c r="B331" t="s">
        <v>335</v>
      </c>
      <c r="C331">
        <v>1</v>
      </c>
      <c r="D331" t="s">
        <v>336</v>
      </c>
      <c r="E331" t="s">
        <v>14</v>
      </c>
      <c r="F331">
        <v>100</v>
      </c>
      <c r="G331" t="s">
        <v>35</v>
      </c>
      <c r="H331" s="2">
        <v>7.0000000000000007E-2</v>
      </c>
      <c r="I331" s="4">
        <f t="shared" si="25"/>
        <v>7.0000000000000009</v>
      </c>
      <c r="J331">
        <v>100</v>
      </c>
      <c r="K331">
        <f t="shared" si="26"/>
        <v>10</v>
      </c>
      <c r="L331" s="5">
        <f t="shared" si="27"/>
        <v>17</v>
      </c>
      <c r="M331">
        <v>0</v>
      </c>
      <c r="N331">
        <f t="shared" si="28"/>
        <v>0</v>
      </c>
      <c r="O331" s="10">
        <f t="shared" si="29"/>
        <v>-7.0000000000000009</v>
      </c>
      <c r="P331" t="str">
        <f>VLOOKUP(B331,[1]Sheet1!$A:$F,6,0)</f>
        <v>Floor</v>
      </c>
    </row>
    <row r="332" spans="1:16" hidden="1" x14ac:dyDescent="0.35">
      <c r="A332" t="s">
        <v>26</v>
      </c>
      <c r="B332">
        <v>359</v>
      </c>
      <c r="C332">
        <v>1</v>
      </c>
      <c r="D332" t="s">
        <v>337</v>
      </c>
      <c r="E332" t="s">
        <v>14</v>
      </c>
      <c r="F332">
        <v>100</v>
      </c>
      <c r="G332" t="s">
        <v>35</v>
      </c>
      <c r="H332" s="2">
        <v>7.0000000000000007E-2</v>
      </c>
      <c r="I332" s="4">
        <f t="shared" si="25"/>
        <v>7.0000000000000009</v>
      </c>
      <c r="J332">
        <v>100</v>
      </c>
      <c r="K332">
        <f t="shared" si="26"/>
        <v>10</v>
      </c>
      <c r="L332" s="5">
        <f t="shared" si="27"/>
        <v>17</v>
      </c>
      <c r="M332">
        <v>0</v>
      </c>
      <c r="N332">
        <f t="shared" si="28"/>
        <v>0</v>
      </c>
      <c r="O332" s="10">
        <f t="shared" si="29"/>
        <v>-7.0000000000000009</v>
      </c>
      <c r="P332" t="str">
        <f>VLOOKUP(B332,[1]Sheet1!$A:$F,6,0)</f>
        <v>Floor</v>
      </c>
    </row>
    <row r="333" spans="1:16" hidden="1" x14ac:dyDescent="0.35">
      <c r="A333" t="s">
        <v>16</v>
      </c>
      <c r="B333">
        <v>106</v>
      </c>
      <c r="C333">
        <v>1</v>
      </c>
      <c r="D333" t="s">
        <v>351</v>
      </c>
      <c r="E333" t="s">
        <v>14</v>
      </c>
      <c r="F333">
        <v>80</v>
      </c>
      <c r="G333" t="s">
        <v>25</v>
      </c>
      <c r="H333" s="2">
        <v>0.2</v>
      </c>
      <c r="I333" s="4">
        <f t="shared" si="25"/>
        <v>16</v>
      </c>
      <c r="J333">
        <v>80</v>
      </c>
      <c r="K333">
        <f t="shared" si="26"/>
        <v>8</v>
      </c>
      <c r="L333" s="5">
        <f t="shared" si="27"/>
        <v>24</v>
      </c>
      <c r="M333">
        <v>825</v>
      </c>
      <c r="N333">
        <f t="shared" si="28"/>
        <v>8.25</v>
      </c>
      <c r="O333" s="10">
        <f t="shared" si="29"/>
        <v>-7.75</v>
      </c>
      <c r="P333" t="str">
        <f>VLOOKUP(B333,[1]Sheet1!$A:$F,6,0)</f>
        <v>Julie Phillips</v>
      </c>
    </row>
    <row r="334" spans="1:16" hidden="1" x14ac:dyDescent="0.35">
      <c r="A334" t="s">
        <v>19</v>
      </c>
      <c r="B334">
        <v>88</v>
      </c>
      <c r="C334">
        <v>1</v>
      </c>
      <c r="D334" t="s">
        <v>407</v>
      </c>
      <c r="E334" t="s">
        <v>14</v>
      </c>
      <c r="F334">
        <v>50</v>
      </c>
      <c r="G334" t="s">
        <v>276</v>
      </c>
      <c r="H334" s="2">
        <v>0.16</v>
      </c>
      <c r="I334" s="4">
        <f t="shared" si="25"/>
        <v>8</v>
      </c>
      <c r="J334">
        <v>50</v>
      </c>
      <c r="K334">
        <f t="shared" si="26"/>
        <v>5</v>
      </c>
      <c r="L334" s="5">
        <f t="shared" si="27"/>
        <v>13</v>
      </c>
      <c r="M334">
        <v>0</v>
      </c>
      <c r="N334">
        <f t="shared" si="28"/>
        <v>0</v>
      </c>
      <c r="O334" s="10">
        <f t="shared" si="29"/>
        <v>-8</v>
      </c>
      <c r="P334" t="str">
        <f>VLOOKUP(B334,[1]Sheet1!$A:$F,6,0)</f>
        <v>Floor</v>
      </c>
    </row>
    <row r="335" spans="1:16" hidden="1" x14ac:dyDescent="0.35">
      <c r="A335" t="s">
        <v>26</v>
      </c>
      <c r="B335">
        <v>42</v>
      </c>
      <c r="C335">
        <v>1</v>
      </c>
      <c r="D335" t="s">
        <v>412</v>
      </c>
      <c r="E335" t="s">
        <v>14</v>
      </c>
      <c r="F335">
        <v>50</v>
      </c>
      <c r="G335" t="s">
        <v>276</v>
      </c>
      <c r="H335" s="2">
        <v>0.16</v>
      </c>
      <c r="I335" s="4">
        <f t="shared" si="25"/>
        <v>8</v>
      </c>
      <c r="J335">
        <v>50</v>
      </c>
      <c r="K335">
        <f t="shared" si="26"/>
        <v>5</v>
      </c>
      <c r="L335" s="5">
        <f t="shared" si="27"/>
        <v>13</v>
      </c>
      <c r="M335">
        <v>0</v>
      </c>
      <c r="N335">
        <f t="shared" si="28"/>
        <v>0</v>
      </c>
      <c r="O335" s="10">
        <f t="shared" si="29"/>
        <v>-8</v>
      </c>
      <c r="P335" t="str">
        <f>VLOOKUP(B335,[1]Sheet1!$A:$F,6,0)</f>
        <v>Floor</v>
      </c>
    </row>
    <row r="336" spans="1:16" hidden="1" x14ac:dyDescent="0.35">
      <c r="A336" t="s">
        <v>16</v>
      </c>
      <c r="B336">
        <v>27</v>
      </c>
      <c r="C336">
        <v>1</v>
      </c>
      <c r="D336" t="s">
        <v>319</v>
      </c>
      <c r="E336" t="s">
        <v>14</v>
      </c>
      <c r="F336">
        <v>110</v>
      </c>
      <c r="G336" t="s">
        <v>276</v>
      </c>
      <c r="H336" s="2">
        <v>0.16</v>
      </c>
      <c r="I336" s="4">
        <f t="shared" si="25"/>
        <v>17.600000000000001</v>
      </c>
      <c r="J336">
        <v>110</v>
      </c>
      <c r="K336">
        <f t="shared" si="26"/>
        <v>11</v>
      </c>
      <c r="L336" s="5">
        <f t="shared" si="27"/>
        <v>28.6</v>
      </c>
      <c r="M336">
        <v>900</v>
      </c>
      <c r="N336">
        <f t="shared" si="28"/>
        <v>9</v>
      </c>
      <c r="O336" s="10">
        <f t="shared" si="29"/>
        <v>-8.6000000000000014</v>
      </c>
      <c r="P336" t="str">
        <f>VLOOKUP(B336,[1]Sheet1!$A:$F,6,0)</f>
        <v>Ineabel Del toro</v>
      </c>
    </row>
    <row r="337" spans="1:16" hidden="1" x14ac:dyDescent="0.35">
      <c r="A337" t="s">
        <v>11</v>
      </c>
      <c r="B337">
        <v>135</v>
      </c>
      <c r="C337">
        <v>1</v>
      </c>
      <c r="D337" t="s">
        <v>313</v>
      </c>
      <c r="E337" t="s">
        <v>14</v>
      </c>
      <c r="F337">
        <v>120</v>
      </c>
      <c r="G337" t="s">
        <v>206</v>
      </c>
      <c r="H337" s="2">
        <v>0.12</v>
      </c>
      <c r="I337" s="4">
        <f t="shared" si="25"/>
        <v>14.399999999999999</v>
      </c>
      <c r="J337">
        <v>120</v>
      </c>
      <c r="K337">
        <f t="shared" si="26"/>
        <v>12</v>
      </c>
      <c r="L337" s="5">
        <f t="shared" si="27"/>
        <v>26.4</v>
      </c>
      <c r="M337">
        <v>575</v>
      </c>
      <c r="N337">
        <f t="shared" si="28"/>
        <v>5.75</v>
      </c>
      <c r="O337" s="10">
        <f t="shared" si="29"/>
        <v>-8.6499999999999986</v>
      </c>
      <c r="P337" t="str">
        <f>VLOOKUP(B337,[1]Sheet1!$A:$F,6,0)</f>
        <v>Ineabel Del toro</v>
      </c>
    </row>
    <row r="338" spans="1:16" hidden="1" x14ac:dyDescent="0.35">
      <c r="A338" t="s">
        <v>11</v>
      </c>
      <c r="B338">
        <v>145</v>
      </c>
      <c r="C338">
        <v>1</v>
      </c>
      <c r="D338" t="s">
        <v>357</v>
      </c>
      <c r="E338" t="s">
        <v>14</v>
      </c>
      <c r="F338">
        <v>78</v>
      </c>
      <c r="G338" t="s">
        <v>206</v>
      </c>
      <c r="H338" s="2">
        <v>0.12</v>
      </c>
      <c r="I338" s="4">
        <f t="shared" si="25"/>
        <v>9.36</v>
      </c>
      <c r="J338">
        <v>78</v>
      </c>
      <c r="K338">
        <f t="shared" si="26"/>
        <v>7.8000000000000007</v>
      </c>
      <c r="L338" s="5">
        <f t="shared" si="27"/>
        <v>17.16</v>
      </c>
      <c r="M338">
        <v>0</v>
      </c>
      <c r="N338">
        <f t="shared" si="28"/>
        <v>0</v>
      </c>
      <c r="O338" s="10">
        <f t="shared" si="29"/>
        <v>-9.36</v>
      </c>
      <c r="P338" t="str">
        <f>VLOOKUP(B338,[1]Sheet1!$A:$F,6,0)</f>
        <v>Floor</v>
      </c>
    </row>
    <row r="339" spans="1:16" hidden="1" x14ac:dyDescent="0.35">
      <c r="A339" t="s">
        <v>19</v>
      </c>
      <c r="B339">
        <v>156</v>
      </c>
      <c r="C339">
        <v>1</v>
      </c>
      <c r="D339" t="s">
        <v>282</v>
      </c>
      <c r="E339" t="s">
        <v>14</v>
      </c>
      <c r="F339">
        <v>150</v>
      </c>
      <c r="G339" t="s">
        <v>206</v>
      </c>
      <c r="H339" s="2">
        <v>0.12</v>
      </c>
      <c r="I339" s="4">
        <f t="shared" si="25"/>
        <v>18</v>
      </c>
      <c r="J339">
        <v>150</v>
      </c>
      <c r="K339">
        <f t="shared" si="26"/>
        <v>15</v>
      </c>
      <c r="L339" s="5">
        <f t="shared" si="27"/>
        <v>33</v>
      </c>
      <c r="M339">
        <v>850</v>
      </c>
      <c r="N339">
        <f t="shared" si="28"/>
        <v>8.5</v>
      </c>
      <c r="O339" s="10">
        <f t="shared" si="29"/>
        <v>-9.5</v>
      </c>
      <c r="P339" t="str">
        <f>VLOOKUP(B339,[1]Sheet1!$A:$F,6,0)</f>
        <v>Shawnette Garcia</v>
      </c>
    </row>
    <row r="340" spans="1:16" hidden="1" x14ac:dyDescent="0.35">
      <c r="A340" t="s">
        <v>11</v>
      </c>
      <c r="B340" t="s">
        <v>268</v>
      </c>
      <c r="C340">
        <v>1</v>
      </c>
      <c r="D340" t="s">
        <v>269</v>
      </c>
      <c r="E340" t="s">
        <v>14</v>
      </c>
      <c r="F340">
        <v>170</v>
      </c>
      <c r="G340" t="s">
        <v>15</v>
      </c>
      <c r="H340" s="2">
        <v>0.14000000000000001</v>
      </c>
      <c r="I340" s="4">
        <f t="shared" si="25"/>
        <v>23.8</v>
      </c>
      <c r="J340">
        <v>170</v>
      </c>
      <c r="K340">
        <f t="shared" si="26"/>
        <v>17</v>
      </c>
      <c r="L340" s="5">
        <f t="shared" si="27"/>
        <v>40.799999999999997</v>
      </c>
      <c r="M340">
        <v>1400</v>
      </c>
      <c r="N340">
        <f t="shared" si="28"/>
        <v>14</v>
      </c>
      <c r="O340" s="10">
        <f t="shared" si="29"/>
        <v>-9.8000000000000007</v>
      </c>
      <c r="P340" t="str">
        <f>VLOOKUP(B340,[1]Sheet1!$A:$F,6,0)</f>
        <v>Frank Pannell</v>
      </c>
    </row>
    <row r="341" spans="1:16" hidden="1" x14ac:dyDescent="0.35">
      <c r="A341" t="s">
        <v>19</v>
      </c>
      <c r="B341">
        <v>85</v>
      </c>
      <c r="C341">
        <v>1</v>
      </c>
      <c r="D341" t="s">
        <v>351</v>
      </c>
      <c r="E341" t="s">
        <v>14</v>
      </c>
      <c r="F341">
        <v>80</v>
      </c>
      <c r="G341" t="s">
        <v>25</v>
      </c>
      <c r="H341" s="2">
        <v>0.2</v>
      </c>
      <c r="I341" s="4">
        <f t="shared" si="25"/>
        <v>16</v>
      </c>
      <c r="J341">
        <v>80</v>
      </c>
      <c r="K341">
        <f t="shared" si="26"/>
        <v>8</v>
      </c>
      <c r="L341" s="5">
        <f t="shared" si="27"/>
        <v>24</v>
      </c>
      <c r="M341">
        <v>600</v>
      </c>
      <c r="N341">
        <f t="shared" si="28"/>
        <v>6</v>
      </c>
      <c r="O341" s="10">
        <f t="shared" si="29"/>
        <v>-10</v>
      </c>
      <c r="P341" t="str">
        <f>VLOOKUP(B341,[1]Sheet1!$A:$F,6,0)</f>
        <v>Ineabel Del toro</v>
      </c>
    </row>
    <row r="342" spans="1:16" hidden="1" x14ac:dyDescent="0.35">
      <c r="A342" t="s">
        <v>26</v>
      </c>
      <c r="B342">
        <v>34</v>
      </c>
      <c r="C342">
        <v>1</v>
      </c>
      <c r="D342" t="s">
        <v>385</v>
      </c>
      <c r="E342" t="s">
        <v>14</v>
      </c>
      <c r="F342">
        <v>65</v>
      </c>
      <c r="G342" t="s">
        <v>276</v>
      </c>
      <c r="H342" s="2">
        <v>0.16</v>
      </c>
      <c r="I342" s="4">
        <f t="shared" si="25"/>
        <v>10.4</v>
      </c>
      <c r="J342">
        <v>65</v>
      </c>
      <c r="K342">
        <f t="shared" si="26"/>
        <v>6.5</v>
      </c>
      <c r="L342" s="5">
        <f t="shared" si="27"/>
        <v>16.899999999999999</v>
      </c>
      <c r="M342">
        <v>0</v>
      </c>
      <c r="N342">
        <f t="shared" si="28"/>
        <v>0</v>
      </c>
      <c r="O342" s="10">
        <f t="shared" si="29"/>
        <v>-10.4</v>
      </c>
      <c r="P342" t="str">
        <f>VLOOKUP(B342,[1]Sheet1!$A:$F,6,0)</f>
        <v>Floor</v>
      </c>
    </row>
    <row r="343" spans="1:16" hidden="1" x14ac:dyDescent="0.35">
      <c r="A343" t="s">
        <v>19</v>
      </c>
      <c r="B343">
        <v>93</v>
      </c>
      <c r="C343">
        <v>1</v>
      </c>
      <c r="D343" t="s">
        <v>360</v>
      </c>
      <c r="E343" t="s">
        <v>14</v>
      </c>
      <c r="F343">
        <v>75</v>
      </c>
      <c r="G343" t="s">
        <v>15</v>
      </c>
      <c r="H343" s="2">
        <v>0.14000000000000001</v>
      </c>
      <c r="I343" s="4">
        <f t="shared" si="25"/>
        <v>10.500000000000002</v>
      </c>
      <c r="J343">
        <v>75</v>
      </c>
      <c r="K343">
        <f t="shared" si="26"/>
        <v>7.5</v>
      </c>
      <c r="L343" s="5">
        <f t="shared" si="27"/>
        <v>18</v>
      </c>
      <c r="M343">
        <v>0</v>
      </c>
      <c r="N343">
        <f t="shared" si="28"/>
        <v>0</v>
      </c>
      <c r="O343" s="10">
        <f t="shared" si="29"/>
        <v>-10.500000000000002</v>
      </c>
      <c r="P343" t="str">
        <f>VLOOKUP(B343,[1]Sheet1!$A:$F,6,0)</f>
        <v>Floor</v>
      </c>
    </row>
    <row r="344" spans="1:16" hidden="1" x14ac:dyDescent="0.35">
      <c r="A344" t="s">
        <v>11</v>
      </c>
      <c r="B344">
        <v>141</v>
      </c>
      <c r="C344">
        <v>1</v>
      </c>
      <c r="D344" t="s">
        <v>251</v>
      </c>
      <c r="E344" t="s">
        <v>14</v>
      </c>
      <c r="F344">
        <v>193</v>
      </c>
      <c r="G344" t="s">
        <v>35</v>
      </c>
      <c r="H344" s="2">
        <v>7.0000000000000007E-2</v>
      </c>
      <c r="I344" s="4">
        <f t="shared" si="25"/>
        <v>13.510000000000002</v>
      </c>
      <c r="J344">
        <v>193</v>
      </c>
      <c r="K344">
        <f t="shared" si="26"/>
        <v>19.3</v>
      </c>
      <c r="L344" s="5">
        <f t="shared" si="27"/>
        <v>32.81</v>
      </c>
      <c r="M344">
        <v>0</v>
      </c>
      <c r="N344">
        <f t="shared" si="28"/>
        <v>0</v>
      </c>
      <c r="O344" s="10">
        <f t="shared" si="29"/>
        <v>-13.510000000000002</v>
      </c>
      <c r="P344" t="str">
        <f>VLOOKUP(B344,[1]Sheet1!$A:$F,6,0)</f>
        <v>Floor</v>
      </c>
    </row>
    <row r="345" spans="1:16" hidden="1" x14ac:dyDescent="0.35">
      <c r="A345" t="s">
        <v>26</v>
      </c>
      <c r="B345" t="s">
        <v>241</v>
      </c>
      <c r="C345">
        <v>1</v>
      </c>
      <c r="D345" t="s">
        <v>242</v>
      </c>
      <c r="E345" t="s">
        <v>14</v>
      </c>
      <c r="F345">
        <v>219</v>
      </c>
      <c r="G345" t="s">
        <v>15</v>
      </c>
      <c r="H345" s="2">
        <v>0.14000000000000001</v>
      </c>
      <c r="I345" s="4">
        <f t="shared" si="25"/>
        <v>30.660000000000004</v>
      </c>
      <c r="J345" s="7">
        <v>219</v>
      </c>
      <c r="K345">
        <f t="shared" si="26"/>
        <v>21.900000000000002</v>
      </c>
      <c r="L345" s="5">
        <f t="shared" si="27"/>
        <v>52.56</v>
      </c>
      <c r="M345">
        <v>1700</v>
      </c>
      <c r="N345">
        <f t="shared" si="28"/>
        <v>17</v>
      </c>
      <c r="O345" s="10">
        <f t="shared" si="29"/>
        <v>-13.660000000000004</v>
      </c>
      <c r="P345" t="str">
        <f>VLOOKUP(B345,[1]Sheet1!$A:$F,6,0)</f>
        <v>Michael Araiza</v>
      </c>
    </row>
    <row r="346" spans="1:16" hidden="1" x14ac:dyDescent="0.35">
      <c r="A346" t="s">
        <v>19</v>
      </c>
      <c r="B346" t="s">
        <v>291</v>
      </c>
      <c r="C346">
        <v>1</v>
      </c>
      <c r="D346" t="s">
        <v>292</v>
      </c>
      <c r="E346" t="s">
        <v>14</v>
      </c>
      <c r="F346">
        <v>139</v>
      </c>
      <c r="G346" t="s">
        <v>15</v>
      </c>
      <c r="H346" s="2">
        <v>0.14000000000000001</v>
      </c>
      <c r="I346" s="4">
        <f t="shared" si="25"/>
        <v>19.46</v>
      </c>
      <c r="J346">
        <v>139</v>
      </c>
      <c r="K346">
        <f t="shared" si="26"/>
        <v>13.9</v>
      </c>
      <c r="L346" s="5">
        <f t="shared" si="27"/>
        <v>33.36</v>
      </c>
      <c r="M346">
        <v>500</v>
      </c>
      <c r="N346">
        <f t="shared" si="28"/>
        <v>5</v>
      </c>
      <c r="O346" s="10">
        <f t="shared" si="29"/>
        <v>-14.46</v>
      </c>
      <c r="P346" t="str">
        <f>VLOOKUP(B346,[1]Sheet1!$A:$F,6,0)</f>
        <v>Brianna Belcher</v>
      </c>
    </row>
    <row r="347" spans="1:16" hidden="1" x14ac:dyDescent="0.35">
      <c r="A347" t="s">
        <v>16</v>
      </c>
      <c r="B347" t="s">
        <v>259</v>
      </c>
      <c r="C347">
        <v>1</v>
      </c>
      <c r="D347" t="s">
        <v>258</v>
      </c>
      <c r="E347" t="s">
        <v>14</v>
      </c>
      <c r="F347">
        <v>180</v>
      </c>
      <c r="G347" t="s">
        <v>15</v>
      </c>
      <c r="H347" s="2">
        <v>0.14000000000000001</v>
      </c>
      <c r="I347" s="4">
        <f t="shared" si="25"/>
        <v>25.200000000000003</v>
      </c>
      <c r="J347">
        <v>180</v>
      </c>
      <c r="K347">
        <f t="shared" si="26"/>
        <v>18</v>
      </c>
      <c r="L347" s="5">
        <f t="shared" si="27"/>
        <v>43.2</v>
      </c>
      <c r="M347">
        <v>1050</v>
      </c>
      <c r="N347">
        <f t="shared" si="28"/>
        <v>10.5</v>
      </c>
      <c r="O347" s="10">
        <f t="shared" si="29"/>
        <v>-14.700000000000003</v>
      </c>
      <c r="P347" t="str">
        <f>VLOOKUP(B347,[1]Sheet1!$A:$F,6,0)</f>
        <v>ahsan quddus</v>
      </c>
    </row>
    <row r="348" spans="1:16" hidden="1" x14ac:dyDescent="0.35">
      <c r="A348" t="s">
        <v>19</v>
      </c>
      <c r="B348" t="s">
        <v>261</v>
      </c>
      <c r="C348">
        <v>1</v>
      </c>
      <c r="D348" t="s">
        <v>258</v>
      </c>
      <c r="E348" t="s">
        <v>14</v>
      </c>
      <c r="F348">
        <v>180</v>
      </c>
      <c r="G348" t="s">
        <v>15</v>
      </c>
      <c r="H348" s="2">
        <v>0.14000000000000001</v>
      </c>
      <c r="I348" s="4">
        <f t="shared" si="25"/>
        <v>25.200000000000003</v>
      </c>
      <c r="J348">
        <v>180</v>
      </c>
      <c r="K348">
        <f t="shared" si="26"/>
        <v>18</v>
      </c>
      <c r="L348" s="5">
        <f t="shared" si="27"/>
        <v>43.2</v>
      </c>
      <c r="M348">
        <v>1050</v>
      </c>
      <c r="N348">
        <f t="shared" si="28"/>
        <v>10.5</v>
      </c>
      <c r="O348" s="10">
        <f t="shared" si="29"/>
        <v>-14.700000000000003</v>
      </c>
      <c r="P348" t="str">
        <f>VLOOKUP(B348,[1]Sheet1!$A:$F,6,0)</f>
        <v>ahsan quddus</v>
      </c>
    </row>
    <row r="349" spans="1:16" hidden="1" x14ac:dyDescent="0.35">
      <c r="A349" t="s">
        <v>26</v>
      </c>
      <c r="B349">
        <v>355</v>
      </c>
      <c r="C349">
        <v>1</v>
      </c>
      <c r="D349" t="s">
        <v>245</v>
      </c>
      <c r="E349" t="s">
        <v>14</v>
      </c>
      <c r="F349">
        <v>200</v>
      </c>
      <c r="G349" t="s">
        <v>206</v>
      </c>
      <c r="H349" s="2">
        <v>0.12</v>
      </c>
      <c r="I349" s="4">
        <f t="shared" si="25"/>
        <v>24</v>
      </c>
      <c r="J349">
        <v>200</v>
      </c>
      <c r="K349">
        <f t="shared" si="26"/>
        <v>20</v>
      </c>
      <c r="L349" s="5">
        <f t="shared" si="27"/>
        <v>44</v>
      </c>
      <c r="M349">
        <v>875</v>
      </c>
      <c r="N349">
        <f t="shared" si="28"/>
        <v>8.75</v>
      </c>
      <c r="O349" s="10">
        <f t="shared" si="29"/>
        <v>-15.25</v>
      </c>
      <c r="P349" t="str">
        <f>VLOOKUP(B349,[1]Sheet1!$A:$F,6,0)</f>
        <v>KERRY REYES</v>
      </c>
    </row>
    <row r="350" spans="1:16" hidden="1" x14ac:dyDescent="0.35">
      <c r="A350" t="s">
        <v>16</v>
      </c>
      <c r="B350">
        <v>20</v>
      </c>
      <c r="C350">
        <v>1</v>
      </c>
      <c r="D350" t="s">
        <v>297</v>
      </c>
      <c r="E350" t="s">
        <v>14</v>
      </c>
      <c r="F350">
        <v>130</v>
      </c>
      <c r="G350" t="s">
        <v>276</v>
      </c>
      <c r="H350" s="2">
        <v>0.16</v>
      </c>
      <c r="I350" s="4">
        <f t="shared" si="25"/>
        <v>20.8</v>
      </c>
      <c r="J350">
        <v>130</v>
      </c>
      <c r="K350">
        <f t="shared" si="26"/>
        <v>13</v>
      </c>
      <c r="L350" s="5">
        <f t="shared" si="27"/>
        <v>33.799999999999997</v>
      </c>
      <c r="M350">
        <v>525</v>
      </c>
      <c r="N350">
        <f t="shared" si="28"/>
        <v>5.25</v>
      </c>
      <c r="O350" s="10">
        <f t="shared" si="29"/>
        <v>-15.55</v>
      </c>
      <c r="P350" t="str">
        <f>VLOOKUP(B350,[1]Sheet1!$A:$F,6,0)</f>
        <v>Michael Araiza</v>
      </c>
    </row>
    <row r="351" spans="1:16" hidden="1" x14ac:dyDescent="0.35">
      <c r="A351" t="s">
        <v>16</v>
      </c>
      <c r="B351">
        <v>101</v>
      </c>
      <c r="C351">
        <v>1</v>
      </c>
      <c r="D351" t="s">
        <v>325</v>
      </c>
      <c r="E351" t="s">
        <v>14</v>
      </c>
      <c r="F351">
        <v>106</v>
      </c>
      <c r="G351" t="s">
        <v>25</v>
      </c>
      <c r="H351" s="2">
        <v>0.2</v>
      </c>
      <c r="I351" s="4">
        <f t="shared" si="25"/>
        <v>21.200000000000003</v>
      </c>
      <c r="J351">
        <v>106</v>
      </c>
      <c r="K351">
        <f t="shared" si="26"/>
        <v>10.600000000000001</v>
      </c>
      <c r="L351" s="5">
        <f t="shared" si="27"/>
        <v>31.800000000000004</v>
      </c>
      <c r="M351">
        <v>525</v>
      </c>
      <c r="N351">
        <f t="shared" si="28"/>
        <v>5.25</v>
      </c>
      <c r="O351" s="10">
        <f t="shared" si="29"/>
        <v>-15.950000000000003</v>
      </c>
      <c r="P351" t="str">
        <f>VLOOKUP(B351,[1]Sheet1!$A:$F,6,0)</f>
        <v>Ademola Lawal</v>
      </c>
    </row>
    <row r="352" spans="1:16" hidden="1" x14ac:dyDescent="0.35">
      <c r="A352" t="s">
        <v>11</v>
      </c>
      <c r="B352">
        <v>129</v>
      </c>
      <c r="C352">
        <v>1</v>
      </c>
      <c r="D352" t="s">
        <v>312</v>
      </c>
      <c r="E352" t="s">
        <v>14</v>
      </c>
      <c r="F352">
        <v>120</v>
      </c>
      <c r="G352" t="s">
        <v>15</v>
      </c>
      <c r="H352" s="2">
        <v>0.14000000000000001</v>
      </c>
      <c r="I352" s="4">
        <f t="shared" si="25"/>
        <v>16.8</v>
      </c>
      <c r="J352">
        <v>120</v>
      </c>
      <c r="K352">
        <f t="shared" si="26"/>
        <v>12</v>
      </c>
      <c r="L352" s="5">
        <f t="shared" si="27"/>
        <v>28.8</v>
      </c>
      <c r="M352">
        <v>0</v>
      </c>
      <c r="N352">
        <f t="shared" si="28"/>
        <v>0</v>
      </c>
      <c r="O352" s="10">
        <f t="shared" si="29"/>
        <v>-16.8</v>
      </c>
      <c r="P352" t="str">
        <f>VLOOKUP(B352,[1]Sheet1!$A:$F,6,0)</f>
        <v>Floor</v>
      </c>
    </row>
    <row r="353" spans="1:16" hidden="1" x14ac:dyDescent="0.35">
      <c r="A353" t="s">
        <v>26</v>
      </c>
      <c r="B353" t="s">
        <v>273</v>
      </c>
      <c r="C353">
        <v>1</v>
      </c>
      <c r="D353" t="s">
        <v>274</v>
      </c>
      <c r="E353" t="s">
        <v>14</v>
      </c>
      <c r="F353">
        <v>161</v>
      </c>
      <c r="G353" t="s">
        <v>15</v>
      </c>
      <c r="H353" s="2">
        <v>0.14000000000000001</v>
      </c>
      <c r="I353" s="4">
        <f t="shared" si="25"/>
        <v>22.540000000000003</v>
      </c>
      <c r="J353">
        <v>161</v>
      </c>
      <c r="K353">
        <f t="shared" si="26"/>
        <v>16.100000000000001</v>
      </c>
      <c r="L353" s="5">
        <f t="shared" si="27"/>
        <v>38.64</v>
      </c>
      <c r="M353">
        <v>525</v>
      </c>
      <c r="N353">
        <f t="shared" si="28"/>
        <v>5.25</v>
      </c>
      <c r="O353" s="10">
        <f t="shared" si="29"/>
        <v>-17.290000000000003</v>
      </c>
      <c r="P353" t="str">
        <f>VLOOKUP(B353,[1]Sheet1!$A:$F,6,0)</f>
        <v>Ineabel Del toro</v>
      </c>
    </row>
    <row r="354" spans="1:16" hidden="1" x14ac:dyDescent="0.35">
      <c r="A354" t="s">
        <v>19</v>
      </c>
      <c r="B354">
        <v>152</v>
      </c>
      <c r="C354">
        <v>1</v>
      </c>
      <c r="D354" t="s">
        <v>282</v>
      </c>
      <c r="E354" t="s">
        <v>14</v>
      </c>
      <c r="F354">
        <v>150</v>
      </c>
      <c r="G354" t="s">
        <v>25</v>
      </c>
      <c r="H354" s="2">
        <v>0.2</v>
      </c>
      <c r="I354" s="4">
        <f t="shared" si="25"/>
        <v>30</v>
      </c>
      <c r="J354">
        <v>150</v>
      </c>
      <c r="K354">
        <f t="shared" si="26"/>
        <v>15</v>
      </c>
      <c r="L354" s="5">
        <f t="shared" si="27"/>
        <v>45</v>
      </c>
      <c r="M354">
        <v>1200</v>
      </c>
      <c r="N354">
        <f t="shared" si="28"/>
        <v>12</v>
      </c>
      <c r="O354" s="10">
        <f t="shared" si="29"/>
        <v>-18</v>
      </c>
      <c r="P354" t="str">
        <f>VLOOKUP(B354,[1]Sheet1!$A:$F,6,0)</f>
        <v>Sandra Escobar</v>
      </c>
    </row>
    <row r="355" spans="1:16" hidden="1" x14ac:dyDescent="0.35">
      <c r="A355" t="s">
        <v>26</v>
      </c>
      <c r="B355" t="s">
        <v>209</v>
      </c>
      <c r="C355">
        <v>1</v>
      </c>
      <c r="D355" t="s">
        <v>210</v>
      </c>
      <c r="E355" t="s">
        <v>14</v>
      </c>
      <c r="F355">
        <v>350</v>
      </c>
      <c r="G355" t="s">
        <v>35</v>
      </c>
      <c r="H355" s="2">
        <v>7.0000000000000007E-2</v>
      </c>
      <c r="I355" s="4">
        <f t="shared" si="25"/>
        <v>24.500000000000004</v>
      </c>
      <c r="J355" s="7">
        <v>350</v>
      </c>
      <c r="K355">
        <f t="shared" si="26"/>
        <v>35</v>
      </c>
      <c r="L355" s="5">
        <f t="shared" si="27"/>
        <v>59.5</v>
      </c>
      <c r="M355">
        <v>525</v>
      </c>
      <c r="N355">
        <f t="shared" si="28"/>
        <v>5.25</v>
      </c>
      <c r="O355" s="10">
        <f t="shared" si="29"/>
        <v>-19.250000000000004</v>
      </c>
      <c r="P355" t="str">
        <f>VLOOKUP(B355,[1]Sheet1!$A:$F,6,0)</f>
        <v>Sandra Escobar</v>
      </c>
    </row>
    <row r="356" spans="1:16" hidden="1" x14ac:dyDescent="0.35">
      <c r="A356" t="s">
        <v>16</v>
      </c>
      <c r="B356" t="s">
        <v>228</v>
      </c>
      <c r="C356">
        <v>1</v>
      </c>
      <c r="D356" t="s">
        <v>229</v>
      </c>
      <c r="E356" t="s">
        <v>14</v>
      </c>
      <c r="F356">
        <v>249</v>
      </c>
      <c r="G356" t="s">
        <v>15</v>
      </c>
      <c r="H356" s="2">
        <v>0.14000000000000001</v>
      </c>
      <c r="I356" s="4">
        <f t="shared" si="25"/>
        <v>34.860000000000007</v>
      </c>
      <c r="J356" s="7">
        <v>249</v>
      </c>
      <c r="K356">
        <f t="shared" si="26"/>
        <v>24.900000000000002</v>
      </c>
      <c r="L356" s="5">
        <f t="shared" si="27"/>
        <v>59.760000000000005</v>
      </c>
      <c r="M356">
        <v>1500</v>
      </c>
      <c r="N356">
        <f t="shared" si="28"/>
        <v>15</v>
      </c>
      <c r="O356" s="10">
        <f t="shared" si="29"/>
        <v>-19.860000000000007</v>
      </c>
      <c r="P356" t="str">
        <f>VLOOKUP(B356,[1]Sheet1!$A:$F,6,0)</f>
        <v>Robert Miranda</v>
      </c>
    </row>
    <row r="357" spans="1:16" hidden="1" x14ac:dyDescent="0.35">
      <c r="A357" t="s">
        <v>11</v>
      </c>
      <c r="B357" t="s">
        <v>246</v>
      </c>
      <c r="C357">
        <v>1</v>
      </c>
      <c r="D357" t="s">
        <v>247</v>
      </c>
      <c r="E357" t="s">
        <v>14</v>
      </c>
      <c r="F357">
        <v>200</v>
      </c>
      <c r="G357" t="s">
        <v>15</v>
      </c>
      <c r="H357" s="2">
        <v>0.14000000000000001</v>
      </c>
      <c r="I357" s="4">
        <f t="shared" si="25"/>
        <v>28.000000000000004</v>
      </c>
      <c r="J357">
        <v>200</v>
      </c>
      <c r="K357">
        <f t="shared" si="26"/>
        <v>20</v>
      </c>
      <c r="L357" s="5">
        <f t="shared" si="27"/>
        <v>48</v>
      </c>
      <c r="M357">
        <v>0</v>
      </c>
      <c r="N357">
        <f t="shared" si="28"/>
        <v>0</v>
      </c>
      <c r="O357" s="10">
        <f t="shared" si="29"/>
        <v>-28.000000000000004</v>
      </c>
      <c r="P357" t="str">
        <f>VLOOKUP(B357,[1]Sheet1!$A:$F,6,0)</f>
        <v>Floor</v>
      </c>
    </row>
    <row r="358" spans="1:16" hidden="1" x14ac:dyDescent="0.35">
      <c r="A358" t="s">
        <v>19</v>
      </c>
      <c r="B358">
        <v>91</v>
      </c>
      <c r="C358">
        <v>1</v>
      </c>
      <c r="D358" t="s">
        <v>239</v>
      </c>
      <c r="E358" t="s">
        <v>14</v>
      </c>
      <c r="F358">
        <v>223</v>
      </c>
      <c r="G358" t="s">
        <v>15</v>
      </c>
      <c r="H358" s="2">
        <v>0.14000000000000001</v>
      </c>
      <c r="I358" s="4">
        <f t="shared" si="25"/>
        <v>31.220000000000002</v>
      </c>
      <c r="J358" s="7">
        <v>223</v>
      </c>
      <c r="K358">
        <f t="shared" si="26"/>
        <v>22.3</v>
      </c>
      <c r="L358" s="5">
        <f t="shared" si="27"/>
        <v>53.52</v>
      </c>
      <c r="M358">
        <v>0</v>
      </c>
      <c r="N358">
        <f t="shared" si="28"/>
        <v>0</v>
      </c>
      <c r="O358" s="10">
        <f t="shared" si="29"/>
        <v>-31.220000000000002</v>
      </c>
      <c r="P358" t="str">
        <f>VLOOKUP(B358,[1]Sheet1!$A:$F,6,0)</f>
        <v>Floor</v>
      </c>
    </row>
    <row r="359" spans="1:16" hidden="1" x14ac:dyDescent="0.35">
      <c r="A359" t="s">
        <v>19</v>
      </c>
      <c r="B359">
        <v>89</v>
      </c>
      <c r="C359">
        <v>1</v>
      </c>
      <c r="D359" t="s">
        <v>239</v>
      </c>
      <c r="E359" t="s">
        <v>14</v>
      </c>
      <c r="F359">
        <v>223</v>
      </c>
      <c r="G359" t="s">
        <v>25</v>
      </c>
      <c r="H359" s="2">
        <v>0.2</v>
      </c>
      <c r="I359" s="4">
        <f t="shared" si="25"/>
        <v>44.6</v>
      </c>
      <c r="J359" s="7">
        <v>223</v>
      </c>
      <c r="K359">
        <f t="shared" si="26"/>
        <v>22.3</v>
      </c>
      <c r="L359" s="5">
        <f t="shared" si="27"/>
        <v>66.900000000000006</v>
      </c>
      <c r="M359">
        <v>0</v>
      </c>
      <c r="N359">
        <f t="shared" si="28"/>
        <v>0</v>
      </c>
      <c r="O359" s="10">
        <f t="shared" si="29"/>
        <v>-44.6</v>
      </c>
      <c r="P359" t="str">
        <f>VLOOKUP(B359,[1]Sheet1!$A:$F,6,0)</f>
        <v>Floor</v>
      </c>
    </row>
    <row r="360" spans="1:16" hidden="1" x14ac:dyDescent="0.35">
      <c r="A360" t="s">
        <v>11</v>
      </c>
      <c r="B360" t="s">
        <v>48</v>
      </c>
      <c r="C360">
        <v>1</v>
      </c>
      <c r="D360" t="s">
        <v>49</v>
      </c>
      <c r="E360" t="s">
        <v>14</v>
      </c>
      <c r="F360" s="1">
        <v>1549</v>
      </c>
      <c r="G360" t="s">
        <v>35</v>
      </c>
      <c r="H360" s="2">
        <v>7.0000000000000007E-2</v>
      </c>
      <c r="I360" s="4">
        <f t="shared" si="25"/>
        <v>108.43</v>
      </c>
      <c r="J360" s="6">
        <v>1549</v>
      </c>
      <c r="K360">
        <f t="shared" si="26"/>
        <v>154.9</v>
      </c>
      <c r="L360" s="5">
        <f t="shared" si="27"/>
        <v>263.33000000000004</v>
      </c>
      <c r="M360">
        <v>6000</v>
      </c>
      <c r="N360">
        <f t="shared" si="28"/>
        <v>60</v>
      </c>
      <c r="O360" s="10">
        <f t="shared" si="29"/>
        <v>-48.430000000000007</v>
      </c>
      <c r="P360" t="str">
        <f>VLOOKUP(B360,[1]Sheet1!$A:$F,6,0)</f>
        <v>nelson guandique</v>
      </c>
    </row>
    <row r="361" spans="1:16" hidden="1" x14ac:dyDescent="0.35">
      <c r="A361" t="s">
        <v>11</v>
      </c>
      <c r="B361" t="s">
        <v>127</v>
      </c>
      <c r="C361">
        <v>1</v>
      </c>
      <c r="D361" t="s">
        <v>128</v>
      </c>
      <c r="E361" t="s">
        <v>14</v>
      </c>
      <c r="F361">
        <v>780</v>
      </c>
      <c r="G361" t="s">
        <v>15</v>
      </c>
      <c r="H361" s="2">
        <v>0.14000000000000001</v>
      </c>
      <c r="I361" s="4">
        <f t="shared" si="25"/>
        <v>109.20000000000002</v>
      </c>
      <c r="J361" s="7">
        <v>780</v>
      </c>
      <c r="K361">
        <f t="shared" si="26"/>
        <v>78</v>
      </c>
      <c r="L361" s="5">
        <f t="shared" si="27"/>
        <v>187.20000000000002</v>
      </c>
      <c r="M361">
        <v>2000</v>
      </c>
      <c r="N361">
        <f t="shared" si="28"/>
        <v>20</v>
      </c>
      <c r="O361" s="10">
        <f t="shared" si="29"/>
        <v>-89.200000000000017</v>
      </c>
      <c r="P361" t="str">
        <f>VLOOKUP(B361,[1]Sheet1!$A:$F,6,0)</f>
        <v>Maria Chong</v>
      </c>
    </row>
    <row r="362" spans="1:16" hidden="1" x14ac:dyDescent="0.35">
      <c r="A362" t="s">
        <v>26</v>
      </c>
      <c r="B362" t="s">
        <v>85</v>
      </c>
      <c r="C362">
        <v>1</v>
      </c>
      <c r="D362" t="s">
        <v>86</v>
      </c>
      <c r="E362" t="s">
        <v>14</v>
      </c>
      <c r="F362" s="1">
        <v>1000</v>
      </c>
      <c r="G362" t="s">
        <v>25</v>
      </c>
      <c r="H362" s="2">
        <v>0.2</v>
      </c>
      <c r="I362" s="4">
        <f t="shared" si="25"/>
        <v>200</v>
      </c>
      <c r="J362" s="6">
        <v>1000</v>
      </c>
      <c r="K362">
        <f t="shared" si="26"/>
        <v>100</v>
      </c>
      <c r="L362" s="5">
        <f t="shared" si="27"/>
        <v>300</v>
      </c>
      <c r="M362">
        <v>10500</v>
      </c>
      <c r="N362">
        <f t="shared" si="28"/>
        <v>105</v>
      </c>
      <c r="O362" s="10">
        <f t="shared" si="29"/>
        <v>-95</v>
      </c>
      <c r="P362" t="str">
        <f>VLOOKUP(B362,[1]Sheet1!$A:$F,6,0)</f>
        <v>Thanh Tan Ngo</v>
      </c>
    </row>
    <row r="363" spans="1:16" hidden="1" x14ac:dyDescent="0.35">
      <c r="A363" t="s">
        <v>19</v>
      </c>
      <c r="B363" t="s">
        <v>23</v>
      </c>
      <c r="C363">
        <v>1</v>
      </c>
      <c r="D363" t="s">
        <v>24</v>
      </c>
      <c r="E363" t="s">
        <v>14</v>
      </c>
      <c r="F363" s="1">
        <v>2500</v>
      </c>
      <c r="G363" t="s">
        <v>25</v>
      </c>
      <c r="H363" s="2">
        <v>0.2</v>
      </c>
      <c r="I363" s="4">
        <f t="shared" si="25"/>
        <v>500</v>
      </c>
      <c r="J363" s="6">
        <v>2500</v>
      </c>
      <c r="K363">
        <f t="shared" si="26"/>
        <v>250</v>
      </c>
      <c r="L363" s="5">
        <f t="shared" si="27"/>
        <v>750</v>
      </c>
      <c r="M363">
        <v>32000</v>
      </c>
      <c r="N363">
        <f t="shared" si="28"/>
        <v>320</v>
      </c>
      <c r="O363" s="10">
        <f t="shared" si="29"/>
        <v>-180</v>
      </c>
      <c r="P363" t="str">
        <f>VLOOKUP(B363,[1]Sheet1!$A:$F,6,0)</f>
        <v>Thanh Tan Ngo</v>
      </c>
    </row>
    <row r="364" spans="1:16" hidden="1" x14ac:dyDescent="0.35">
      <c r="A364" t="s">
        <v>16</v>
      </c>
      <c r="B364" t="s">
        <v>17</v>
      </c>
      <c r="C364">
        <v>1</v>
      </c>
      <c r="D364" t="s">
        <v>18</v>
      </c>
      <c r="E364" t="s">
        <v>14</v>
      </c>
      <c r="F364" s="1">
        <v>2799</v>
      </c>
      <c r="G364" t="s">
        <v>15</v>
      </c>
      <c r="H364" s="2">
        <v>0.14000000000000001</v>
      </c>
      <c r="I364" s="4">
        <f t="shared" si="25"/>
        <v>391.86</v>
      </c>
      <c r="J364" s="6">
        <v>2799</v>
      </c>
      <c r="K364">
        <f t="shared" si="26"/>
        <v>279.90000000000003</v>
      </c>
      <c r="L364" s="5">
        <f t="shared" si="27"/>
        <v>671.76</v>
      </c>
      <c r="M364" t="e">
        <v>#N/A</v>
      </c>
      <c r="N364" t="e">
        <f t="shared" si="28"/>
        <v>#N/A</v>
      </c>
      <c r="P364" t="e">
        <f>VLOOKUP(B364,[1]Sheet1!$A:$F,6,0)</f>
        <v>#N/A</v>
      </c>
    </row>
    <row r="365" spans="1:16" hidden="1" x14ac:dyDescent="0.35">
      <c r="A365" t="s">
        <v>11</v>
      </c>
      <c r="B365" t="s">
        <v>81</v>
      </c>
      <c r="C365">
        <v>1</v>
      </c>
      <c r="D365" t="s">
        <v>82</v>
      </c>
      <c r="E365" t="s">
        <v>14</v>
      </c>
      <c r="F365" s="1">
        <v>1098</v>
      </c>
      <c r="G365" t="s">
        <v>15</v>
      </c>
      <c r="H365" s="2">
        <v>0.14000000000000001</v>
      </c>
      <c r="I365" s="4">
        <f t="shared" si="25"/>
        <v>153.72000000000003</v>
      </c>
      <c r="J365" s="6">
        <v>1098</v>
      </c>
      <c r="K365">
        <f t="shared" si="26"/>
        <v>109.80000000000001</v>
      </c>
      <c r="L365" s="5">
        <f t="shared" si="27"/>
        <v>263.52000000000004</v>
      </c>
      <c r="M365" t="e">
        <v>#N/A</v>
      </c>
      <c r="N365" t="e">
        <f t="shared" si="28"/>
        <v>#N/A</v>
      </c>
      <c r="P365" t="e">
        <f>VLOOKUP(B365,[1]Sheet1!$A:$F,6,0)</f>
        <v>#N/A</v>
      </c>
    </row>
  </sheetData>
  <autoFilter ref="A1:P365" xr:uid="{00000000-0001-0000-0000-000000000000}">
    <filterColumn colId="15">
      <colorFilter dxfId="0"/>
    </filterColumn>
    <sortState xmlns:xlrd2="http://schemas.microsoft.com/office/spreadsheetml/2017/richdata2" ref="A3:P365">
      <sortCondition descending="1" ref="O1:O36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SugarLand_20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Yesset Karayev</dc:creator>
  <cp:lastModifiedBy>hsaken01@gmail.com</cp:lastModifiedBy>
  <dcterms:created xsi:type="dcterms:W3CDTF">2026-01-17T08:38:16Z</dcterms:created>
  <dcterms:modified xsi:type="dcterms:W3CDTF">2026-02-04T13:08:09Z</dcterms:modified>
</cp:coreProperties>
</file>